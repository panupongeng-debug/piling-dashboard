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ily Report\Data\"/>
    </mc:Choice>
  </mc:AlternateContent>
  <xr:revisionPtr revIDLastSave="0" documentId="13_ncr:1_{258B1BA9-0C0D-4829-9AE0-B51D670AE57D}" xr6:coauthVersionLast="47" xr6:coauthVersionMax="47" xr10:uidLastSave="{00000000-0000-0000-0000-000000000000}"/>
  <bookViews>
    <workbookView xWindow="-93" yWindow="-93" windowWidth="25786" windowHeight="15466" xr2:uid="{97699180-D060-442F-80F0-3296E13F60A6}"/>
  </bookViews>
  <sheets>
    <sheet name="RSP_Pile_Summary" sheetId="1" r:id="rId1"/>
  </sheets>
  <definedNames>
    <definedName name="_xlnm.Print_Area" localSheetId="0">RSP_Pile_Summary!$A$1:$AC$2334</definedName>
    <definedName name="_xlnm.Print_Titles" localSheetId="0">RSP_Pile_Summary!$2:$2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84" i="1" l="1"/>
  <c r="S1184" i="1"/>
  <c r="T1184" i="1"/>
  <c r="Q2196" i="1"/>
  <c r="S2196" i="1"/>
  <c r="T2196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3" i="1"/>
  <c r="Q1209" i="1"/>
  <c r="Q1210" i="1"/>
  <c r="Q1236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</calcChain>
</file>

<file path=xl/sharedStrings.xml><?xml version="1.0" encoding="utf-8"?>
<sst xmlns="http://schemas.openxmlformats.org/spreadsheetml/2006/main" count="9641" uniqueCount="70">
  <si>
    <t>PILE 
NUMBER</t>
  </si>
  <si>
    <t>DWG No.</t>
  </si>
  <si>
    <t>N</t>
  </si>
  <si>
    <t>E</t>
  </si>
  <si>
    <t>SIZE</t>
  </si>
  <si>
    <t>LENGTH(m.)</t>
  </si>
  <si>
    <t>AREA</t>
  </si>
  <si>
    <t>PILE 
PRODUCTION
DAY</t>
  </si>
  <si>
    <t>PILE 
DELIVERY 
DAY</t>
  </si>
  <si>
    <t>RIG.</t>
  </si>
  <si>
    <t>LOWER
PILE 
TAG</t>
  </si>
  <si>
    <t>Driving Time
 (START)</t>
  </si>
  <si>
    <t>Weld 
Inspection</t>
  </si>
  <si>
    <t>UPPER 
PILE 
TAG</t>
  </si>
  <si>
    <t>Driving Time
(FINISH)</t>
  </si>
  <si>
    <t>Elevation
PILE TOP</t>
  </si>
  <si>
    <t>Elevation
PILE TIP</t>
  </si>
  <si>
    <t>LENGTH(m.)
(Actual)</t>
  </si>
  <si>
    <t>N
(Actual)</t>
  </si>
  <si>
    <t>E
(Actual)</t>
  </si>
  <si>
    <t>Pile 
Deviation 
N (m)</t>
  </si>
  <si>
    <t>Pile 
Deviation 
E (m)</t>
  </si>
  <si>
    <t>PILE CUT</t>
  </si>
  <si>
    <t>TYPE</t>
  </si>
  <si>
    <t>RIG.
Code</t>
  </si>
  <si>
    <t>วันที่ตอก</t>
  </si>
  <si>
    <t>แผนวันที่ตอก</t>
  </si>
  <si>
    <t>ลำดับการตอก</t>
  </si>
  <si>
    <t>REMARK</t>
  </si>
  <si>
    <t>B266530-REP-CVE-ROD-DWG-0001-00</t>
  </si>
  <si>
    <t>I-0.26x0.26 WITH DOWEL4-DB16 2m.</t>
  </si>
  <si>
    <t>WHA</t>
  </si>
  <si>
    <t>Accept</t>
  </si>
  <si>
    <t>4F2</t>
  </si>
  <si>
    <t>18T15</t>
  </si>
  <si>
    <t>I-0.26x0.26</t>
  </si>
  <si>
    <t>FS1</t>
  </si>
  <si>
    <t>2F1</t>
  </si>
  <si>
    <t>หลุมกระพ้อ1</t>
  </si>
  <si>
    <t>2F1(หลุมกระพ้อ1)</t>
  </si>
  <si>
    <t>FS2</t>
  </si>
  <si>
    <t>I-0.35x0.35 WITH DOWEL4-DB16 2m.</t>
  </si>
  <si>
    <t>F3</t>
  </si>
  <si>
    <t>2C19</t>
  </si>
  <si>
    <t>I-0.30x0.30 WITH DOWEL4-DB16 2m.</t>
  </si>
  <si>
    <t>4F3</t>
  </si>
  <si>
    <t>4C19</t>
  </si>
  <si>
    <t>หลุมกระพ้อ2</t>
  </si>
  <si>
    <t>WHB</t>
  </si>
  <si>
    <t>6C19</t>
  </si>
  <si>
    <t>ROD</t>
  </si>
  <si>
    <t>FS(ROAD)</t>
  </si>
  <si>
    <t>16T15</t>
  </si>
  <si>
    <t>เสาเข็มไม่ได้ Blow Foot</t>
  </si>
  <si>
    <t>1181/1</t>
  </si>
  <si>
    <t>เสาเข็มตอกแซมเบอร์ 1181</t>
  </si>
  <si>
    <t>4-3</t>
  </si>
  <si>
    <t>1205/1</t>
  </si>
  <si>
    <t>เสาเข็มตอกแซมเบอร์ 1205 ไม่ได้ Blow Foot</t>
  </si>
  <si>
    <t>1205/2</t>
  </si>
  <si>
    <t>เสาเข็มตอกแซมเบอร์ 1205</t>
  </si>
  <si>
    <t>1230/1</t>
  </si>
  <si>
    <t>เสาเข็มตอกแซมเบอร์ 1230</t>
  </si>
  <si>
    <t>22T15</t>
  </si>
  <si>
    <t>2189/1</t>
  </si>
  <si>
    <t>เสาเข็มตอกแซมเบอร์ 2189</t>
  </si>
  <si>
    <t>I-0.26x0.26 WITH DOWEL4-DB12 3m.</t>
  </si>
  <si>
    <t>FENCE A(1)</t>
  </si>
  <si>
    <t>FENCE B(1)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</si>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</sst>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\+0.000;\-0.000;0.000"/>
    <numFmt numFmtId="166" formatCode="[$-409]h:mm\ AM/PM;@"/>
  </numFmts>
  <fonts count="1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164" fontId="0" fillId="0" borderId="0" xfId="0" applyNumberFormat="1" applyAlignment="1"/>
    <xf numFmtId="165" fontId="0" fillId="0" borderId="0" xfId="0" applyNumberFormat="1" applyAlignment="1">
      <alignment horizontal="center" vertical="center"/>
    </xf>
    <xf numFmtId="0" fontId="14" fillId="0" borderId="0" xfId="0" applyFont="1"/>
    <xf numFmtId="14" fontId="0" fillId="0" borderId="0" xfId="0" applyNumberFormat="1"/>
    <xf numFmtId="0" fontId="0" fillId="34" borderId="10" xfId="0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 vertical="center"/>
    </xf>
    <xf numFmtId="165" fontId="0" fillId="34" borderId="10" xfId="0" applyNumberFormat="1" applyFill="1" applyBorder="1" applyAlignment="1">
      <alignment vertical="center" wrapText="1"/>
    </xf>
    <xf numFmtId="165" fontId="0" fillId="34" borderId="10" xfId="0" applyNumberFormat="1" applyFill="1" applyBorder="1" applyAlignment="1">
      <alignment horizontal="center" vertical="center"/>
    </xf>
    <xf numFmtId="165" fontId="0" fillId="34" borderId="10" xfId="0" applyNumberFormat="1" applyFill="1" applyBorder="1" applyAlignment="1">
      <alignment horizontal="center" vertical="center" wrapText="1"/>
    </xf>
    <xf numFmtId="0" fontId="0" fillId="33" borderId="10" xfId="0" applyFill="1" applyBorder="1" applyAlignment="1">
      <alignment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34" borderId="10" xfId="0" applyNumberFormat="1" applyFill="1" applyBorder="1" applyAlignment="1">
      <alignment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NumberFormat="1"/>
    <xf numFmtId="166" fontId="0" fillId="0" borderId="0" xfId="0" applyNumberFormat="1" applyAlignment="1"/>
    <xf numFmtId="164" fontId="0" fillId="0" borderId="0" xfId="0" applyNumberFormat="1" applyAlignment="1">
      <alignment horizontal="center"/>
    </xf>
    <xf numFmtId="0" fontId="0" fillId="0" borderId="11" xfId="0" applyFont="1" applyBorder="1"/>
    <xf numFmtId="165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5" formatCode="\+0.000;\-0.000;0.000"/>
      <alignment horizontal="center" vertical="center" textRotation="0" wrapText="0" indent="0" justifyLastLine="0" shrinkToFit="0" readingOrder="0"/>
    </dxf>
    <dxf>
      <numFmt numFmtId="166" formatCode="[$-409]h:mm\ AM/PM;@"/>
    </dxf>
    <dxf>
      <numFmt numFmtId="30" formatCode="@"/>
      <alignment horizontal="general" vertical="center" textRotation="0" indent="0" justifyLastLine="0" shrinkToFit="0" readingOrder="0"/>
    </dxf>
    <dxf>
      <alignment horizontal="left" textRotation="0" wrapText="0" indent="0" justifyLastLine="0" shrinkToFit="0" readingOrder="0"/>
    </dxf>
    <dxf>
      <numFmt numFmtId="166" formatCode="[$-409]h:mm\ AM/PM;@"/>
    </dxf>
    <dxf>
      <numFmt numFmtId="30" formatCode="@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vertical="bottom" textRotation="0" wrapText="0" indent="0" justifyLastLine="0" shrinkToFit="0" readingOrder="0"/>
    </dxf>
    <dxf>
      <numFmt numFmtId="164" formatCode="0.000"/>
      <alignment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4173B-E421-42D5-9576-AFEE60CAF94A}" name="Table2" displayName="Table2" ref="A2:AC2324" totalsRowShown="0" headerRowDxfId="24" headerRowBorderDxfId="23" tableBorderDxfId="22">
  <autoFilter ref="A2:AC2324" xr:uid="{30C4173B-E421-42D5-9576-AFEE60CAF94A}">
    <filterColumn colId="26">
      <filters>
        <dateGroupItem year="2026" month="6" dateTimeGrouping="month"/>
      </filters>
    </filterColumn>
  </autoFilter>
  <tableColumns count="29">
    <tableColumn id="1" xr3:uid="{387D0FCF-F009-42C4-B2E0-C50555681D34}" name="PILE _x000a_NUMBER"/>
    <tableColumn id="19" xr3:uid="{248DEC00-8F44-460C-A4C9-E9FE2897F1BC}" name="DWG No."/>
    <tableColumn id="2" xr3:uid="{26E4F8D2-341B-49D2-AC1E-BC5C07B3C3D8}" name="N" dataDxfId="21"/>
    <tableColumn id="3" xr3:uid="{F51182EF-8253-4F69-9CB2-DC6EEEF116AF}" name="E" dataDxfId="20"/>
    <tableColumn id="4" xr3:uid="{B201AD2F-FA7B-4861-99DB-0207FFC23951}" name="SIZE" dataDxfId="19"/>
    <tableColumn id="5" xr3:uid="{D8E92E01-AB88-4369-964B-22779CE80EA3}" name="LENGTH(m.)" dataDxfId="18"/>
    <tableColumn id="6" xr3:uid="{13729525-30D0-4857-AAA5-DDDEEBCC3F17}" name="AREA" dataDxfId="17"/>
    <tableColumn id="21" xr3:uid="{50ED29FA-FDCF-4839-A3ED-08C5263A5541}" name="PILE _x000a_PRODUCTION_x000a_DAY" dataDxfId="16"/>
    <tableColumn id="22" xr3:uid="{BD8E22E9-4D5C-46B7-AF72-5E9BEB858D6C}" name="PILE _x000a_DELIVERY _x000a_DAY" dataDxfId="15"/>
    <tableColumn id="24" xr3:uid="{9B505B6C-C373-469A-8417-63E8ACC0544C}" name="RIG." dataDxfId="14"/>
    <tableColumn id="25" xr3:uid="{B4907ED0-8C56-4AD2-AEF1-7A974A5B4172}" name="LOWER_x000a_PILE _x000a_TAG" dataDxfId="13"/>
    <tableColumn id="26" xr3:uid="{761C9685-DFA6-4A90-A1E4-F1DB43BE3EA0}" name="Driving Time_x000a_ (START)" dataDxfId="12"/>
    <tableColumn id="27" xr3:uid="{5E61D178-AB98-4D1B-9E79-DB29D4C4EB8E}" name="Weld _x000a_Inspection" dataDxfId="11"/>
    <tableColumn id="28" xr3:uid="{D14FED45-C4A9-4CE4-9DA5-21EC69EDD172}" name="UPPER _x000a_PILE _x000a_TAG" dataDxfId="10"/>
    <tableColumn id="29" xr3:uid="{E1C0C084-1CB8-4BBD-8B9B-572EA97EAF45}" name="Driving Time_x000a_(FINISH)" dataDxfId="9"/>
    <tableColumn id="7" xr3:uid="{0751EF16-9E7E-4BDB-9722-27C5E57F3F2F}" name="Elevation_x000a_PILE TOP" dataDxfId="8"/>
    <tableColumn id="30" xr3:uid="{A4B34FDF-0A5D-4E7D-9450-3C9967E5536A}" name="Elevation_x000a_PILE TIP" dataDxfId="7">
      <calculatedColumnFormula>Table2[[#This Row],[Elevation
PILE TOP]]-Table2[[#This Row],[LENGTH(m.)
(Actual)]]</calculatedColumnFormula>
    </tableColumn>
    <tableColumn id="34" xr3:uid="{9C2FFDE9-227F-4349-A866-4A8173D20B77}" name="LENGTH(m.)_x000a_(Actual)" dataDxfId="6"/>
    <tableColumn id="32" xr3:uid="{E07E2A4A-66BA-4E6E-8669-5B22941568AF}" name="N_x000a_(Actual)" dataDxfId="5">
      <calculatedColumnFormula>Table2[[#This Row],[N]]+Table2[[#This Row],[Pile 
Deviation 
N (m)]]</calculatedColumnFormula>
    </tableColumn>
    <tableColumn id="33" xr3:uid="{EF00B6EE-B292-434F-8CA6-040417B69799}" name="E_x000a_(Actual)" dataDxfId="4">
      <calculatedColumnFormula>Table2[[#This Row],[E]]+Table2[[#This Row],[Pile 
Deviation 
E (m)]]</calculatedColumnFormula>
    </tableColumn>
    <tableColumn id="35" xr3:uid="{20BB3557-2F9E-4100-8074-82AD9B0A7699}" name="Pile _x000a_Deviation _x000a_N (m)" dataDxfId="3"/>
    <tableColumn id="36" xr3:uid="{770AF8A6-1E32-403A-B4D9-08FE9B9146BE}" name="Pile _x000a_Deviation _x000a_E (m)" dataDxfId="2"/>
    <tableColumn id="8" xr3:uid="{F96AE17C-9CDE-440E-AB23-793902842C77}" name="PILE CUT" dataDxfId="1"/>
    <tableColumn id="9" xr3:uid="{BD37874C-AC0E-4D55-9479-1E4FE4292108}" name="TYPE" dataDxfId="0"/>
    <tableColumn id="14" xr3:uid="{3CB99998-CBED-44A3-B6FA-CA37A0FDD440}" name="RIG._x000a_Code"/>
    <tableColumn id="15" xr3:uid="{D5B79EC7-DB1E-421C-8661-1FF6C5A7CFC3}" name="วันที่ตอก"/>
    <tableColumn id="20" xr3:uid="{A184E304-2778-42F8-94EE-853D2DE081B2}" name="แผนวันที่ตอก"/>
    <tableColumn id="16" xr3:uid="{EAD10CD6-512D-4FD2-8930-C4574835A6A6}" name="ลำดับการตอก"/>
    <tableColumn id="18" xr3:uid="{AA421455-7147-43B9-BC93-E03DB1555D3C}" name="REMAR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9275-26B1-41A9-8653-44CFE6D99B87}">
  <dimension ref="A1:AC2327"/>
  <sheetViews>
    <sheetView tabSelected="1" view="pageBreakPreview" topLeftCell="A2" zoomScale="71" zoomScaleNormal="110" zoomScaleSheetLayoutView="110" workbookViewId="0">
      <pane xSplit="1" topLeftCell="O1" activePane="topRight" state="frozen"/>
      <selection pane="topRight" activeCell="AA29" sqref="AA29"/>
    </sheetView>
  </sheetViews>
  <sheetFormatPr defaultRowHeight="16.350000000000001" x14ac:dyDescent="0.65"/>
  <cols>
    <col min="1" max="1" width="12.71875" customWidth="1"/>
    <col min="2" max="2" width="34.109375" customWidth="1"/>
    <col min="3" max="4" width="15.71875" style="6" customWidth="1"/>
    <col min="5" max="5" width="37.88671875" style="2" customWidth="1"/>
    <col min="6" max="6" width="18.88671875" style="1" customWidth="1"/>
    <col min="7" max="7" width="11.5" style="2" customWidth="1"/>
    <col min="8" max="8" width="12.71875" style="2" customWidth="1"/>
    <col min="9" max="9" width="11.21875" style="2" customWidth="1"/>
    <col min="10" max="10" width="7.109375" style="2" customWidth="1"/>
    <col min="11" max="11" width="11.109375" style="17" customWidth="1"/>
    <col min="12" max="12" width="12.5" style="2" customWidth="1"/>
    <col min="13" max="13" width="10.609375" style="2" customWidth="1"/>
    <col min="14" max="14" width="11.21875" style="23" customWidth="1"/>
    <col min="15" max="15" width="12.88671875" style="2" customWidth="1"/>
    <col min="16" max="16" width="11.21875" style="7" customWidth="1"/>
    <col min="17" max="17" width="11.5" style="7" customWidth="1"/>
    <col min="18" max="18" width="18.71875" style="7" customWidth="1"/>
    <col min="19" max="20" width="20.71875" style="7" customWidth="1"/>
    <col min="21" max="21" width="14.71875" style="7" customWidth="1"/>
    <col min="22" max="22" width="16.109375" style="7" customWidth="1"/>
    <col min="23" max="23" width="11.5" style="7" customWidth="1"/>
    <col min="24" max="24" width="16.109375" style="2" customWidth="1"/>
    <col min="25" max="25" width="12.21875" customWidth="1"/>
    <col min="26" max="26" width="12.71875" customWidth="1"/>
    <col min="27" max="27" width="15.71875" customWidth="1"/>
    <col min="28" max="28" width="13.71875" customWidth="1"/>
    <col min="29" max="29" width="49.88671875" customWidth="1"/>
  </cols>
  <sheetData>
    <row r="1" spans="1:29" x14ac:dyDescent="0.65">
      <c r="C1" s="31"/>
      <c r="D1" s="31"/>
    </row>
    <row r="2" spans="1:29" ht="62.45" customHeight="1" x14ac:dyDescent="0.65">
      <c r="A2" s="5" t="s">
        <v>0</v>
      </c>
      <c r="B2" s="10" t="s">
        <v>1</v>
      </c>
      <c r="C2" s="11" t="s">
        <v>2</v>
      </c>
      <c r="D2" s="11" t="s">
        <v>3</v>
      </c>
      <c r="E2" s="3" t="s">
        <v>4</v>
      </c>
      <c r="F2" s="3" t="s">
        <v>5</v>
      </c>
      <c r="G2" s="3" t="s">
        <v>6</v>
      </c>
      <c r="H2" s="5" t="s">
        <v>7</v>
      </c>
      <c r="I2" s="5" t="s">
        <v>8</v>
      </c>
      <c r="J2" s="3" t="s">
        <v>9</v>
      </c>
      <c r="K2" s="18" t="s">
        <v>10</v>
      </c>
      <c r="L2" s="10" t="s">
        <v>11</v>
      </c>
      <c r="M2" s="10" t="s">
        <v>12</v>
      </c>
      <c r="N2" s="24" t="s">
        <v>13</v>
      </c>
      <c r="O2" s="10" t="s">
        <v>14</v>
      </c>
      <c r="P2" s="12" t="s">
        <v>15</v>
      </c>
      <c r="Q2" s="12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3" t="s">
        <v>22</v>
      </c>
      <c r="X2" s="3" t="s">
        <v>23</v>
      </c>
      <c r="Y2" s="15" t="s">
        <v>24</v>
      </c>
      <c r="Z2" s="4" t="s">
        <v>25</v>
      </c>
      <c r="AA2" s="4" t="s">
        <v>26</v>
      </c>
      <c r="AB2" s="4" t="s">
        <v>27</v>
      </c>
      <c r="AC2" s="16" t="s">
        <v>28</v>
      </c>
    </row>
    <row r="3" spans="1:29" ht="13.95" customHeight="1" x14ac:dyDescent="0.65">
      <c r="A3">
        <v>1</v>
      </c>
      <c r="B3" t="s">
        <v>29</v>
      </c>
      <c r="C3" s="6">
        <v>1511751.6370000001</v>
      </c>
      <c r="D3" s="6">
        <v>693959.16399999999</v>
      </c>
      <c r="E3" s="2" t="s">
        <v>30</v>
      </c>
      <c r="F3" s="1">
        <v>24</v>
      </c>
      <c r="G3" s="2" t="s">
        <v>31</v>
      </c>
      <c r="J3" s="29">
        <v>2</v>
      </c>
      <c r="K3" s="19"/>
      <c r="L3" s="21">
        <v>0.39444444444444443</v>
      </c>
      <c r="M3" s="26" t="s">
        <v>32</v>
      </c>
      <c r="N3" s="19"/>
      <c r="O3" s="21">
        <v>0.44513888888888892</v>
      </c>
      <c r="P3" s="7">
        <v>0.216</v>
      </c>
      <c r="Q3" s="7">
        <f>Table2[[#This Row],[Elevation
PILE TOP]]-Table2[[#This Row],[LENGTH(m.)
(Actual)]]</f>
        <v>-24.783999999999999</v>
      </c>
      <c r="R3" s="2">
        <v>25</v>
      </c>
      <c r="S3" s="7">
        <f>Table2[[#This Row],[N]]+Table2[[#This Row],[Pile 
Deviation 
N (m)]]</f>
        <v>1511751.6370000001</v>
      </c>
      <c r="T3" s="7">
        <f>Table2[[#This Row],[E]]+Table2[[#This Row],[Pile 
Deviation 
E (m)]]</f>
        <v>693959.16399999999</v>
      </c>
      <c r="W3" s="7">
        <v>-0.67500000000000004</v>
      </c>
      <c r="X3" s="2" t="s">
        <v>33</v>
      </c>
      <c r="Y3" t="s">
        <v>34</v>
      </c>
      <c r="Z3" s="9">
        <v>46195</v>
      </c>
      <c r="AA3" s="9">
        <v>46195</v>
      </c>
      <c r="AB3">
        <v>41</v>
      </c>
    </row>
    <row r="4" spans="1:29" x14ac:dyDescent="0.65">
      <c r="A4">
        <v>2</v>
      </c>
      <c r="B4" t="s">
        <v>29</v>
      </c>
      <c r="C4" s="6">
        <v>1511751.7960000001</v>
      </c>
      <c r="D4" s="6">
        <v>693959.94799999997</v>
      </c>
      <c r="E4" s="2" t="s">
        <v>30</v>
      </c>
      <c r="F4" s="1">
        <v>24</v>
      </c>
      <c r="G4" s="2" t="s">
        <v>31</v>
      </c>
      <c r="J4">
        <v>2</v>
      </c>
      <c r="K4" s="19"/>
      <c r="L4" s="21">
        <v>0.45763888888888887</v>
      </c>
      <c r="M4" s="27" t="s">
        <v>32</v>
      </c>
      <c r="N4" s="19"/>
      <c r="O4" s="21">
        <v>0.48125000000000001</v>
      </c>
      <c r="P4" s="7">
        <v>0.51500000000000001</v>
      </c>
      <c r="Q4" s="7">
        <f>Table2[[#This Row],[Elevation
PILE TOP]]-Table2[[#This Row],[LENGTH(m.)
(Actual)]]</f>
        <v>-24.484999999999999</v>
      </c>
      <c r="R4" s="2">
        <v>25</v>
      </c>
      <c r="S4" s="7">
        <f>Table2[[#This Row],[N]]+Table2[[#This Row],[Pile 
Deviation 
N (m)]]</f>
        <v>1511751.7960000001</v>
      </c>
      <c r="T4" s="7">
        <f>Table2[[#This Row],[E]]+Table2[[#This Row],[Pile 
Deviation 
E (m)]]</f>
        <v>693959.94799999997</v>
      </c>
      <c r="W4" s="7">
        <v>-0.67500000000000004</v>
      </c>
      <c r="X4" s="2" t="s">
        <v>33</v>
      </c>
      <c r="Y4" t="s">
        <v>34</v>
      </c>
      <c r="Z4" s="9">
        <v>46195</v>
      </c>
      <c r="AA4" s="9">
        <v>46195</v>
      </c>
      <c r="AB4">
        <v>42</v>
      </c>
    </row>
    <row r="5" spans="1:29" ht="13.95" customHeight="1" x14ac:dyDescent="0.65">
      <c r="A5">
        <v>3</v>
      </c>
      <c r="B5" t="s">
        <v>29</v>
      </c>
      <c r="C5" s="6">
        <v>1511750.7549999999</v>
      </c>
      <c r="D5" s="6">
        <v>693959.34199999995</v>
      </c>
      <c r="E5" s="2" t="s">
        <v>30</v>
      </c>
      <c r="F5" s="1">
        <v>24</v>
      </c>
      <c r="G5" s="2" t="s">
        <v>31</v>
      </c>
      <c r="J5">
        <v>2</v>
      </c>
      <c r="K5" s="19"/>
      <c r="L5" s="21">
        <v>0.65277777777777779</v>
      </c>
      <c r="M5" s="27" t="s">
        <v>32</v>
      </c>
      <c r="N5" s="19"/>
      <c r="O5" s="21">
        <v>0.68194444444444446</v>
      </c>
      <c r="P5" s="7">
        <v>0.51300000000000001</v>
      </c>
      <c r="Q5" s="7">
        <f>Table2[[#This Row],[Elevation
PILE TOP]]-Table2[[#This Row],[LENGTH(m.)
(Actual)]]</f>
        <v>-24.486999999999998</v>
      </c>
      <c r="R5" s="2">
        <v>25</v>
      </c>
      <c r="S5" s="7">
        <f>Table2[[#This Row],[N]]+Table2[[#This Row],[Pile 
Deviation 
N (m)]]</f>
        <v>1511750.7549999999</v>
      </c>
      <c r="T5" s="7">
        <f>Table2[[#This Row],[E]]+Table2[[#This Row],[Pile 
Deviation 
E (m)]]</f>
        <v>693959.34199999995</v>
      </c>
      <c r="W5" s="7">
        <v>-0.67500000000000004</v>
      </c>
      <c r="X5" s="2" t="s">
        <v>33</v>
      </c>
      <c r="Y5" t="s">
        <v>34</v>
      </c>
      <c r="Z5" s="9">
        <v>46195</v>
      </c>
      <c r="AA5" s="9">
        <v>46195</v>
      </c>
      <c r="AB5">
        <v>45</v>
      </c>
    </row>
    <row r="6" spans="1:29" x14ac:dyDescent="0.65">
      <c r="A6">
        <v>4</v>
      </c>
      <c r="B6" t="s">
        <v>29</v>
      </c>
      <c r="C6" s="6">
        <v>1511750.9140000001</v>
      </c>
      <c r="D6" s="6">
        <v>693960.12600000005</v>
      </c>
      <c r="E6" s="2" t="s">
        <v>30</v>
      </c>
      <c r="F6" s="1">
        <v>24</v>
      </c>
      <c r="G6" s="2" t="s">
        <v>31</v>
      </c>
      <c r="J6">
        <v>2</v>
      </c>
      <c r="K6" s="19"/>
      <c r="L6" s="21">
        <v>0.68958333333333333</v>
      </c>
      <c r="M6" s="27" t="s">
        <v>32</v>
      </c>
      <c r="N6" s="19"/>
      <c r="O6" s="21">
        <v>0.72013888888888899</v>
      </c>
      <c r="P6" s="7">
        <v>0.52600000000000002</v>
      </c>
      <c r="Q6" s="7">
        <f>Table2[[#This Row],[Elevation
PILE TOP]]-Table2[[#This Row],[LENGTH(m.)
(Actual)]]</f>
        <v>-24.474</v>
      </c>
      <c r="R6" s="2">
        <v>25</v>
      </c>
      <c r="S6" s="7">
        <f>Table2[[#This Row],[N]]+Table2[[#This Row],[Pile 
Deviation 
N (m)]]</f>
        <v>1511750.9140000001</v>
      </c>
      <c r="T6" s="7">
        <f>Table2[[#This Row],[E]]+Table2[[#This Row],[Pile 
Deviation 
E (m)]]</f>
        <v>693960.12600000005</v>
      </c>
      <c r="W6" s="7">
        <v>-0.67500000000000004</v>
      </c>
      <c r="X6" s="2" t="s">
        <v>33</v>
      </c>
      <c r="Y6" t="s">
        <v>34</v>
      </c>
      <c r="Z6" s="9">
        <v>46195</v>
      </c>
      <c r="AA6" s="9">
        <v>46195</v>
      </c>
      <c r="AB6">
        <v>46</v>
      </c>
    </row>
    <row r="7" spans="1:29" ht="13.95" customHeight="1" x14ac:dyDescent="0.65">
      <c r="A7">
        <v>5</v>
      </c>
      <c r="B7" t="s">
        <v>29</v>
      </c>
      <c r="C7" s="6">
        <v>1511752.845</v>
      </c>
      <c r="D7" s="6">
        <v>693965.14300000004</v>
      </c>
      <c r="E7" s="2" t="s">
        <v>30</v>
      </c>
      <c r="F7" s="1">
        <v>24</v>
      </c>
      <c r="G7" s="2" t="s">
        <v>31</v>
      </c>
      <c r="J7">
        <v>2</v>
      </c>
      <c r="K7" s="19"/>
      <c r="L7" s="21">
        <v>0.56666666666666665</v>
      </c>
      <c r="M7" s="27" t="s">
        <v>32</v>
      </c>
      <c r="N7" s="19"/>
      <c r="O7" s="21">
        <v>0.59513888888888888</v>
      </c>
      <c r="P7" s="7">
        <v>0.52</v>
      </c>
      <c r="Q7" s="7">
        <f>Table2[[#This Row],[Elevation
PILE TOP]]-Table2[[#This Row],[LENGTH(m.)
(Actual)]]</f>
        <v>-24.48</v>
      </c>
      <c r="R7" s="2">
        <v>25</v>
      </c>
      <c r="S7" s="7">
        <f>Table2[[#This Row],[N]]+Table2[[#This Row],[Pile 
Deviation 
N (m)]]</f>
        <v>1511752.845</v>
      </c>
      <c r="T7" s="7">
        <f>Table2[[#This Row],[E]]+Table2[[#This Row],[Pile 
Deviation 
E (m)]]</f>
        <v>693965.14300000004</v>
      </c>
      <c r="W7" s="7">
        <v>-0.67500000000000004</v>
      </c>
      <c r="X7" s="2" t="s">
        <v>33</v>
      </c>
      <c r="Y7" t="s">
        <v>34</v>
      </c>
      <c r="Z7" s="9">
        <v>46195</v>
      </c>
      <c r="AA7" s="9">
        <v>46195</v>
      </c>
      <c r="AB7">
        <v>43</v>
      </c>
    </row>
    <row r="8" spans="1:29" x14ac:dyDescent="0.65">
      <c r="A8">
        <v>6</v>
      </c>
      <c r="B8" t="s">
        <v>29</v>
      </c>
      <c r="C8" s="6">
        <v>1511753.003</v>
      </c>
      <c r="D8" s="6">
        <v>693965.92799999996</v>
      </c>
      <c r="E8" s="2" t="s">
        <v>30</v>
      </c>
      <c r="F8" s="1">
        <v>24</v>
      </c>
      <c r="G8" s="2" t="s">
        <v>31</v>
      </c>
      <c r="J8">
        <v>2</v>
      </c>
      <c r="K8" s="19"/>
      <c r="L8" s="21">
        <v>0.6</v>
      </c>
      <c r="M8" s="27" t="s">
        <v>32</v>
      </c>
      <c r="N8" s="19"/>
      <c r="O8" s="21">
        <v>0.63472222222222219</v>
      </c>
      <c r="P8" s="7">
        <v>0.52600000000000002</v>
      </c>
      <c r="Q8" s="7">
        <f>Table2[[#This Row],[Elevation
PILE TOP]]-Table2[[#This Row],[LENGTH(m.)
(Actual)]]</f>
        <v>-24.474</v>
      </c>
      <c r="R8" s="2">
        <v>25</v>
      </c>
      <c r="S8" s="7">
        <f>Table2[[#This Row],[N]]+Table2[[#This Row],[Pile 
Deviation 
N (m)]]</f>
        <v>1511753.003</v>
      </c>
      <c r="T8" s="7">
        <f>Table2[[#This Row],[E]]+Table2[[#This Row],[Pile 
Deviation 
E (m)]]</f>
        <v>693965.92799999996</v>
      </c>
      <c r="W8" s="7">
        <v>-0.67500000000000004</v>
      </c>
      <c r="X8" s="2" t="s">
        <v>33</v>
      </c>
      <c r="Y8" t="s">
        <v>34</v>
      </c>
      <c r="Z8" s="9">
        <v>46195</v>
      </c>
      <c r="AA8" s="9">
        <v>46195</v>
      </c>
      <c r="AB8">
        <v>44</v>
      </c>
    </row>
    <row r="9" spans="1:29" ht="13.95" customHeight="1" x14ac:dyDescent="0.65">
      <c r="A9">
        <v>7</v>
      </c>
      <c r="B9" t="s">
        <v>29</v>
      </c>
      <c r="C9" s="6">
        <v>1511751.963</v>
      </c>
      <c r="D9" s="6">
        <v>693965.32200000004</v>
      </c>
      <c r="E9" s="2" t="s">
        <v>30</v>
      </c>
      <c r="F9" s="1">
        <v>24</v>
      </c>
      <c r="G9" s="2" t="s">
        <v>31</v>
      </c>
      <c r="J9">
        <v>2</v>
      </c>
      <c r="K9" s="19"/>
      <c r="L9" s="21">
        <v>0.37916666666666665</v>
      </c>
      <c r="M9" s="28" t="s">
        <v>32</v>
      </c>
      <c r="N9" s="19"/>
      <c r="O9" s="21">
        <v>0.42569444444444443</v>
      </c>
      <c r="P9" s="7">
        <v>0.62</v>
      </c>
      <c r="Q9" s="7">
        <f>Table2[[#This Row],[Elevation
PILE TOP]]-Table2[[#This Row],[LENGTH(m.)
(Actual)]]</f>
        <v>-24.38</v>
      </c>
      <c r="R9" s="2">
        <v>25</v>
      </c>
      <c r="S9" s="7">
        <f>Table2[[#This Row],[N]]+Table2[[#This Row],[Pile 
Deviation 
N (m)]]</f>
        <v>1511751.963</v>
      </c>
      <c r="T9" s="7">
        <f>Table2[[#This Row],[E]]+Table2[[#This Row],[Pile 
Deviation 
E (m)]]</f>
        <v>693965.32200000004</v>
      </c>
      <c r="W9" s="7">
        <v>-0.67500000000000004</v>
      </c>
      <c r="X9" s="2" t="s">
        <v>33</v>
      </c>
      <c r="Y9" t="s">
        <v>34</v>
      </c>
      <c r="Z9" s="9">
        <v>46196</v>
      </c>
      <c r="AA9" s="9">
        <v>46195</v>
      </c>
      <c r="AB9">
        <v>47</v>
      </c>
    </row>
    <row r="10" spans="1:29" x14ac:dyDescent="0.65">
      <c r="A10">
        <v>8</v>
      </c>
      <c r="B10" t="s">
        <v>29</v>
      </c>
      <c r="C10" s="6">
        <v>1511752.121</v>
      </c>
      <c r="D10" s="6">
        <v>693966.10600000003</v>
      </c>
      <c r="E10" s="2" t="s">
        <v>30</v>
      </c>
      <c r="F10" s="1">
        <v>24</v>
      </c>
      <c r="G10" s="2" t="s">
        <v>31</v>
      </c>
      <c r="J10">
        <v>2</v>
      </c>
      <c r="K10" s="19"/>
      <c r="L10" s="30">
        <v>0.43194444444444446</v>
      </c>
      <c r="M10" s="27" t="s">
        <v>32</v>
      </c>
      <c r="N10" s="19"/>
      <c r="O10" s="21">
        <v>0.4513888888888889</v>
      </c>
      <c r="P10" s="7">
        <v>0.61699999999999999</v>
      </c>
      <c r="Q10" s="7">
        <f>Table2[[#This Row],[Elevation
PILE TOP]]-Table2[[#This Row],[LENGTH(m.)
(Actual)]]</f>
        <v>-24.382999999999999</v>
      </c>
      <c r="R10" s="2">
        <v>25</v>
      </c>
      <c r="S10" s="7">
        <f>Table2[[#This Row],[N]]+Table2[[#This Row],[Pile 
Deviation 
N (m)]]</f>
        <v>1511752.121</v>
      </c>
      <c r="T10" s="7">
        <f>Table2[[#This Row],[E]]+Table2[[#This Row],[Pile 
Deviation 
E (m)]]</f>
        <v>693966.10600000003</v>
      </c>
      <c r="W10" s="7">
        <v>-0.67500000000000004</v>
      </c>
      <c r="X10" s="2" t="s">
        <v>33</v>
      </c>
      <c r="Y10" t="s">
        <v>34</v>
      </c>
      <c r="Z10" s="9">
        <v>46196</v>
      </c>
      <c r="AA10" s="9">
        <v>46195</v>
      </c>
      <c r="AB10">
        <v>48</v>
      </c>
    </row>
    <row r="11" spans="1:29" ht="13.95" customHeight="1" x14ac:dyDescent="0.65">
      <c r="A11">
        <v>9</v>
      </c>
      <c r="B11" t="s">
        <v>29</v>
      </c>
      <c r="C11" s="6">
        <v>1511753.963</v>
      </c>
      <c r="D11" s="6">
        <v>693970.68200000003</v>
      </c>
      <c r="E11" s="2" t="s">
        <v>30</v>
      </c>
      <c r="F11" s="1">
        <v>24</v>
      </c>
      <c r="G11" s="2" t="s">
        <v>31</v>
      </c>
      <c r="J11">
        <v>2</v>
      </c>
      <c r="K11" s="19"/>
      <c r="L11" s="21">
        <v>0.61458333333333337</v>
      </c>
      <c r="M11" s="27" t="s">
        <v>32</v>
      </c>
      <c r="N11" s="19"/>
      <c r="O11" s="21">
        <v>0.64166666666666672</v>
      </c>
      <c r="P11" s="7">
        <v>0.61899999999999999</v>
      </c>
      <c r="Q11" s="7">
        <f>Table2[[#This Row],[Elevation
PILE TOP]]-Table2[[#This Row],[LENGTH(m.)
(Actual)]]</f>
        <v>-24.381</v>
      </c>
      <c r="R11" s="2">
        <v>25</v>
      </c>
      <c r="S11" s="7">
        <f>Table2[[#This Row],[N]]+Table2[[#This Row],[Pile 
Deviation 
N (m)]]</f>
        <v>1511753.963</v>
      </c>
      <c r="T11" s="7">
        <f>Table2[[#This Row],[E]]+Table2[[#This Row],[Pile 
Deviation 
E (m)]]</f>
        <v>693970.68200000003</v>
      </c>
      <c r="W11" s="7">
        <v>-0.67500000000000004</v>
      </c>
      <c r="X11" s="2" t="s">
        <v>33</v>
      </c>
      <c r="Y11" t="s">
        <v>34</v>
      </c>
      <c r="Z11" s="9">
        <v>46196</v>
      </c>
      <c r="AA11" s="9">
        <v>46196</v>
      </c>
      <c r="AB11">
        <v>52</v>
      </c>
    </row>
    <row r="12" spans="1:29" x14ac:dyDescent="0.65">
      <c r="A12">
        <v>10</v>
      </c>
      <c r="B12" t="s">
        <v>29</v>
      </c>
      <c r="C12" s="6">
        <v>1511754.122</v>
      </c>
      <c r="D12" s="6">
        <v>693971.46600000001</v>
      </c>
      <c r="E12" s="2" t="s">
        <v>30</v>
      </c>
      <c r="F12" s="1">
        <v>24</v>
      </c>
      <c r="G12" s="2" t="s">
        <v>31</v>
      </c>
      <c r="J12">
        <v>2</v>
      </c>
      <c r="K12" s="19"/>
      <c r="L12" s="21">
        <v>0.58124999999999993</v>
      </c>
      <c r="M12" s="27" t="s">
        <v>32</v>
      </c>
      <c r="N12" s="19"/>
      <c r="O12" s="21">
        <v>0.60902777777777783</v>
      </c>
      <c r="P12" s="7">
        <v>0.62</v>
      </c>
      <c r="Q12" s="7">
        <f>Table2[[#This Row],[Elevation
PILE TOP]]-Table2[[#This Row],[LENGTH(m.)
(Actual)]]</f>
        <v>-24.38</v>
      </c>
      <c r="R12" s="2">
        <v>25</v>
      </c>
      <c r="S12" s="7">
        <f>Table2[[#This Row],[N]]+Table2[[#This Row],[Pile 
Deviation 
N (m)]]</f>
        <v>1511754.122</v>
      </c>
      <c r="T12" s="7">
        <f>Table2[[#This Row],[E]]+Table2[[#This Row],[Pile 
Deviation 
E (m)]]</f>
        <v>693971.46600000001</v>
      </c>
      <c r="W12" s="7">
        <v>-0.67500000000000004</v>
      </c>
      <c r="X12" s="2" t="s">
        <v>33</v>
      </c>
      <c r="Y12" t="s">
        <v>34</v>
      </c>
      <c r="Z12" s="9">
        <v>46196</v>
      </c>
      <c r="AA12" s="9">
        <v>46196</v>
      </c>
      <c r="AB12">
        <v>51</v>
      </c>
    </row>
    <row r="13" spans="1:29" ht="13.95" customHeight="1" x14ac:dyDescent="0.65">
      <c r="A13">
        <v>11</v>
      </c>
      <c r="B13" t="s">
        <v>29</v>
      </c>
      <c r="C13" s="6">
        <v>1511753.081</v>
      </c>
      <c r="D13" s="6">
        <v>693970.86</v>
      </c>
      <c r="E13" s="2" t="s">
        <v>30</v>
      </c>
      <c r="F13" s="1">
        <v>24</v>
      </c>
      <c r="G13" s="2" t="s">
        <v>31</v>
      </c>
      <c r="J13"/>
      <c r="K13" s="19"/>
      <c r="L13" s="21"/>
      <c r="M13" s="27"/>
      <c r="N13" s="19"/>
      <c r="O13" s="21"/>
      <c r="P13" s="7">
        <v>-0.17499999999999999</v>
      </c>
      <c r="Q13" s="7">
        <f>Table2[[#This Row],[Elevation
PILE TOP]]-Table2[[#This Row],[LENGTH(m.)
(Actual)]]</f>
        <v>-0.17499999999999999</v>
      </c>
      <c r="R13" s="2"/>
      <c r="S13" s="7">
        <f>Table2[[#This Row],[N]]+Table2[[#This Row],[Pile 
Deviation 
N (m)]]</f>
        <v>1511753.081</v>
      </c>
      <c r="T13" s="7">
        <f>Table2[[#This Row],[E]]+Table2[[#This Row],[Pile 
Deviation 
E (m)]]</f>
        <v>693970.86</v>
      </c>
      <c r="W13" s="7">
        <v>-0.67500000000000004</v>
      </c>
      <c r="X13" s="2" t="s">
        <v>33</v>
      </c>
      <c r="AA13" s="9">
        <v>46196</v>
      </c>
    </row>
    <row r="14" spans="1:29" x14ac:dyDescent="0.65">
      <c r="A14">
        <v>12</v>
      </c>
      <c r="B14" t="s">
        <v>29</v>
      </c>
      <c r="C14" s="6">
        <v>1511753.24</v>
      </c>
      <c r="D14" s="6">
        <v>693971.64399999997</v>
      </c>
      <c r="E14" s="2" t="s">
        <v>30</v>
      </c>
      <c r="F14" s="1">
        <v>24</v>
      </c>
      <c r="G14" s="2" t="s">
        <v>31</v>
      </c>
      <c r="J14"/>
      <c r="K14" s="19"/>
      <c r="L14" s="21"/>
      <c r="M14" s="27"/>
      <c r="N14" s="19"/>
      <c r="O14" s="21"/>
      <c r="P14" s="7">
        <v>-0.17499999999999999</v>
      </c>
      <c r="Q14" s="7">
        <f>Table2[[#This Row],[Elevation
PILE TOP]]-Table2[[#This Row],[LENGTH(m.)
(Actual)]]</f>
        <v>-0.17499999999999999</v>
      </c>
      <c r="R14" s="2"/>
      <c r="S14" s="7">
        <f>Table2[[#This Row],[N]]+Table2[[#This Row],[Pile 
Deviation 
N (m)]]</f>
        <v>1511753.24</v>
      </c>
      <c r="T14" s="7">
        <f>Table2[[#This Row],[E]]+Table2[[#This Row],[Pile 
Deviation 
E (m)]]</f>
        <v>693971.64399999997</v>
      </c>
      <c r="W14" s="7">
        <v>-0.67500000000000004</v>
      </c>
      <c r="X14" s="2" t="s">
        <v>33</v>
      </c>
      <c r="AA14" s="9">
        <v>46196</v>
      </c>
    </row>
    <row r="15" spans="1:29" ht="13.95" customHeight="1" x14ac:dyDescent="0.65">
      <c r="A15">
        <v>13</v>
      </c>
      <c r="B15" t="s">
        <v>29</v>
      </c>
      <c r="C15" s="6">
        <v>1511755.0819999999</v>
      </c>
      <c r="D15" s="6">
        <v>693976.22</v>
      </c>
      <c r="E15" s="2" t="s">
        <v>30</v>
      </c>
      <c r="F15" s="1">
        <v>24</v>
      </c>
      <c r="G15" s="2" t="s">
        <v>31</v>
      </c>
      <c r="J15">
        <v>2</v>
      </c>
      <c r="K15" s="19"/>
      <c r="L15" s="21">
        <v>0.54583333333333328</v>
      </c>
      <c r="M15" s="27" t="s">
        <v>32</v>
      </c>
      <c r="N15" s="19"/>
      <c r="O15" s="21">
        <v>0.56805555555555554</v>
      </c>
      <c r="P15" s="7">
        <v>0.61499999999999999</v>
      </c>
      <c r="Q15" s="7">
        <f>Table2[[#This Row],[Elevation
PILE TOP]]-Table2[[#This Row],[LENGTH(m.)
(Actual)]]</f>
        <v>-24.385000000000002</v>
      </c>
      <c r="R15" s="2">
        <v>25</v>
      </c>
      <c r="S15" s="7">
        <f>Table2[[#This Row],[N]]+Table2[[#This Row],[Pile 
Deviation 
N (m)]]</f>
        <v>1511755.0819999999</v>
      </c>
      <c r="T15" s="7">
        <f>Table2[[#This Row],[E]]+Table2[[#This Row],[Pile 
Deviation 
E (m)]]</f>
        <v>693976.22</v>
      </c>
      <c r="W15" s="7">
        <v>-0.67500000000000004</v>
      </c>
      <c r="X15" s="2" t="s">
        <v>33</v>
      </c>
      <c r="Y15" t="s">
        <v>34</v>
      </c>
      <c r="Z15" s="9">
        <v>46196</v>
      </c>
      <c r="AA15" s="9">
        <v>46196</v>
      </c>
      <c r="AB15">
        <v>50</v>
      </c>
    </row>
    <row r="16" spans="1:29" x14ac:dyDescent="0.65">
      <c r="A16">
        <v>14</v>
      </c>
      <c r="B16" t="s">
        <v>29</v>
      </c>
      <c r="C16" s="6">
        <v>1511755.24</v>
      </c>
      <c r="D16" s="6">
        <v>693977.00399999996</v>
      </c>
      <c r="E16" s="2" t="s">
        <v>30</v>
      </c>
      <c r="F16" s="1">
        <v>24</v>
      </c>
      <c r="G16" s="2" t="s">
        <v>31</v>
      </c>
      <c r="J16">
        <v>2</v>
      </c>
      <c r="K16" s="19"/>
      <c r="L16" s="21">
        <v>0.4597222222222222</v>
      </c>
      <c r="M16" s="27" t="s">
        <v>32</v>
      </c>
      <c r="N16" s="19"/>
      <c r="O16" s="21">
        <v>0.49236111111111108</v>
      </c>
      <c r="P16" s="7">
        <v>0.61399999999999999</v>
      </c>
      <c r="Q16" s="7">
        <f>Table2[[#This Row],[Elevation
PILE TOP]]-Table2[[#This Row],[LENGTH(m.)
(Actual)]]</f>
        <v>-24.385999999999999</v>
      </c>
      <c r="R16" s="2">
        <v>25</v>
      </c>
      <c r="S16" s="7">
        <f>Table2[[#This Row],[N]]+Table2[[#This Row],[Pile 
Deviation 
N (m)]]</f>
        <v>1511755.24</v>
      </c>
      <c r="T16" s="7">
        <f>Table2[[#This Row],[E]]+Table2[[#This Row],[Pile 
Deviation 
E (m)]]</f>
        <v>693977.00399999996</v>
      </c>
      <c r="W16" s="7">
        <v>-0.67500000000000004</v>
      </c>
      <c r="X16" s="2" t="s">
        <v>33</v>
      </c>
      <c r="Y16" t="s">
        <v>34</v>
      </c>
      <c r="Z16" s="9">
        <v>46196</v>
      </c>
      <c r="AA16" s="9">
        <v>46196</v>
      </c>
      <c r="AB16">
        <v>49</v>
      </c>
    </row>
    <row r="17" spans="1:28" ht="13.95" customHeight="1" x14ac:dyDescent="0.65">
      <c r="A17">
        <v>15</v>
      </c>
      <c r="B17" t="s">
        <v>29</v>
      </c>
      <c r="C17" s="6">
        <v>1511754.2</v>
      </c>
      <c r="D17" s="6">
        <v>693976.39800000004</v>
      </c>
      <c r="E17" s="2" t="s">
        <v>30</v>
      </c>
      <c r="F17" s="1">
        <v>24</v>
      </c>
      <c r="G17" s="2" t="s">
        <v>31</v>
      </c>
      <c r="J17"/>
      <c r="K17" s="19"/>
      <c r="L17" s="21"/>
      <c r="M17" s="27"/>
      <c r="N17" s="19"/>
      <c r="O17" s="21"/>
      <c r="P17" s="7">
        <v>-0.17499999999999999</v>
      </c>
      <c r="Q17" s="7">
        <f>Table2[[#This Row],[Elevation
PILE TOP]]-Table2[[#This Row],[LENGTH(m.)
(Actual)]]</f>
        <v>-0.17499999999999999</v>
      </c>
      <c r="R17" s="2"/>
      <c r="S17" s="7">
        <f>Table2[[#This Row],[N]]+Table2[[#This Row],[Pile 
Deviation 
N (m)]]</f>
        <v>1511754.2</v>
      </c>
      <c r="T17" s="7">
        <f>Table2[[#This Row],[E]]+Table2[[#This Row],[Pile 
Deviation 
E (m)]]</f>
        <v>693976.39800000004</v>
      </c>
      <c r="W17" s="7">
        <v>-0.67500000000000004</v>
      </c>
      <c r="X17" s="2" t="s">
        <v>33</v>
      </c>
      <c r="AA17" s="9">
        <v>46196</v>
      </c>
    </row>
    <row r="18" spans="1:28" x14ac:dyDescent="0.65">
      <c r="A18">
        <v>16</v>
      </c>
      <c r="B18" t="s">
        <v>29</v>
      </c>
      <c r="C18" s="6">
        <v>1511754.358</v>
      </c>
      <c r="D18" s="6">
        <v>693977.18200000003</v>
      </c>
      <c r="E18" s="2" t="s">
        <v>30</v>
      </c>
      <c r="F18" s="1">
        <v>24</v>
      </c>
      <c r="G18" s="2" t="s">
        <v>31</v>
      </c>
      <c r="J18"/>
      <c r="K18" s="19"/>
      <c r="L18" s="21"/>
      <c r="M18" s="27"/>
      <c r="N18" s="19"/>
      <c r="O18" s="21"/>
      <c r="P18" s="7">
        <v>-0.17499999999999999</v>
      </c>
      <c r="Q18" s="7">
        <f>Table2[[#This Row],[Elevation
PILE TOP]]-Table2[[#This Row],[LENGTH(m.)
(Actual)]]</f>
        <v>-0.17499999999999999</v>
      </c>
      <c r="R18" s="2"/>
      <c r="S18" s="7">
        <f>Table2[[#This Row],[N]]+Table2[[#This Row],[Pile 
Deviation 
N (m)]]</f>
        <v>1511754.358</v>
      </c>
      <c r="T18" s="7">
        <f>Table2[[#This Row],[E]]+Table2[[#This Row],[Pile 
Deviation 
E (m)]]</f>
        <v>693977.18200000003</v>
      </c>
      <c r="W18" s="7">
        <v>-0.67500000000000004</v>
      </c>
      <c r="X18" s="2" t="s">
        <v>33</v>
      </c>
      <c r="AA18" s="9">
        <v>46196</v>
      </c>
    </row>
    <row r="19" spans="1:28" ht="13.95" customHeight="1" x14ac:dyDescent="0.65">
      <c r="A19">
        <v>17</v>
      </c>
      <c r="B19" t="s">
        <v>29</v>
      </c>
      <c r="C19" s="6">
        <v>1511756.2</v>
      </c>
      <c r="D19" s="6">
        <v>693981.75800000003</v>
      </c>
      <c r="E19" s="2" t="s">
        <v>30</v>
      </c>
      <c r="F19" s="1">
        <v>24</v>
      </c>
      <c r="G19" s="2" t="s">
        <v>31</v>
      </c>
      <c r="J19"/>
      <c r="K19" s="19"/>
      <c r="L19" s="21"/>
      <c r="M19" s="27"/>
      <c r="N19" s="19"/>
      <c r="O19" s="21"/>
      <c r="P19" s="7">
        <v>-0.17499999999999999</v>
      </c>
      <c r="Q19" s="7">
        <f>Table2[[#This Row],[Elevation
PILE TOP]]-Table2[[#This Row],[LENGTH(m.)
(Actual)]]</f>
        <v>-0.17499999999999999</v>
      </c>
      <c r="R19" s="2"/>
      <c r="S19" s="7">
        <f>Table2[[#This Row],[N]]+Table2[[#This Row],[Pile 
Deviation 
N (m)]]</f>
        <v>1511756.2</v>
      </c>
      <c r="T19" s="7">
        <f>Table2[[#This Row],[E]]+Table2[[#This Row],[Pile 
Deviation 
E (m)]]</f>
        <v>693981.75800000003</v>
      </c>
      <c r="W19" s="7">
        <v>-0.67500000000000004</v>
      </c>
      <c r="X19" s="2" t="s">
        <v>33</v>
      </c>
      <c r="AA19" s="9">
        <v>46197</v>
      </c>
    </row>
    <row r="20" spans="1:28" x14ac:dyDescent="0.65">
      <c r="A20">
        <v>18</v>
      </c>
      <c r="B20" t="s">
        <v>29</v>
      </c>
      <c r="C20" s="6">
        <v>1511756.3589999999</v>
      </c>
      <c r="D20" s="6">
        <v>693982.54200000002</v>
      </c>
      <c r="E20" s="2" t="s">
        <v>30</v>
      </c>
      <c r="F20" s="1">
        <v>24</v>
      </c>
      <c r="G20" s="2" t="s">
        <v>31</v>
      </c>
      <c r="J20">
        <v>2</v>
      </c>
      <c r="K20" s="19"/>
      <c r="L20" s="21">
        <v>0.6694444444444444</v>
      </c>
      <c r="M20" s="27" t="s">
        <v>32</v>
      </c>
      <c r="N20" s="19"/>
      <c r="O20" s="21">
        <v>0.76041666666666663</v>
      </c>
      <c r="P20" s="7">
        <v>0.61899999999999999</v>
      </c>
      <c r="Q20" s="7">
        <f>Table2[[#This Row],[Elevation
PILE TOP]]-Table2[[#This Row],[LENGTH(m.)
(Actual)]]</f>
        <v>-24.381</v>
      </c>
      <c r="R20" s="2">
        <v>25</v>
      </c>
      <c r="S20" s="7">
        <f>Table2[[#This Row],[N]]+Table2[[#This Row],[Pile 
Deviation 
N (m)]]</f>
        <v>1511756.3589999999</v>
      </c>
      <c r="T20" s="7">
        <f>Table2[[#This Row],[E]]+Table2[[#This Row],[Pile 
Deviation 
E (m)]]</f>
        <v>693982.54200000002</v>
      </c>
      <c r="W20" s="7">
        <v>-0.67500000000000004</v>
      </c>
      <c r="X20" s="2" t="s">
        <v>33</v>
      </c>
      <c r="Y20" t="s">
        <v>34</v>
      </c>
      <c r="Z20" s="9">
        <v>46196</v>
      </c>
      <c r="AA20" s="9">
        <v>46197</v>
      </c>
      <c r="AB20">
        <v>53</v>
      </c>
    </row>
    <row r="21" spans="1:28" ht="13.95" customHeight="1" x14ac:dyDescent="0.65">
      <c r="A21">
        <v>19</v>
      </c>
      <c r="B21" t="s">
        <v>29</v>
      </c>
      <c r="C21" s="6">
        <v>1511755.318</v>
      </c>
      <c r="D21" s="6">
        <v>693981.93599999999</v>
      </c>
      <c r="E21" s="2" t="s">
        <v>30</v>
      </c>
      <c r="F21" s="1">
        <v>24</v>
      </c>
      <c r="G21" s="2" t="s">
        <v>31</v>
      </c>
      <c r="J21"/>
      <c r="K21" s="19"/>
      <c r="L21" s="21"/>
      <c r="M21" s="27"/>
      <c r="N21" s="19"/>
      <c r="O21" s="21"/>
      <c r="P21" s="7">
        <v>-0.17499999999999999</v>
      </c>
      <c r="Q21" s="7">
        <f>Table2[[#This Row],[Elevation
PILE TOP]]-Table2[[#This Row],[LENGTH(m.)
(Actual)]]</f>
        <v>-0.17499999999999999</v>
      </c>
      <c r="R21" s="2"/>
      <c r="S21" s="7">
        <f>Table2[[#This Row],[N]]+Table2[[#This Row],[Pile 
Deviation 
N (m)]]</f>
        <v>1511755.318</v>
      </c>
      <c r="T21" s="7">
        <f>Table2[[#This Row],[E]]+Table2[[#This Row],[Pile 
Deviation 
E (m)]]</f>
        <v>693981.93599999999</v>
      </c>
      <c r="W21" s="7">
        <v>-0.67500000000000004</v>
      </c>
      <c r="X21" s="2" t="s">
        <v>33</v>
      </c>
      <c r="AA21" s="9">
        <v>46197</v>
      </c>
    </row>
    <row r="22" spans="1:28" x14ac:dyDescent="0.65">
      <c r="A22">
        <v>20</v>
      </c>
      <c r="B22" t="s">
        <v>29</v>
      </c>
      <c r="C22" s="6">
        <v>1511755.476</v>
      </c>
      <c r="D22" s="6">
        <v>693982.71999999997</v>
      </c>
      <c r="E22" s="2" t="s">
        <v>30</v>
      </c>
      <c r="F22" s="1">
        <v>24</v>
      </c>
      <c r="G22" s="2" t="s">
        <v>31</v>
      </c>
      <c r="J22"/>
      <c r="K22" s="19"/>
      <c r="L22" s="21"/>
      <c r="M22" s="27"/>
      <c r="N22" s="19"/>
      <c r="O22" s="21"/>
      <c r="P22" s="7">
        <v>-0.17499999999999999</v>
      </c>
      <c r="Q22" s="7">
        <f>Table2[[#This Row],[Elevation
PILE TOP]]-Table2[[#This Row],[LENGTH(m.)
(Actual)]]</f>
        <v>-0.17499999999999999</v>
      </c>
      <c r="R22" s="2"/>
      <c r="S22" s="7">
        <f>Table2[[#This Row],[N]]+Table2[[#This Row],[Pile 
Deviation 
N (m)]]</f>
        <v>1511755.476</v>
      </c>
      <c r="T22" s="7">
        <f>Table2[[#This Row],[E]]+Table2[[#This Row],[Pile 
Deviation 
E (m)]]</f>
        <v>693982.71999999997</v>
      </c>
      <c r="W22" s="7">
        <v>-0.67500000000000004</v>
      </c>
      <c r="X22" s="2" t="s">
        <v>33</v>
      </c>
      <c r="AA22" s="9">
        <v>46197</v>
      </c>
    </row>
    <row r="23" spans="1:28" ht="13.95" customHeight="1" x14ac:dyDescent="0.65">
      <c r="A23">
        <v>21</v>
      </c>
      <c r="B23" t="s">
        <v>29</v>
      </c>
      <c r="C23" s="6">
        <v>1511757.2590000001</v>
      </c>
      <c r="D23" s="6">
        <v>693987.00199999998</v>
      </c>
      <c r="E23" s="2" t="s">
        <v>30</v>
      </c>
      <c r="F23" s="1">
        <v>24</v>
      </c>
      <c r="G23" s="2" t="s">
        <v>31</v>
      </c>
      <c r="J23"/>
      <c r="K23" s="19"/>
      <c r="L23" s="21"/>
      <c r="M23" s="27"/>
      <c r="N23" s="19"/>
      <c r="O23" s="21"/>
      <c r="P23" s="7">
        <v>-0.17499999999999999</v>
      </c>
      <c r="Q23" s="7">
        <f>Table2[[#This Row],[Elevation
PILE TOP]]-Table2[[#This Row],[LENGTH(m.)
(Actual)]]</f>
        <v>-0.17499999999999999</v>
      </c>
      <c r="R23" s="2"/>
      <c r="S23" s="7">
        <f>Table2[[#This Row],[N]]+Table2[[#This Row],[Pile 
Deviation 
N (m)]]</f>
        <v>1511757.2590000001</v>
      </c>
      <c r="T23" s="7">
        <f>Table2[[#This Row],[E]]+Table2[[#This Row],[Pile 
Deviation 
E (m)]]</f>
        <v>693987.00199999998</v>
      </c>
      <c r="W23" s="7">
        <v>-0.67500000000000004</v>
      </c>
      <c r="X23" s="2" t="s">
        <v>33</v>
      </c>
      <c r="AA23" s="9">
        <v>46197</v>
      </c>
    </row>
    <row r="24" spans="1:28" x14ac:dyDescent="0.65">
      <c r="A24">
        <v>22</v>
      </c>
      <c r="B24" t="s">
        <v>29</v>
      </c>
      <c r="C24" s="6">
        <v>1511757.4180000001</v>
      </c>
      <c r="D24" s="6">
        <v>693987.78599999996</v>
      </c>
      <c r="E24" s="2" t="s">
        <v>30</v>
      </c>
      <c r="F24" s="1">
        <v>24</v>
      </c>
      <c r="G24" s="2" t="s">
        <v>31</v>
      </c>
      <c r="J24"/>
      <c r="K24" s="19"/>
      <c r="L24" s="21"/>
      <c r="M24" s="27"/>
      <c r="N24" s="19"/>
      <c r="O24" s="21"/>
      <c r="P24" s="7">
        <v>-0.17499999999999999</v>
      </c>
      <c r="Q24" s="7">
        <f>Table2[[#This Row],[Elevation
PILE TOP]]-Table2[[#This Row],[LENGTH(m.)
(Actual)]]</f>
        <v>-0.17499999999999999</v>
      </c>
      <c r="R24" s="2"/>
      <c r="S24" s="7">
        <f>Table2[[#This Row],[N]]+Table2[[#This Row],[Pile 
Deviation 
N (m)]]</f>
        <v>1511757.4180000001</v>
      </c>
      <c r="T24" s="7">
        <f>Table2[[#This Row],[E]]+Table2[[#This Row],[Pile 
Deviation 
E (m)]]</f>
        <v>693987.78599999996</v>
      </c>
      <c r="W24" s="7">
        <v>-0.67500000000000004</v>
      </c>
      <c r="X24" s="2" t="s">
        <v>33</v>
      </c>
      <c r="AA24" s="9">
        <v>46197</v>
      </c>
    </row>
    <row r="25" spans="1:28" ht="13.95" customHeight="1" x14ac:dyDescent="0.65">
      <c r="A25">
        <v>23</v>
      </c>
      <c r="B25" t="s">
        <v>29</v>
      </c>
      <c r="C25" s="6">
        <v>1511756.3770000001</v>
      </c>
      <c r="D25" s="6">
        <v>693987.18</v>
      </c>
      <c r="E25" s="2" t="s">
        <v>30</v>
      </c>
      <c r="F25" s="1">
        <v>24</v>
      </c>
      <c r="G25" s="2" t="s">
        <v>31</v>
      </c>
      <c r="J25"/>
      <c r="K25" s="19"/>
      <c r="L25" s="21"/>
      <c r="M25" s="27"/>
      <c r="N25" s="19"/>
      <c r="O25" s="21"/>
      <c r="P25" s="7">
        <v>-0.17499999999999999</v>
      </c>
      <c r="Q25" s="7">
        <f>Table2[[#This Row],[Elevation
PILE TOP]]-Table2[[#This Row],[LENGTH(m.)
(Actual)]]</f>
        <v>-0.17499999999999999</v>
      </c>
      <c r="R25" s="2"/>
      <c r="S25" s="7">
        <f>Table2[[#This Row],[N]]+Table2[[#This Row],[Pile 
Deviation 
N (m)]]</f>
        <v>1511756.3770000001</v>
      </c>
      <c r="T25" s="7">
        <f>Table2[[#This Row],[E]]+Table2[[#This Row],[Pile 
Deviation 
E (m)]]</f>
        <v>693987.18</v>
      </c>
      <c r="W25" s="7">
        <v>-0.67500000000000004</v>
      </c>
      <c r="X25" s="2" t="s">
        <v>33</v>
      </c>
      <c r="AA25" s="9">
        <v>46197</v>
      </c>
    </row>
    <row r="26" spans="1:28" x14ac:dyDescent="0.65">
      <c r="A26">
        <v>24</v>
      </c>
      <c r="B26" t="s">
        <v>29</v>
      </c>
      <c r="C26" s="6">
        <v>1511756.5349999999</v>
      </c>
      <c r="D26" s="6">
        <v>693987.96400000004</v>
      </c>
      <c r="E26" s="2" t="s">
        <v>30</v>
      </c>
      <c r="F26" s="1">
        <v>24</v>
      </c>
      <c r="G26" s="2" t="s">
        <v>31</v>
      </c>
      <c r="J26"/>
      <c r="K26" s="19"/>
      <c r="L26" s="21"/>
      <c r="M26" s="27"/>
      <c r="N26" s="19"/>
      <c r="O26" s="21"/>
      <c r="P26" s="7">
        <v>-0.17499999999999999</v>
      </c>
      <c r="Q26" s="7">
        <f>Table2[[#This Row],[Elevation
PILE TOP]]-Table2[[#This Row],[LENGTH(m.)
(Actual)]]</f>
        <v>-0.17499999999999999</v>
      </c>
      <c r="R26" s="2"/>
      <c r="S26" s="7">
        <f>Table2[[#This Row],[N]]+Table2[[#This Row],[Pile 
Deviation 
N (m)]]</f>
        <v>1511756.5349999999</v>
      </c>
      <c r="T26" s="7">
        <f>Table2[[#This Row],[E]]+Table2[[#This Row],[Pile 
Deviation 
E (m)]]</f>
        <v>693987.96400000004</v>
      </c>
      <c r="W26" s="7">
        <v>-0.67500000000000004</v>
      </c>
      <c r="X26" s="2" t="s">
        <v>33</v>
      </c>
      <c r="AA26" s="9">
        <v>46197</v>
      </c>
    </row>
    <row r="27" spans="1:28" ht="13.95" customHeight="1" x14ac:dyDescent="0.65">
      <c r="A27">
        <v>25</v>
      </c>
      <c r="B27" t="s">
        <v>29</v>
      </c>
      <c r="C27" s="6">
        <v>1511758.308</v>
      </c>
      <c r="D27" s="6">
        <v>693992.19700000004</v>
      </c>
      <c r="E27" s="2" t="s">
        <v>30</v>
      </c>
      <c r="F27" s="1">
        <v>24</v>
      </c>
      <c r="G27" s="2" t="s">
        <v>31</v>
      </c>
      <c r="J27"/>
      <c r="K27" s="19"/>
      <c r="L27" s="21"/>
      <c r="M27" s="27"/>
      <c r="N27" s="19"/>
      <c r="O27" s="21"/>
      <c r="P27" s="7">
        <v>-0.17499999999999999</v>
      </c>
      <c r="Q27" s="7">
        <f>Table2[[#This Row],[Elevation
PILE TOP]]-Table2[[#This Row],[LENGTH(m.)
(Actual)]]</f>
        <v>-0.17499999999999999</v>
      </c>
      <c r="R27" s="2"/>
      <c r="S27" s="7">
        <f>Table2[[#This Row],[N]]+Table2[[#This Row],[Pile 
Deviation 
N (m)]]</f>
        <v>1511758.308</v>
      </c>
      <c r="T27" s="7">
        <f>Table2[[#This Row],[E]]+Table2[[#This Row],[Pile 
Deviation 
E (m)]]</f>
        <v>693992.19700000004</v>
      </c>
      <c r="W27" s="7">
        <v>-0.67500000000000004</v>
      </c>
      <c r="X27" s="2" t="s">
        <v>33</v>
      </c>
      <c r="AA27" s="9">
        <v>46198</v>
      </c>
    </row>
    <row r="28" spans="1:28" x14ac:dyDescent="0.65">
      <c r="A28">
        <v>26</v>
      </c>
      <c r="B28" t="s">
        <v>29</v>
      </c>
      <c r="C28" s="6">
        <v>1511758.4669999999</v>
      </c>
      <c r="D28" s="6">
        <v>693992.98100000003</v>
      </c>
      <c r="E28" s="2" t="s">
        <v>30</v>
      </c>
      <c r="F28" s="1">
        <v>24</v>
      </c>
      <c r="G28" s="2" t="s">
        <v>31</v>
      </c>
      <c r="J28"/>
      <c r="K28" s="19"/>
      <c r="L28" s="21"/>
      <c r="M28" s="27"/>
      <c r="N28" s="19"/>
      <c r="O28" s="21"/>
      <c r="P28" s="7">
        <v>-0.17499999999999999</v>
      </c>
      <c r="Q28" s="7">
        <f>Table2[[#This Row],[Elevation
PILE TOP]]-Table2[[#This Row],[LENGTH(m.)
(Actual)]]</f>
        <v>-0.17499999999999999</v>
      </c>
      <c r="R28" s="2"/>
      <c r="S28" s="7">
        <f>Table2[[#This Row],[N]]+Table2[[#This Row],[Pile 
Deviation 
N (m)]]</f>
        <v>1511758.4669999999</v>
      </c>
      <c r="T28" s="7">
        <f>Table2[[#This Row],[E]]+Table2[[#This Row],[Pile 
Deviation 
E (m)]]</f>
        <v>693992.98100000003</v>
      </c>
      <c r="W28" s="7">
        <v>-0.67500000000000004</v>
      </c>
      <c r="X28" s="2" t="s">
        <v>33</v>
      </c>
      <c r="AA28" s="9">
        <v>46198</v>
      </c>
    </row>
    <row r="29" spans="1:28" ht="13.95" customHeight="1" x14ac:dyDescent="0.65">
      <c r="A29">
        <v>27</v>
      </c>
      <c r="B29" t="s">
        <v>29</v>
      </c>
      <c r="C29" s="6">
        <v>1511757.426</v>
      </c>
      <c r="D29" s="6">
        <v>693992.375</v>
      </c>
      <c r="E29" s="2" t="s">
        <v>30</v>
      </c>
      <c r="F29" s="1">
        <v>24</v>
      </c>
      <c r="G29" s="2" t="s">
        <v>31</v>
      </c>
      <c r="J29"/>
      <c r="K29" s="19"/>
      <c r="L29" s="21"/>
      <c r="M29" s="27"/>
      <c r="N29" s="19"/>
      <c r="O29" s="21"/>
      <c r="P29" s="7">
        <v>-0.17499999999999999</v>
      </c>
      <c r="Q29" s="7">
        <f>Table2[[#This Row],[Elevation
PILE TOP]]-Table2[[#This Row],[LENGTH(m.)
(Actual)]]</f>
        <v>-0.17499999999999999</v>
      </c>
      <c r="R29" s="2"/>
      <c r="S29" s="7">
        <f>Table2[[#This Row],[N]]+Table2[[#This Row],[Pile 
Deviation 
N (m)]]</f>
        <v>1511757.426</v>
      </c>
      <c r="T29" s="7">
        <f>Table2[[#This Row],[E]]+Table2[[#This Row],[Pile 
Deviation 
E (m)]]</f>
        <v>693992.375</v>
      </c>
      <c r="W29" s="7">
        <v>-0.67500000000000004</v>
      </c>
      <c r="X29" s="2" t="s">
        <v>33</v>
      </c>
      <c r="AA29" s="9">
        <v>46198</v>
      </c>
    </row>
    <row r="30" spans="1:28" x14ac:dyDescent="0.65">
      <c r="A30">
        <v>28</v>
      </c>
      <c r="B30" t="s">
        <v>29</v>
      </c>
      <c r="C30" s="6">
        <v>1511757.585</v>
      </c>
      <c r="D30" s="6">
        <v>693993.16</v>
      </c>
      <c r="E30" s="2" t="s">
        <v>30</v>
      </c>
      <c r="F30" s="1">
        <v>24</v>
      </c>
      <c r="G30" s="2" t="s">
        <v>31</v>
      </c>
      <c r="J30"/>
      <c r="K30" s="19"/>
      <c r="L30" s="21"/>
      <c r="M30" s="27"/>
      <c r="N30" s="19"/>
      <c r="O30" s="21"/>
      <c r="P30" s="7">
        <v>-0.17499999999999999</v>
      </c>
      <c r="Q30" s="7">
        <f>Table2[[#This Row],[Elevation
PILE TOP]]-Table2[[#This Row],[LENGTH(m.)
(Actual)]]</f>
        <v>-0.17499999999999999</v>
      </c>
      <c r="R30" s="2"/>
      <c r="S30" s="7">
        <f>Table2[[#This Row],[N]]+Table2[[#This Row],[Pile 
Deviation 
N (m)]]</f>
        <v>1511757.585</v>
      </c>
      <c r="T30" s="7">
        <f>Table2[[#This Row],[E]]+Table2[[#This Row],[Pile 
Deviation 
E (m)]]</f>
        <v>693993.16</v>
      </c>
      <c r="W30" s="7">
        <v>-0.67500000000000004</v>
      </c>
      <c r="X30" s="2" t="s">
        <v>33</v>
      </c>
      <c r="AA30" s="9">
        <v>46198</v>
      </c>
    </row>
    <row r="31" spans="1:28" ht="13.95" customHeight="1" x14ac:dyDescent="0.65">
      <c r="A31">
        <v>29</v>
      </c>
      <c r="B31" t="s">
        <v>29</v>
      </c>
      <c r="C31" s="6">
        <v>1511759.4569999999</v>
      </c>
      <c r="D31" s="6">
        <v>693997.88199999998</v>
      </c>
      <c r="E31" s="2" t="s">
        <v>30</v>
      </c>
      <c r="F31" s="1">
        <v>24</v>
      </c>
      <c r="G31" s="2" t="s">
        <v>31</v>
      </c>
      <c r="J31"/>
      <c r="K31" s="19"/>
      <c r="L31" s="21"/>
      <c r="M31" s="27"/>
      <c r="N31" s="19"/>
      <c r="O31" s="21"/>
      <c r="P31" s="7">
        <v>-0.17499999999999999</v>
      </c>
      <c r="Q31" s="7">
        <f>Table2[[#This Row],[Elevation
PILE TOP]]-Table2[[#This Row],[LENGTH(m.)
(Actual)]]</f>
        <v>-0.17499999999999999</v>
      </c>
      <c r="R31" s="2"/>
      <c r="S31" s="7">
        <f>Table2[[#This Row],[N]]+Table2[[#This Row],[Pile 
Deviation 
N (m)]]</f>
        <v>1511759.4569999999</v>
      </c>
      <c r="T31" s="7">
        <f>Table2[[#This Row],[E]]+Table2[[#This Row],[Pile 
Deviation 
E (m)]]</f>
        <v>693997.88199999998</v>
      </c>
      <c r="W31" s="7">
        <v>-0.67500000000000004</v>
      </c>
      <c r="X31" s="2" t="s">
        <v>33</v>
      </c>
      <c r="AA31" s="9">
        <v>46198</v>
      </c>
    </row>
    <row r="32" spans="1:28" x14ac:dyDescent="0.65">
      <c r="A32">
        <v>30</v>
      </c>
      <c r="B32" t="s">
        <v>29</v>
      </c>
      <c r="C32" s="6">
        <v>1511759.615</v>
      </c>
      <c r="D32" s="6">
        <v>693998.66700000002</v>
      </c>
      <c r="E32" s="2" t="s">
        <v>30</v>
      </c>
      <c r="F32" s="1">
        <v>24</v>
      </c>
      <c r="G32" s="2" t="s">
        <v>31</v>
      </c>
      <c r="J32"/>
      <c r="K32" s="19"/>
      <c r="L32" s="21"/>
      <c r="M32" s="27"/>
      <c r="N32" s="19"/>
      <c r="O32" s="21"/>
      <c r="P32" s="7">
        <v>-0.17499999999999999</v>
      </c>
      <c r="Q32" s="7">
        <f>Table2[[#This Row],[Elevation
PILE TOP]]-Table2[[#This Row],[LENGTH(m.)
(Actual)]]</f>
        <v>-0.17499999999999999</v>
      </c>
      <c r="R32" s="2"/>
      <c r="S32" s="7">
        <f>Table2[[#This Row],[N]]+Table2[[#This Row],[Pile 
Deviation 
N (m)]]</f>
        <v>1511759.615</v>
      </c>
      <c r="T32" s="7">
        <f>Table2[[#This Row],[E]]+Table2[[#This Row],[Pile 
Deviation 
E (m)]]</f>
        <v>693998.66700000002</v>
      </c>
      <c r="W32" s="7">
        <v>-0.67500000000000004</v>
      </c>
      <c r="X32" s="2" t="s">
        <v>33</v>
      </c>
      <c r="AA32" s="9">
        <v>46198</v>
      </c>
    </row>
    <row r="33" spans="1:27" ht="13.95" customHeight="1" x14ac:dyDescent="0.65">
      <c r="A33">
        <v>31</v>
      </c>
      <c r="B33" t="s">
        <v>29</v>
      </c>
      <c r="C33" s="6">
        <v>1511758.574</v>
      </c>
      <c r="D33" s="6">
        <v>693998.06099999999</v>
      </c>
      <c r="E33" s="2" t="s">
        <v>30</v>
      </c>
      <c r="F33" s="1">
        <v>24</v>
      </c>
      <c r="G33" s="2" t="s">
        <v>31</v>
      </c>
      <c r="J33"/>
      <c r="K33" s="19"/>
      <c r="L33" s="21"/>
      <c r="M33" s="27"/>
      <c r="N33" s="19"/>
      <c r="O33" s="21"/>
      <c r="P33" s="7">
        <v>-0.17499999999999999</v>
      </c>
      <c r="Q33" s="7">
        <f>Table2[[#This Row],[Elevation
PILE TOP]]-Table2[[#This Row],[LENGTH(m.)
(Actual)]]</f>
        <v>-0.17499999999999999</v>
      </c>
      <c r="R33" s="2"/>
      <c r="S33" s="7">
        <f>Table2[[#This Row],[N]]+Table2[[#This Row],[Pile 
Deviation 
N (m)]]</f>
        <v>1511758.574</v>
      </c>
      <c r="T33" s="7">
        <f>Table2[[#This Row],[E]]+Table2[[#This Row],[Pile 
Deviation 
E (m)]]</f>
        <v>693998.06099999999</v>
      </c>
      <c r="W33" s="7">
        <v>-0.67500000000000004</v>
      </c>
      <c r="X33" s="2" t="s">
        <v>33</v>
      </c>
      <c r="AA33" s="9">
        <v>46198</v>
      </c>
    </row>
    <row r="34" spans="1:27" x14ac:dyDescent="0.65">
      <c r="A34">
        <v>32</v>
      </c>
      <c r="B34" t="s">
        <v>29</v>
      </c>
      <c r="C34" s="6">
        <v>1511758.733</v>
      </c>
      <c r="D34" s="6">
        <v>693998.84499999997</v>
      </c>
      <c r="E34" s="2" t="s">
        <v>30</v>
      </c>
      <c r="F34" s="1">
        <v>24</v>
      </c>
      <c r="G34" s="2" t="s">
        <v>31</v>
      </c>
      <c r="J34"/>
      <c r="K34" s="19"/>
      <c r="L34" s="21"/>
      <c r="M34" s="27"/>
      <c r="N34" s="19"/>
      <c r="O34" s="21"/>
      <c r="P34" s="7">
        <v>-0.17499999999999999</v>
      </c>
      <c r="Q34" s="7">
        <f>Table2[[#This Row],[Elevation
PILE TOP]]-Table2[[#This Row],[LENGTH(m.)
(Actual)]]</f>
        <v>-0.17499999999999999</v>
      </c>
      <c r="R34" s="2"/>
      <c r="S34" s="7">
        <f>Table2[[#This Row],[N]]+Table2[[#This Row],[Pile 
Deviation 
N (m)]]</f>
        <v>1511758.733</v>
      </c>
      <c r="T34" s="7">
        <f>Table2[[#This Row],[E]]+Table2[[#This Row],[Pile 
Deviation 
E (m)]]</f>
        <v>693998.84499999997</v>
      </c>
      <c r="W34" s="7">
        <v>-0.67500000000000004</v>
      </c>
      <c r="X34" s="2" t="s">
        <v>33</v>
      </c>
      <c r="AA34" s="9">
        <v>46198</v>
      </c>
    </row>
    <row r="35" spans="1:27" ht="13.95" customHeight="1" x14ac:dyDescent="0.65">
      <c r="A35">
        <v>33</v>
      </c>
      <c r="B35" t="s">
        <v>29</v>
      </c>
      <c r="C35" s="6">
        <v>1511749.62</v>
      </c>
      <c r="D35" s="6">
        <v>693963.321</v>
      </c>
      <c r="E35" s="2" t="s">
        <v>35</v>
      </c>
      <c r="F35" s="1">
        <v>24</v>
      </c>
      <c r="G35" s="2" t="s">
        <v>31</v>
      </c>
      <c r="J35"/>
      <c r="K35" s="19"/>
      <c r="L35" s="21"/>
      <c r="M35" s="27"/>
      <c r="N35" s="19"/>
      <c r="O35" s="21"/>
      <c r="P35" s="7">
        <v>0.28999999999999998</v>
      </c>
      <c r="Q35" s="7">
        <f>Table2[[#This Row],[Elevation
PILE TOP]]-Table2[[#This Row],[LENGTH(m.)
(Actual)]]</f>
        <v>0.28999999999999998</v>
      </c>
      <c r="R35" s="2"/>
      <c r="S35" s="7">
        <f>Table2[[#This Row],[N]]+Table2[[#This Row],[Pile 
Deviation 
N (m)]]</f>
        <v>1511749.62</v>
      </c>
      <c r="T35" s="7">
        <f>Table2[[#This Row],[E]]+Table2[[#This Row],[Pile 
Deviation 
E (m)]]</f>
        <v>693963.321</v>
      </c>
      <c r="W35" s="7">
        <v>0.28999999999999998</v>
      </c>
      <c r="X35" s="2" t="s">
        <v>36</v>
      </c>
      <c r="AA35" s="9">
        <v>46199</v>
      </c>
    </row>
    <row r="36" spans="1:27" x14ac:dyDescent="0.65">
      <c r="A36">
        <v>34</v>
      </c>
      <c r="B36" t="s">
        <v>29</v>
      </c>
      <c r="C36" s="6">
        <v>1511750.18</v>
      </c>
      <c r="D36" s="6">
        <v>693966.09</v>
      </c>
      <c r="E36" s="2" t="s">
        <v>35</v>
      </c>
      <c r="F36" s="1">
        <v>24</v>
      </c>
      <c r="G36" s="2" t="s">
        <v>31</v>
      </c>
      <c r="J36"/>
      <c r="K36" s="19"/>
      <c r="L36" s="21"/>
      <c r="M36" s="27"/>
      <c r="N36" s="19"/>
      <c r="O36" s="21"/>
      <c r="P36" s="7">
        <v>0.28999999999999998</v>
      </c>
      <c r="Q36" s="7">
        <f>Table2[[#This Row],[Elevation
PILE TOP]]-Table2[[#This Row],[LENGTH(m.)
(Actual)]]</f>
        <v>0.28999999999999998</v>
      </c>
      <c r="R36" s="2"/>
      <c r="S36" s="7">
        <f>Table2[[#This Row],[N]]+Table2[[#This Row],[Pile 
Deviation 
N (m)]]</f>
        <v>1511750.18</v>
      </c>
      <c r="T36" s="7">
        <f>Table2[[#This Row],[E]]+Table2[[#This Row],[Pile 
Deviation 
E (m)]]</f>
        <v>693966.09</v>
      </c>
      <c r="W36" s="7">
        <v>0.28999999999999998</v>
      </c>
      <c r="X36" s="2" t="s">
        <v>36</v>
      </c>
      <c r="AA36" s="9">
        <v>46199</v>
      </c>
    </row>
    <row r="37" spans="1:27" ht="13.95" customHeight="1" x14ac:dyDescent="0.65">
      <c r="A37">
        <v>35</v>
      </c>
      <c r="B37" t="s">
        <v>29</v>
      </c>
      <c r="C37" s="6">
        <v>1511750.7390000001</v>
      </c>
      <c r="D37" s="6">
        <v>693968.85900000005</v>
      </c>
      <c r="E37" s="2" t="s">
        <v>35</v>
      </c>
      <c r="F37" s="1">
        <v>24</v>
      </c>
      <c r="G37" s="2" t="s">
        <v>31</v>
      </c>
      <c r="J37"/>
      <c r="K37" s="19"/>
      <c r="L37" s="21"/>
      <c r="M37" s="27"/>
      <c r="N37" s="19"/>
      <c r="O37" s="21"/>
      <c r="P37" s="7">
        <v>0.28999999999999998</v>
      </c>
      <c r="Q37" s="7">
        <f>Table2[[#This Row],[Elevation
PILE TOP]]-Table2[[#This Row],[LENGTH(m.)
(Actual)]]</f>
        <v>0.28999999999999998</v>
      </c>
      <c r="R37" s="2"/>
      <c r="S37" s="7">
        <f>Table2[[#This Row],[N]]+Table2[[#This Row],[Pile 
Deviation 
N (m)]]</f>
        <v>1511750.7390000001</v>
      </c>
      <c r="T37" s="7">
        <f>Table2[[#This Row],[E]]+Table2[[#This Row],[Pile 
Deviation 
E (m)]]</f>
        <v>693968.85900000005</v>
      </c>
      <c r="W37" s="7">
        <v>0.28999999999999998</v>
      </c>
      <c r="X37" s="2" t="s">
        <v>36</v>
      </c>
      <c r="AA37" s="9">
        <v>46199</v>
      </c>
    </row>
    <row r="38" spans="1:27" x14ac:dyDescent="0.65">
      <c r="A38">
        <v>36</v>
      </c>
      <c r="B38" t="s">
        <v>29</v>
      </c>
      <c r="C38" s="6">
        <v>1511751.298</v>
      </c>
      <c r="D38" s="6">
        <v>693971.62800000003</v>
      </c>
      <c r="E38" s="2" t="s">
        <v>35</v>
      </c>
      <c r="F38" s="1">
        <v>24</v>
      </c>
      <c r="G38" s="2" t="s">
        <v>31</v>
      </c>
      <c r="J38"/>
      <c r="K38" s="19"/>
      <c r="L38" s="21"/>
      <c r="M38" s="27"/>
      <c r="N38" s="19"/>
      <c r="O38" s="21"/>
      <c r="P38" s="7">
        <v>0.28999999999999998</v>
      </c>
      <c r="Q38" s="7">
        <f>Table2[[#This Row],[Elevation
PILE TOP]]-Table2[[#This Row],[LENGTH(m.)
(Actual)]]</f>
        <v>0.28999999999999998</v>
      </c>
      <c r="R38" s="2"/>
      <c r="S38" s="7">
        <f>Table2[[#This Row],[N]]+Table2[[#This Row],[Pile 
Deviation 
N (m)]]</f>
        <v>1511751.298</v>
      </c>
      <c r="T38" s="7">
        <f>Table2[[#This Row],[E]]+Table2[[#This Row],[Pile 
Deviation 
E (m)]]</f>
        <v>693971.62800000003</v>
      </c>
      <c r="W38" s="7">
        <v>0.28999999999999998</v>
      </c>
      <c r="X38" s="2" t="s">
        <v>36</v>
      </c>
      <c r="AA38" s="9">
        <v>46199</v>
      </c>
    </row>
    <row r="39" spans="1:27" ht="13.95" customHeight="1" x14ac:dyDescent="0.65">
      <c r="A39">
        <v>37</v>
      </c>
      <c r="B39" t="s">
        <v>29</v>
      </c>
      <c r="C39" s="6">
        <v>1511751.8570000001</v>
      </c>
      <c r="D39" s="6">
        <v>693974.397</v>
      </c>
      <c r="E39" s="2" t="s">
        <v>35</v>
      </c>
      <c r="F39" s="1">
        <v>24</v>
      </c>
      <c r="G39" s="2" t="s">
        <v>31</v>
      </c>
      <c r="J39"/>
      <c r="K39" s="19"/>
      <c r="L39" s="21"/>
      <c r="M39" s="27"/>
      <c r="N39" s="19"/>
      <c r="O39" s="21"/>
      <c r="P39" s="7">
        <v>0.28999999999999998</v>
      </c>
      <c r="Q39" s="7">
        <f>Table2[[#This Row],[Elevation
PILE TOP]]-Table2[[#This Row],[LENGTH(m.)
(Actual)]]</f>
        <v>0.28999999999999998</v>
      </c>
      <c r="R39" s="2"/>
      <c r="S39" s="7">
        <f>Table2[[#This Row],[N]]+Table2[[#This Row],[Pile 
Deviation 
N (m)]]</f>
        <v>1511751.8570000001</v>
      </c>
      <c r="T39" s="7">
        <f>Table2[[#This Row],[E]]+Table2[[#This Row],[Pile 
Deviation 
E (m)]]</f>
        <v>693974.397</v>
      </c>
      <c r="W39" s="7">
        <v>0.28999999999999998</v>
      </c>
      <c r="X39" s="2" t="s">
        <v>36</v>
      </c>
      <c r="AA39" s="9">
        <v>46199</v>
      </c>
    </row>
    <row r="40" spans="1:27" x14ac:dyDescent="0.65">
      <c r="A40">
        <v>38</v>
      </c>
      <c r="B40" t="s">
        <v>29</v>
      </c>
      <c r="C40" s="6">
        <v>1511752.416</v>
      </c>
      <c r="D40" s="6">
        <v>693977.16599999997</v>
      </c>
      <c r="E40" s="2" t="s">
        <v>35</v>
      </c>
      <c r="F40" s="1">
        <v>24</v>
      </c>
      <c r="G40" s="2" t="s">
        <v>31</v>
      </c>
      <c r="J40"/>
      <c r="K40" s="19"/>
      <c r="L40" s="21"/>
      <c r="M40" s="27"/>
      <c r="N40" s="19"/>
      <c r="O40" s="21"/>
      <c r="P40" s="7">
        <v>0.28999999999999998</v>
      </c>
      <c r="Q40" s="7">
        <f>Table2[[#This Row],[Elevation
PILE TOP]]-Table2[[#This Row],[LENGTH(m.)
(Actual)]]</f>
        <v>0.28999999999999998</v>
      </c>
      <c r="R40" s="2"/>
      <c r="S40" s="7">
        <f>Table2[[#This Row],[N]]+Table2[[#This Row],[Pile 
Deviation 
N (m)]]</f>
        <v>1511752.416</v>
      </c>
      <c r="T40" s="7">
        <f>Table2[[#This Row],[E]]+Table2[[#This Row],[Pile 
Deviation 
E (m)]]</f>
        <v>693977.16599999997</v>
      </c>
      <c r="W40" s="7">
        <v>0.28999999999999998</v>
      </c>
      <c r="X40" s="2" t="s">
        <v>36</v>
      </c>
      <c r="AA40" s="9">
        <v>46199</v>
      </c>
    </row>
    <row r="41" spans="1:27" ht="13.95" customHeight="1" x14ac:dyDescent="0.65">
      <c r="A41">
        <v>39</v>
      </c>
      <c r="B41" t="s">
        <v>29</v>
      </c>
      <c r="C41" s="6">
        <v>1511752.976</v>
      </c>
      <c r="D41" s="6">
        <v>693979.93500000006</v>
      </c>
      <c r="E41" s="2" t="s">
        <v>35</v>
      </c>
      <c r="F41" s="1">
        <v>24</v>
      </c>
      <c r="G41" s="2" t="s">
        <v>31</v>
      </c>
      <c r="J41"/>
      <c r="K41" s="19"/>
      <c r="L41" s="21"/>
      <c r="M41" s="27"/>
      <c r="N41" s="19"/>
      <c r="O41" s="21"/>
      <c r="P41" s="7">
        <v>0.28999999999999998</v>
      </c>
      <c r="Q41" s="7">
        <f>Table2[[#This Row],[Elevation
PILE TOP]]-Table2[[#This Row],[LENGTH(m.)
(Actual)]]</f>
        <v>0.28999999999999998</v>
      </c>
      <c r="R41" s="2"/>
      <c r="S41" s="7">
        <f>Table2[[#This Row],[N]]+Table2[[#This Row],[Pile 
Deviation 
N (m)]]</f>
        <v>1511752.976</v>
      </c>
      <c r="T41" s="7">
        <f>Table2[[#This Row],[E]]+Table2[[#This Row],[Pile 
Deviation 
E (m)]]</f>
        <v>693979.93500000006</v>
      </c>
      <c r="W41" s="7">
        <v>0.28999999999999998</v>
      </c>
      <c r="X41" s="2" t="s">
        <v>36</v>
      </c>
      <c r="AA41" s="9">
        <v>46200</v>
      </c>
    </row>
    <row r="42" spans="1:27" x14ac:dyDescent="0.65">
      <c r="A42">
        <v>40</v>
      </c>
      <c r="B42" t="s">
        <v>29</v>
      </c>
      <c r="C42" s="6">
        <v>1511753.5349999999</v>
      </c>
      <c r="D42" s="6">
        <v>693982.70400000003</v>
      </c>
      <c r="E42" s="2" t="s">
        <v>35</v>
      </c>
      <c r="F42" s="1">
        <v>24</v>
      </c>
      <c r="G42" s="2" t="s">
        <v>31</v>
      </c>
      <c r="J42"/>
      <c r="K42" s="19"/>
      <c r="L42" s="21"/>
      <c r="M42" s="27"/>
      <c r="N42" s="19"/>
      <c r="O42" s="21"/>
      <c r="P42" s="7">
        <v>0.28999999999999998</v>
      </c>
      <c r="Q42" s="7">
        <f>Table2[[#This Row],[Elevation
PILE TOP]]-Table2[[#This Row],[LENGTH(m.)
(Actual)]]</f>
        <v>0.28999999999999998</v>
      </c>
      <c r="R42" s="2"/>
      <c r="S42" s="7">
        <f>Table2[[#This Row],[N]]+Table2[[#This Row],[Pile 
Deviation 
N (m)]]</f>
        <v>1511753.5349999999</v>
      </c>
      <c r="T42" s="7">
        <f>Table2[[#This Row],[E]]+Table2[[#This Row],[Pile 
Deviation 
E (m)]]</f>
        <v>693982.70400000003</v>
      </c>
      <c r="W42" s="7">
        <v>0.28999999999999998</v>
      </c>
      <c r="X42" s="2" t="s">
        <v>36</v>
      </c>
      <c r="AA42" s="9">
        <v>46200</v>
      </c>
    </row>
    <row r="43" spans="1:27" ht="13.95" customHeight="1" x14ac:dyDescent="0.65">
      <c r="A43">
        <v>41</v>
      </c>
      <c r="B43" t="s">
        <v>29</v>
      </c>
      <c r="C43" s="6">
        <v>1511754.064</v>
      </c>
      <c r="D43" s="6">
        <v>693985.326</v>
      </c>
      <c r="E43" s="2" t="s">
        <v>35</v>
      </c>
      <c r="F43" s="1">
        <v>24</v>
      </c>
      <c r="G43" s="2" t="s">
        <v>31</v>
      </c>
      <c r="J43"/>
      <c r="K43" s="19"/>
      <c r="L43" s="21"/>
      <c r="M43" s="27"/>
      <c r="N43" s="19"/>
      <c r="O43" s="21"/>
      <c r="P43" s="7">
        <v>0.28999999999999998</v>
      </c>
      <c r="Q43" s="7">
        <f>Table2[[#This Row],[Elevation
PILE TOP]]-Table2[[#This Row],[LENGTH(m.)
(Actual)]]</f>
        <v>0.28999999999999998</v>
      </c>
      <c r="R43" s="2"/>
      <c r="S43" s="7">
        <f>Table2[[#This Row],[N]]+Table2[[#This Row],[Pile 
Deviation 
N (m)]]</f>
        <v>1511754.064</v>
      </c>
      <c r="T43" s="7">
        <f>Table2[[#This Row],[E]]+Table2[[#This Row],[Pile 
Deviation 
E (m)]]</f>
        <v>693985.326</v>
      </c>
      <c r="W43" s="7">
        <v>0.28999999999999998</v>
      </c>
      <c r="X43" s="2" t="s">
        <v>36</v>
      </c>
      <c r="AA43" s="9">
        <v>46200</v>
      </c>
    </row>
    <row r="44" spans="1:27" x14ac:dyDescent="0.65">
      <c r="A44">
        <v>42</v>
      </c>
      <c r="B44" t="s">
        <v>29</v>
      </c>
      <c r="C44" s="6">
        <v>1511754.594</v>
      </c>
      <c r="D44" s="6">
        <v>693987.94799999997</v>
      </c>
      <c r="E44" s="2" t="s">
        <v>35</v>
      </c>
      <c r="F44" s="1">
        <v>24</v>
      </c>
      <c r="G44" s="2" t="s">
        <v>31</v>
      </c>
      <c r="J44"/>
      <c r="K44" s="19"/>
      <c r="L44" s="21"/>
      <c r="M44" s="27"/>
      <c r="N44" s="19"/>
      <c r="O44" s="21"/>
      <c r="P44" s="7">
        <v>0.28999999999999998</v>
      </c>
      <c r="Q44" s="7">
        <f>Table2[[#This Row],[Elevation
PILE TOP]]-Table2[[#This Row],[LENGTH(m.)
(Actual)]]</f>
        <v>0.28999999999999998</v>
      </c>
      <c r="R44" s="2"/>
      <c r="S44" s="7">
        <f>Table2[[#This Row],[N]]+Table2[[#This Row],[Pile 
Deviation 
N (m)]]</f>
        <v>1511754.594</v>
      </c>
      <c r="T44" s="7">
        <f>Table2[[#This Row],[E]]+Table2[[#This Row],[Pile 
Deviation 
E (m)]]</f>
        <v>693987.94799999997</v>
      </c>
      <c r="W44" s="7">
        <v>0.28999999999999998</v>
      </c>
      <c r="X44" s="2" t="s">
        <v>36</v>
      </c>
      <c r="AA44" s="9">
        <v>46200</v>
      </c>
    </row>
    <row r="45" spans="1:27" ht="13.95" customHeight="1" x14ac:dyDescent="0.65">
      <c r="A45">
        <v>43</v>
      </c>
      <c r="B45" t="s">
        <v>29</v>
      </c>
      <c r="C45" s="6">
        <v>1511755.118</v>
      </c>
      <c r="D45" s="6">
        <v>693990.54599999997</v>
      </c>
      <c r="E45" s="2" t="s">
        <v>35</v>
      </c>
      <c r="F45" s="1">
        <v>24</v>
      </c>
      <c r="G45" s="2" t="s">
        <v>31</v>
      </c>
      <c r="J45"/>
      <c r="K45" s="19"/>
      <c r="L45" s="21"/>
      <c r="M45" s="27"/>
      <c r="N45" s="19"/>
      <c r="O45" s="21"/>
      <c r="P45" s="7">
        <v>0.28999999999999998</v>
      </c>
      <c r="Q45" s="7">
        <f>Table2[[#This Row],[Elevation
PILE TOP]]-Table2[[#This Row],[LENGTH(m.)
(Actual)]]</f>
        <v>0.28999999999999998</v>
      </c>
      <c r="R45" s="2"/>
      <c r="S45" s="7">
        <f>Table2[[#This Row],[N]]+Table2[[#This Row],[Pile 
Deviation 
N (m)]]</f>
        <v>1511755.118</v>
      </c>
      <c r="T45" s="7">
        <f>Table2[[#This Row],[E]]+Table2[[#This Row],[Pile 
Deviation 
E (m)]]</f>
        <v>693990.54599999997</v>
      </c>
      <c r="W45" s="7">
        <v>0.28999999999999998</v>
      </c>
      <c r="X45" s="2" t="s">
        <v>36</v>
      </c>
      <c r="AA45" s="9">
        <v>46200</v>
      </c>
    </row>
    <row r="46" spans="1:27" x14ac:dyDescent="0.65">
      <c r="A46">
        <v>44</v>
      </c>
      <c r="B46" t="s">
        <v>29</v>
      </c>
      <c r="C46" s="6">
        <v>1511755.6429999999</v>
      </c>
      <c r="D46" s="6">
        <v>693993.14399999997</v>
      </c>
      <c r="E46" s="2" t="s">
        <v>35</v>
      </c>
      <c r="F46" s="1">
        <v>24</v>
      </c>
      <c r="G46" s="2" t="s">
        <v>31</v>
      </c>
      <c r="J46"/>
      <c r="K46" s="19"/>
      <c r="L46" s="21"/>
      <c r="M46" s="27"/>
      <c r="N46" s="19"/>
      <c r="O46" s="21"/>
      <c r="P46" s="7">
        <v>0.28999999999999998</v>
      </c>
      <c r="Q46" s="7">
        <f>Table2[[#This Row],[Elevation
PILE TOP]]-Table2[[#This Row],[LENGTH(m.)
(Actual)]]</f>
        <v>0.28999999999999998</v>
      </c>
      <c r="R46" s="2"/>
      <c r="S46" s="7">
        <f>Table2[[#This Row],[N]]+Table2[[#This Row],[Pile 
Deviation 
N (m)]]</f>
        <v>1511755.6429999999</v>
      </c>
      <c r="T46" s="7">
        <f>Table2[[#This Row],[E]]+Table2[[#This Row],[Pile 
Deviation 
E (m)]]</f>
        <v>693993.14399999997</v>
      </c>
      <c r="W46" s="7">
        <v>0.28999999999999998</v>
      </c>
      <c r="X46" s="2" t="s">
        <v>36</v>
      </c>
      <c r="AA46" s="9">
        <v>46200</v>
      </c>
    </row>
    <row r="47" spans="1:27" ht="13.95" customHeight="1" x14ac:dyDescent="0.65">
      <c r="A47">
        <v>45</v>
      </c>
      <c r="B47" t="s">
        <v>29</v>
      </c>
      <c r="C47" s="6">
        <v>1511756.173</v>
      </c>
      <c r="D47" s="6">
        <v>693995.76599999995</v>
      </c>
      <c r="E47" s="2" t="s">
        <v>35</v>
      </c>
      <c r="F47" s="1">
        <v>24</v>
      </c>
      <c r="G47" s="2" t="s">
        <v>31</v>
      </c>
      <c r="J47"/>
      <c r="K47" s="19"/>
      <c r="L47" s="21"/>
      <c r="M47" s="27"/>
      <c r="N47" s="19"/>
      <c r="O47" s="21"/>
      <c r="P47" s="7">
        <v>0.28999999999999998</v>
      </c>
      <c r="Q47" s="7">
        <f>Table2[[#This Row],[Elevation
PILE TOP]]-Table2[[#This Row],[LENGTH(m.)
(Actual)]]</f>
        <v>0.28999999999999998</v>
      </c>
      <c r="R47" s="2"/>
      <c r="S47" s="7">
        <f>Table2[[#This Row],[N]]+Table2[[#This Row],[Pile 
Deviation 
N (m)]]</f>
        <v>1511756.173</v>
      </c>
      <c r="T47" s="7">
        <f>Table2[[#This Row],[E]]+Table2[[#This Row],[Pile 
Deviation 
E (m)]]</f>
        <v>693995.76599999995</v>
      </c>
      <c r="W47" s="7">
        <v>0.28999999999999998</v>
      </c>
      <c r="X47" s="2" t="s">
        <v>36</v>
      </c>
      <c r="AA47" s="9">
        <v>46200</v>
      </c>
    </row>
    <row r="48" spans="1:27" x14ac:dyDescent="0.65">
      <c r="A48">
        <v>46</v>
      </c>
      <c r="B48" t="s">
        <v>29</v>
      </c>
      <c r="C48" s="6">
        <v>1511747.334</v>
      </c>
      <c r="D48" s="6">
        <v>693960.08400000003</v>
      </c>
      <c r="E48" s="2" t="s">
        <v>30</v>
      </c>
      <c r="F48" s="1">
        <v>24</v>
      </c>
      <c r="G48" s="2" t="s">
        <v>31</v>
      </c>
      <c r="J48"/>
      <c r="K48" s="19"/>
      <c r="L48" s="21"/>
      <c r="M48" s="27"/>
      <c r="N48" s="19"/>
      <c r="O48" s="21"/>
      <c r="P48" s="7">
        <v>-0.17499999999999999</v>
      </c>
      <c r="Q48" s="7">
        <f>Table2[[#This Row],[Elevation
PILE TOP]]-Table2[[#This Row],[LENGTH(m.)
(Actual)]]</f>
        <v>-0.17499999999999999</v>
      </c>
      <c r="R48" s="2"/>
      <c r="S48" s="7">
        <f>Table2[[#This Row],[N]]+Table2[[#This Row],[Pile 
Deviation 
N (m)]]</f>
        <v>1511747.334</v>
      </c>
      <c r="T48" s="7">
        <f>Table2[[#This Row],[E]]+Table2[[#This Row],[Pile 
Deviation 
E (m)]]</f>
        <v>693960.08400000003</v>
      </c>
      <c r="W48" s="7">
        <v>-0.67500000000000004</v>
      </c>
      <c r="X48" s="2" t="s">
        <v>33</v>
      </c>
      <c r="AA48" s="9">
        <v>46201</v>
      </c>
    </row>
    <row r="49" spans="1:29" ht="13.95" customHeight="1" x14ac:dyDescent="0.65">
      <c r="A49">
        <v>47</v>
      </c>
      <c r="B49" t="s">
        <v>29</v>
      </c>
      <c r="C49" s="6">
        <v>1511747.513</v>
      </c>
      <c r="D49" s="6">
        <v>693960.96600000001</v>
      </c>
      <c r="E49" s="2" t="s">
        <v>30</v>
      </c>
      <c r="F49" s="1">
        <v>24</v>
      </c>
      <c r="G49" s="2" t="s">
        <v>31</v>
      </c>
      <c r="J49"/>
      <c r="K49" s="19"/>
      <c r="L49" s="21"/>
      <c r="M49" s="27"/>
      <c r="N49" s="19"/>
      <c r="O49" s="21"/>
      <c r="P49" s="7">
        <v>-0.17499999999999999</v>
      </c>
      <c r="Q49" s="7">
        <f>Table2[[#This Row],[Elevation
PILE TOP]]-Table2[[#This Row],[LENGTH(m.)
(Actual)]]</f>
        <v>-0.17499999999999999</v>
      </c>
      <c r="R49" s="2"/>
      <c r="S49" s="7">
        <f>Table2[[#This Row],[N]]+Table2[[#This Row],[Pile 
Deviation 
N (m)]]</f>
        <v>1511747.513</v>
      </c>
      <c r="T49" s="7">
        <f>Table2[[#This Row],[E]]+Table2[[#This Row],[Pile 
Deviation 
E (m)]]</f>
        <v>693960.96600000001</v>
      </c>
      <c r="W49" s="7">
        <v>-0.67500000000000004</v>
      </c>
      <c r="X49" s="2" t="s">
        <v>33</v>
      </c>
      <c r="AA49" s="9">
        <v>46201</v>
      </c>
    </row>
    <row r="50" spans="1:29" x14ac:dyDescent="0.65">
      <c r="A50">
        <v>48</v>
      </c>
      <c r="B50" t="s">
        <v>29</v>
      </c>
      <c r="C50" s="6">
        <v>1511746.55</v>
      </c>
      <c r="D50" s="6">
        <v>693960.24199999997</v>
      </c>
      <c r="E50" s="2" t="s">
        <v>30</v>
      </c>
      <c r="F50" s="1">
        <v>24</v>
      </c>
      <c r="G50" s="2" t="s">
        <v>31</v>
      </c>
      <c r="J50"/>
      <c r="K50" s="19"/>
      <c r="L50" s="21"/>
      <c r="M50" s="27"/>
      <c r="N50" s="19"/>
      <c r="O50" s="21"/>
      <c r="P50" s="7">
        <v>-0.17499999999999999</v>
      </c>
      <c r="Q50" s="7">
        <f>Table2[[#This Row],[Elevation
PILE TOP]]-Table2[[#This Row],[LENGTH(m.)
(Actual)]]</f>
        <v>-0.17499999999999999</v>
      </c>
      <c r="R50" s="2"/>
      <c r="S50" s="7">
        <f>Table2[[#This Row],[N]]+Table2[[#This Row],[Pile 
Deviation 
N (m)]]</f>
        <v>1511746.55</v>
      </c>
      <c r="T50" s="7">
        <f>Table2[[#This Row],[E]]+Table2[[#This Row],[Pile 
Deviation 
E (m)]]</f>
        <v>693960.24199999997</v>
      </c>
      <c r="W50" s="7">
        <v>-0.67500000000000004</v>
      </c>
      <c r="X50" s="2" t="s">
        <v>33</v>
      </c>
      <c r="AA50" s="9">
        <v>46201</v>
      </c>
    </row>
    <row r="51" spans="1:29" ht="13.95" customHeight="1" x14ac:dyDescent="0.65">
      <c r="A51">
        <v>49</v>
      </c>
      <c r="B51" t="s">
        <v>29</v>
      </c>
      <c r="C51" s="6">
        <v>1511746.7279999999</v>
      </c>
      <c r="D51" s="6">
        <v>693961.125</v>
      </c>
      <c r="E51" s="2" t="s">
        <v>30</v>
      </c>
      <c r="F51" s="1">
        <v>24</v>
      </c>
      <c r="G51" s="2" t="s">
        <v>31</v>
      </c>
      <c r="J51"/>
      <c r="K51" s="19"/>
      <c r="L51" s="21"/>
      <c r="M51" s="27"/>
      <c r="N51" s="19"/>
      <c r="O51" s="21"/>
      <c r="P51" s="7">
        <v>-0.17499999999999999</v>
      </c>
      <c r="Q51" s="7">
        <f>Table2[[#This Row],[Elevation
PILE TOP]]-Table2[[#This Row],[LENGTH(m.)
(Actual)]]</f>
        <v>-0.17499999999999999</v>
      </c>
      <c r="R51" s="2"/>
      <c r="S51" s="7">
        <f>Table2[[#This Row],[N]]+Table2[[#This Row],[Pile 
Deviation 
N (m)]]</f>
        <v>1511746.7279999999</v>
      </c>
      <c r="T51" s="7">
        <f>Table2[[#This Row],[E]]+Table2[[#This Row],[Pile 
Deviation 
E (m)]]</f>
        <v>693961.125</v>
      </c>
      <c r="W51" s="7">
        <v>-0.67500000000000004</v>
      </c>
      <c r="X51" s="2" t="s">
        <v>33</v>
      </c>
      <c r="AA51" s="9">
        <v>46201</v>
      </c>
    </row>
    <row r="52" spans="1:29" x14ac:dyDescent="0.65">
      <c r="A52">
        <v>50</v>
      </c>
      <c r="B52" t="s">
        <v>29</v>
      </c>
      <c r="C52" s="6">
        <v>1511747.7849999999</v>
      </c>
      <c r="D52" s="6">
        <v>693962.44200000004</v>
      </c>
      <c r="E52" s="2" t="s">
        <v>30</v>
      </c>
      <c r="F52" s="1">
        <v>24</v>
      </c>
      <c r="G52" s="2" t="s">
        <v>31</v>
      </c>
      <c r="J52"/>
      <c r="K52" s="19"/>
      <c r="L52" s="21"/>
      <c r="M52" s="27"/>
      <c r="N52" s="19"/>
      <c r="O52" s="21"/>
      <c r="P52" s="7">
        <v>-0.17499999999999999</v>
      </c>
      <c r="Q52" s="7">
        <f>Table2[[#This Row],[Elevation
PILE TOP]]-Table2[[#This Row],[LENGTH(m.)
(Actual)]]</f>
        <v>-0.17499999999999999</v>
      </c>
      <c r="R52" s="2"/>
      <c r="S52" s="7">
        <f>Table2[[#This Row],[N]]+Table2[[#This Row],[Pile 
Deviation 
N (m)]]</f>
        <v>1511747.7849999999</v>
      </c>
      <c r="T52" s="7">
        <f>Table2[[#This Row],[E]]+Table2[[#This Row],[Pile 
Deviation 
E (m)]]</f>
        <v>693962.44200000004</v>
      </c>
      <c r="W52" s="7">
        <v>-0.67500000000000004</v>
      </c>
      <c r="X52" s="2" t="s">
        <v>37</v>
      </c>
      <c r="AA52" s="9">
        <v>46201</v>
      </c>
      <c r="AC52" s="8"/>
    </row>
    <row r="53" spans="1:29" ht="13.95" customHeight="1" x14ac:dyDescent="0.65">
      <c r="A53">
        <v>51</v>
      </c>
      <c r="B53" t="s">
        <v>29</v>
      </c>
      <c r="C53" s="6">
        <v>1511747.0009999999</v>
      </c>
      <c r="D53" s="6">
        <v>693962.6</v>
      </c>
      <c r="E53" s="2" t="s">
        <v>30</v>
      </c>
      <c r="F53" s="1">
        <v>24</v>
      </c>
      <c r="G53" s="2" t="s">
        <v>31</v>
      </c>
      <c r="J53"/>
      <c r="K53" s="19"/>
      <c r="L53" s="21"/>
      <c r="M53" s="27"/>
      <c r="N53" s="19"/>
      <c r="O53" s="21"/>
      <c r="P53" s="7">
        <v>-0.17499999999999999</v>
      </c>
      <c r="Q53" s="7">
        <f>Table2[[#This Row],[Elevation
PILE TOP]]-Table2[[#This Row],[LENGTH(m.)
(Actual)]]</f>
        <v>-0.17499999999999999</v>
      </c>
      <c r="R53" s="2"/>
      <c r="S53" s="7">
        <f>Table2[[#This Row],[N]]+Table2[[#This Row],[Pile 
Deviation 
N (m)]]</f>
        <v>1511747.0009999999</v>
      </c>
      <c r="T53" s="7">
        <f>Table2[[#This Row],[E]]+Table2[[#This Row],[Pile 
Deviation 
E (m)]]</f>
        <v>693962.6</v>
      </c>
      <c r="W53" s="7">
        <v>-0.67500000000000004</v>
      </c>
      <c r="X53" s="2" t="s">
        <v>37</v>
      </c>
      <c r="AA53" s="9">
        <v>46201</v>
      </c>
      <c r="AC53" s="8"/>
    </row>
    <row r="54" spans="1:29" x14ac:dyDescent="0.65">
      <c r="A54">
        <v>52</v>
      </c>
      <c r="B54" t="s">
        <v>29</v>
      </c>
      <c r="C54" s="6">
        <v>1511747.66</v>
      </c>
      <c r="D54" s="6">
        <v>693963.71699999995</v>
      </c>
      <c r="E54" s="2" t="s">
        <v>35</v>
      </c>
      <c r="F54" s="1">
        <v>24</v>
      </c>
      <c r="G54" s="2" t="s">
        <v>31</v>
      </c>
      <c r="J54"/>
      <c r="K54" s="19"/>
      <c r="L54" s="21"/>
      <c r="M54" s="27"/>
      <c r="N54" s="19"/>
      <c r="O54" s="21"/>
      <c r="P54" s="7">
        <v>0.28999999999999998</v>
      </c>
      <c r="Q54" s="7">
        <f>Table2[[#This Row],[Elevation
PILE TOP]]-Table2[[#This Row],[LENGTH(m.)
(Actual)]]</f>
        <v>0.28999999999999998</v>
      </c>
      <c r="R54" s="2"/>
      <c r="S54" s="7">
        <f>Table2[[#This Row],[N]]+Table2[[#This Row],[Pile 
Deviation 
N (m)]]</f>
        <v>1511747.66</v>
      </c>
      <c r="T54" s="7">
        <f>Table2[[#This Row],[E]]+Table2[[#This Row],[Pile 
Deviation 
E (m)]]</f>
        <v>693963.71699999995</v>
      </c>
      <c r="W54" s="7">
        <v>0.28999999999999998</v>
      </c>
      <c r="X54" s="2" t="s">
        <v>36</v>
      </c>
      <c r="AA54" s="9">
        <v>46201</v>
      </c>
    </row>
    <row r="55" spans="1:29" ht="13.95" customHeight="1" x14ac:dyDescent="0.65">
      <c r="A55">
        <v>53</v>
      </c>
      <c r="B55" t="s">
        <v>29</v>
      </c>
      <c r="C55" s="6">
        <v>1511748.5870000001</v>
      </c>
      <c r="D55" s="6">
        <v>693966.41099999996</v>
      </c>
      <c r="E55" s="2" t="s">
        <v>30</v>
      </c>
      <c r="F55" s="1">
        <v>24</v>
      </c>
      <c r="G55" s="2" t="s">
        <v>31</v>
      </c>
      <c r="J55"/>
      <c r="K55" s="19"/>
      <c r="L55" s="21"/>
      <c r="M55" s="27"/>
      <c r="N55" s="19"/>
      <c r="O55" s="21"/>
      <c r="P55" s="7">
        <v>-0.17499999999999999</v>
      </c>
      <c r="Q55" s="7">
        <f>Table2[[#This Row],[Elevation
PILE TOP]]-Table2[[#This Row],[LENGTH(m.)
(Actual)]]</f>
        <v>-0.17499999999999999</v>
      </c>
      <c r="R55" s="2"/>
      <c r="S55" s="7">
        <f>Table2[[#This Row],[N]]+Table2[[#This Row],[Pile 
Deviation 
N (m)]]</f>
        <v>1511748.5870000001</v>
      </c>
      <c r="T55" s="7">
        <f>Table2[[#This Row],[E]]+Table2[[#This Row],[Pile 
Deviation 
E (m)]]</f>
        <v>693966.41099999996</v>
      </c>
      <c r="W55" s="7">
        <v>-0.67500000000000004</v>
      </c>
      <c r="X55" s="2" t="s">
        <v>37</v>
      </c>
      <c r="AA55" s="9">
        <v>46203</v>
      </c>
      <c r="AC55" s="8"/>
    </row>
    <row r="56" spans="1:29" x14ac:dyDescent="0.65">
      <c r="A56">
        <v>54</v>
      </c>
      <c r="B56" t="s">
        <v>29</v>
      </c>
      <c r="C56" s="6">
        <v>1511747.8030000001</v>
      </c>
      <c r="D56" s="6">
        <v>693966.57299999997</v>
      </c>
      <c r="E56" s="2" t="s">
        <v>30</v>
      </c>
      <c r="F56" s="1">
        <v>24</v>
      </c>
      <c r="G56" s="2" t="s">
        <v>31</v>
      </c>
      <c r="J56"/>
      <c r="K56" s="19"/>
      <c r="L56" s="21"/>
      <c r="M56" s="27"/>
      <c r="N56" s="19"/>
      <c r="O56" s="21"/>
      <c r="P56" s="7">
        <v>-0.17499999999999999</v>
      </c>
      <c r="Q56" s="7">
        <f>Table2[[#This Row],[Elevation
PILE TOP]]-Table2[[#This Row],[LENGTH(m.)
(Actual)]]</f>
        <v>-0.17499999999999999</v>
      </c>
      <c r="R56" s="2"/>
      <c r="S56" s="7">
        <f>Table2[[#This Row],[N]]+Table2[[#This Row],[Pile 
Deviation 
N (m)]]</f>
        <v>1511747.8030000001</v>
      </c>
      <c r="T56" s="7">
        <f>Table2[[#This Row],[E]]+Table2[[#This Row],[Pile 
Deviation 
E (m)]]</f>
        <v>693966.57299999997</v>
      </c>
      <c r="W56" s="7">
        <v>-0.67500000000000004</v>
      </c>
      <c r="X56" s="2" t="s">
        <v>37</v>
      </c>
      <c r="AA56" s="9">
        <v>46203</v>
      </c>
      <c r="AC56" s="8"/>
    </row>
    <row r="57" spans="1:29" ht="13.95" customHeight="1" x14ac:dyDescent="0.65">
      <c r="A57">
        <v>55</v>
      </c>
      <c r="B57" t="s">
        <v>29</v>
      </c>
      <c r="C57" s="6">
        <v>1511748.7779999999</v>
      </c>
      <c r="D57" s="6">
        <v>693969.255</v>
      </c>
      <c r="E57" s="2" t="s">
        <v>35</v>
      </c>
      <c r="F57" s="1">
        <v>24</v>
      </c>
      <c r="G57" s="2" t="s">
        <v>31</v>
      </c>
      <c r="J57"/>
      <c r="K57" s="19"/>
      <c r="L57" s="21"/>
      <c r="M57" s="27"/>
      <c r="N57" s="19"/>
      <c r="O57" s="21"/>
      <c r="P57" s="7">
        <v>0.28999999999999998</v>
      </c>
      <c r="Q57" s="7">
        <f>Table2[[#This Row],[Elevation
PILE TOP]]-Table2[[#This Row],[LENGTH(m.)
(Actual)]]</f>
        <v>0.28999999999999998</v>
      </c>
      <c r="R57" s="2"/>
      <c r="S57" s="7">
        <f>Table2[[#This Row],[N]]+Table2[[#This Row],[Pile 
Deviation 
N (m)]]</f>
        <v>1511748.7779999999</v>
      </c>
      <c r="T57" s="7">
        <f>Table2[[#This Row],[E]]+Table2[[#This Row],[Pile 
Deviation 
E (m)]]</f>
        <v>693969.255</v>
      </c>
      <c r="W57" s="7">
        <v>0.28999999999999998</v>
      </c>
      <c r="X57" s="2" t="s">
        <v>36</v>
      </c>
      <c r="AA57" s="9">
        <v>46203</v>
      </c>
    </row>
    <row r="58" spans="1:29" x14ac:dyDescent="0.65">
      <c r="A58">
        <v>56</v>
      </c>
      <c r="B58" t="s">
        <v>29</v>
      </c>
      <c r="C58" s="6">
        <v>1511749.706</v>
      </c>
      <c r="D58" s="6">
        <v>693971.95200000005</v>
      </c>
      <c r="E58" s="2" t="s">
        <v>30</v>
      </c>
      <c r="F58" s="1">
        <v>24</v>
      </c>
      <c r="G58" s="2" t="s">
        <v>31</v>
      </c>
      <c r="J58"/>
      <c r="K58" s="19"/>
      <c r="L58" s="21"/>
      <c r="M58" s="27"/>
      <c r="N58" s="19"/>
      <c r="O58" s="21"/>
      <c r="P58" s="7">
        <v>-0.17499999999999999</v>
      </c>
      <c r="Q58" s="7">
        <f>Table2[[#This Row],[Elevation
PILE TOP]]-Table2[[#This Row],[LENGTH(m.)
(Actual)]]</f>
        <v>-0.17499999999999999</v>
      </c>
      <c r="R58" s="2"/>
      <c r="S58" s="7">
        <f>Table2[[#This Row],[N]]+Table2[[#This Row],[Pile 
Deviation 
N (m)]]</f>
        <v>1511749.706</v>
      </c>
      <c r="T58" s="7">
        <f>Table2[[#This Row],[E]]+Table2[[#This Row],[Pile 
Deviation 
E (m)]]</f>
        <v>693971.95200000005</v>
      </c>
      <c r="W58" s="7">
        <v>-0.67500000000000004</v>
      </c>
      <c r="X58" s="2" t="s">
        <v>37</v>
      </c>
      <c r="AA58" s="9">
        <v>46203</v>
      </c>
      <c r="AC58" s="8"/>
    </row>
    <row r="59" spans="1:29" ht="13.95" customHeight="1" x14ac:dyDescent="0.65">
      <c r="A59">
        <v>57</v>
      </c>
      <c r="B59" t="s">
        <v>29</v>
      </c>
      <c r="C59" s="6">
        <v>1511748.922</v>
      </c>
      <c r="D59" s="6">
        <v>693972.11100000003</v>
      </c>
      <c r="E59" s="2" t="s">
        <v>30</v>
      </c>
      <c r="F59" s="1">
        <v>24</v>
      </c>
      <c r="G59" s="2" t="s">
        <v>31</v>
      </c>
      <c r="J59"/>
      <c r="K59" s="19"/>
      <c r="L59" s="21"/>
      <c r="M59" s="27"/>
      <c r="N59" s="19"/>
      <c r="O59" s="21"/>
      <c r="P59" s="7">
        <v>-0.17499999999999999</v>
      </c>
      <c r="Q59" s="7">
        <f>Table2[[#This Row],[Elevation
PILE TOP]]-Table2[[#This Row],[LENGTH(m.)
(Actual)]]</f>
        <v>-0.17499999999999999</v>
      </c>
      <c r="R59" s="2"/>
      <c r="S59" s="7">
        <f>Table2[[#This Row],[N]]+Table2[[#This Row],[Pile 
Deviation 
N (m)]]</f>
        <v>1511748.922</v>
      </c>
      <c r="T59" s="7">
        <f>Table2[[#This Row],[E]]+Table2[[#This Row],[Pile 
Deviation 
E (m)]]</f>
        <v>693972.11100000003</v>
      </c>
      <c r="W59" s="7">
        <v>-0.67500000000000004</v>
      </c>
      <c r="X59" s="2" t="s">
        <v>37</v>
      </c>
      <c r="AA59" s="9">
        <v>46203</v>
      </c>
      <c r="AC59" s="8"/>
    </row>
    <row r="60" spans="1:29" x14ac:dyDescent="0.65">
      <c r="A60">
        <v>58</v>
      </c>
      <c r="B60" t="s">
        <v>29</v>
      </c>
      <c r="C60" s="6">
        <v>1511749.8970000001</v>
      </c>
      <c r="D60" s="6">
        <v>693974.79299999995</v>
      </c>
      <c r="E60" s="2" t="s">
        <v>35</v>
      </c>
      <c r="F60" s="1">
        <v>24</v>
      </c>
      <c r="G60" s="2" t="s">
        <v>31</v>
      </c>
      <c r="J60"/>
      <c r="K60" s="19"/>
      <c r="L60" s="21"/>
      <c r="M60" s="27"/>
      <c r="N60" s="19"/>
      <c r="O60" s="21"/>
      <c r="P60" s="7">
        <v>0.28999999999999998</v>
      </c>
      <c r="Q60" s="7">
        <f>Table2[[#This Row],[Elevation
PILE TOP]]-Table2[[#This Row],[LENGTH(m.)
(Actual)]]</f>
        <v>0.28999999999999998</v>
      </c>
      <c r="R60" s="2"/>
      <c r="S60" s="7">
        <f>Table2[[#This Row],[N]]+Table2[[#This Row],[Pile 
Deviation 
N (m)]]</f>
        <v>1511749.8970000001</v>
      </c>
      <c r="T60" s="7">
        <f>Table2[[#This Row],[E]]+Table2[[#This Row],[Pile 
Deviation 
E (m)]]</f>
        <v>693974.79299999995</v>
      </c>
      <c r="W60" s="7">
        <v>0.28999999999999998</v>
      </c>
      <c r="X60" s="2" t="s">
        <v>36</v>
      </c>
      <c r="AA60" s="9">
        <v>46203</v>
      </c>
    </row>
    <row r="61" spans="1:29" ht="13.95" customHeight="1" x14ac:dyDescent="0.65">
      <c r="A61">
        <v>59</v>
      </c>
      <c r="B61" t="s">
        <v>29</v>
      </c>
      <c r="C61" s="6">
        <v>1511750.824</v>
      </c>
      <c r="D61" s="6">
        <v>693977.49100000004</v>
      </c>
      <c r="E61" s="2" t="s">
        <v>30</v>
      </c>
      <c r="F61" s="1">
        <v>24</v>
      </c>
      <c r="G61" s="2" t="s">
        <v>31</v>
      </c>
      <c r="J61"/>
      <c r="K61" s="19"/>
      <c r="L61" s="21"/>
      <c r="M61" s="27"/>
      <c r="N61" s="19"/>
      <c r="O61" s="21"/>
      <c r="P61" s="7">
        <v>-0.17499999999999999</v>
      </c>
      <c r="Q61" s="7">
        <f>Table2[[#This Row],[Elevation
PILE TOP]]-Table2[[#This Row],[LENGTH(m.)
(Actual)]]</f>
        <v>-0.17499999999999999</v>
      </c>
      <c r="R61" s="2"/>
      <c r="S61" s="7">
        <f>Table2[[#This Row],[N]]+Table2[[#This Row],[Pile 
Deviation 
N (m)]]</f>
        <v>1511750.824</v>
      </c>
      <c r="T61" s="7">
        <f>Table2[[#This Row],[E]]+Table2[[#This Row],[Pile 
Deviation 
E (m)]]</f>
        <v>693977.49100000004</v>
      </c>
      <c r="W61" s="7">
        <v>-0.67500000000000004</v>
      </c>
      <c r="X61" s="2" t="s">
        <v>37</v>
      </c>
      <c r="AA61" s="9">
        <v>46203</v>
      </c>
      <c r="AC61" s="8"/>
    </row>
    <row r="62" spans="1:29" x14ac:dyDescent="0.65">
      <c r="A62">
        <v>60</v>
      </c>
      <c r="B62" t="s">
        <v>29</v>
      </c>
      <c r="C62" s="6">
        <v>1511750.04</v>
      </c>
      <c r="D62" s="6">
        <v>693977.64899999998</v>
      </c>
      <c r="E62" s="2" t="s">
        <v>30</v>
      </c>
      <c r="F62" s="1">
        <v>24</v>
      </c>
      <c r="G62" s="2" t="s">
        <v>31</v>
      </c>
      <c r="J62"/>
      <c r="K62" s="19"/>
      <c r="L62" s="21"/>
      <c r="M62" s="27"/>
      <c r="N62" s="19"/>
      <c r="O62" s="21"/>
      <c r="P62" s="7">
        <v>-0.17499999999999999</v>
      </c>
      <c r="Q62" s="7">
        <f>Table2[[#This Row],[Elevation
PILE TOP]]-Table2[[#This Row],[LENGTH(m.)
(Actual)]]</f>
        <v>-0.17499999999999999</v>
      </c>
      <c r="R62" s="2"/>
      <c r="S62" s="7">
        <f>Table2[[#This Row],[N]]+Table2[[#This Row],[Pile 
Deviation 
N (m)]]</f>
        <v>1511750.04</v>
      </c>
      <c r="T62" s="7">
        <f>Table2[[#This Row],[E]]+Table2[[#This Row],[Pile 
Deviation 
E (m)]]</f>
        <v>693977.64899999998</v>
      </c>
      <c r="W62" s="7">
        <v>-0.67500000000000004</v>
      </c>
      <c r="X62" s="2" t="s">
        <v>37</v>
      </c>
      <c r="AA62" s="9">
        <v>46203</v>
      </c>
      <c r="AC62" s="8"/>
    </row>
    <row r="63" spans="1:29" ht="13.95" hidden="1" customHeight="1" x14ac:dyDescent="0.65">
      <c r="A63">
        <v>61</v>
      </c>
      <c r="B63" t="s">
        <v>29</v>
      </c>
      <c r="C63" s="6">
        <v>1511751.0149999999</v>
      </c>
      <c r="D63" s="6">
        <v>693980.33100000001</v>
      </c>
      <c r="E63" s="2" t="s">
        <v>35</v>
      </c>
      <c r="F63" s="1">
        <v>24</v>
      </c>
      <c r="G63" s="2" t="s">
        <v>31</v>
      </c>
      <c r="J63"/>
      <c r="K63" s="19"/>
      <c r="L63" s="21"/>
      <c r="M63" s="27"/>
      <c r="N63" s="19"/>
      <c r="O63" s="21"/>
      <c r="P63" s="7">
        <v>0.28999999999999998</v>
      </c>
      <c r="Q63" s="7">
        <f>Table2[[#This Row],[Elevation
PILE TOP]]-Table2[[#This Row],[LENGTH(m.)
(Actual)]]</f>
        <v>0.28999999999999998</v>
      </c>
      <c r="R63" s="2"/>
      <c r="S63" s="7">
        <f>Table2[[#This Row],[N]]+Table2[[#This Row],[Pile 
Deviation 
N (m)]]</f>
        <v>1511751.0149999999</v>
      </c>
      <c r="T63" s="7">
        <f>Table2[[#This Row],[E]]+Table2[[#This Row],[Pile 
Deviation 
E (m)]]</f>
        <v>693980.33100000001</v>
      </c>
      <c r="W63" s="7">
        <v>0.28999999999999998</v>
      </c>
      <c r="X63" s="2" t="s">
        <v>36</v>
      </c>
      <c r="AA63" s="9">
        <v>46204</v>
      </c>
    </row>
    <row r="64" spans="1:29" hidden="1" x14ac:dyDescent="0.65">
      <c r="A64">
        <v>62</v>
      </c>
      <c r="B64" t="s">
        <v>29</v>
      </c>
      <c r="C64" s="6">
        <v>1511751.7450000001</v>
      </c>
      <c r="D64" s="6">
        <v>693982.049</v>
      </c>
      <c r="E64" s="2" t="s">
        <v>30</v>
      </c>
      <c r="F64" s="1">
        <v>24</v>
      </c>
      <c r="G64" s="2" t="s">
        <v>31</v>
      </c>
      <c r="J64"/>
      <c r="K64" s="19"/>
      <c r="L64" s="21"/>
      <c r="M64" s="27"/>
      <c r="N64" s="19"/>
      <c r="O64" s="21"/>
      <c r="P64" s="7">
        <v>-0.17499999999999999</v>
      </c>
      <c r="Q64" s="7">
        <f>Table2[[#This Row],[Elevation
PILE TOP]]-Table2[[#This Row],[LENGTH(m.)
(Actual)]]</f>
        <v>-0.17499999999999999</v>
      </c>
      <c r="R64" s="2"/>
      <c r="S64" s="7">
        <f>Table2[[#This Row],[N]]+Table2[[#This Row],[Pile 
Deviation 
N (m)]]</f>
        <v>1511751.7450000001</v>
      </c>
      <c r="T64" s="7">
        <f>Table2[[#This Row],[E]]+Table2[[#This Row],[Pile 
Deviation 
E (m)]]</f>
        <v>693982.049</v>
      </c>
      <c r="W64" s="7">
        <v>-0.67500000000000004</v>
      </c>
      <c r="X64" s="2" t="s">
        <v>37</v>
      </c>
      <c r="AA64" s="9">
        <v>46204</v>
      </c>
      <c r="AC64" s="8"/>
    </row>
    <row r="65" spans="1:29" ht="13.95" hidden="1" customHeight="1" x14ac:dyDescent="0.65">
      <c r="A65">
        <v>63</v>
      </c>
      <c r="B65" t="s">
        <v>29</v>
      </c>
      <c r="C65" s="6">
        <v>1511750.96</v>
      </c>
      <c r="D65" s="6">
        <v>693982.20700000005</v>
      </c>
      <c r="E65" s="2" t="s">
        <v>30</v>
      </c>
      <c r="F65" s="1">
        <v>24</v>
      </c>
      <c r="G65" s="2" t="s">
        <v>31</v>
      </c>
      <c r="J65"/>
      <c r="K65" s="19"/>
      <c r="L65" s="21"/>
      <c r="M65" s="27"/>
      <c r="N65" s="19"/>
      <c r="O65" s="21"/>
      <c r="P65" s="7">
        <v>-0.17499999999999999</v>
      </c>
      <c r="Q65" s="7">
        <f>Table2[[#This Row],[Elevation
PILE TOP]]-Table2[[#This Row],[LENGTH(m.)
(Actual)]]</f>
        <v>-0.17499999999999999</v>
      </c>
      <c r="R65" s="2"/>
      <c r="S65" s="7">
        <f>Table2[[#This Row],[N]]+Table2[[#This Row],[Pile 
Deviation 
N (m)]]</f>
        <v>1511750.96</v>
      </c>
      <c r="T65" s="7">
        <f>Table2[[#This Row],[E]]+Table2[[#This Row],[Pile 
Deviation 
E (m)]]</f>
        <v>693982.20700000005</v>
      </c>
      <c r="W65" s="7">
        <v>-0.67500000000000004</v>
      </c>
      <c r="X65" s="2" t="s">
        <v>37</v>
      </c>
      <c r="AA65" s="9">
        <v>46204</v>
      </c>
      <c r="AC65" s="8"/>
    </row>
    <row r="66" spans="1:29" hidden="1" x14ac:dyDescent="0.65">
      <c r="A66">
        <v>64</v>
      </c>
      <c r="B66" t="s">
        <v>29</v>
      </c>
      <c r="C66" s="6">
        <v>1511751.943</v>
      </c>
      <c r="D66" s="6">
        <v>693983.02899999998</v>
      </c>
      <c r="E66" s="2" t="s">
        <v>30</v>
      </c>
      <c r="F66" s="1">
        <v>24</v>
      </c>
      <c r="G66" s="2" t="s">
        <v>31</v>
      </c>
      <c r="J66"/>
      <c r="K66" s="19"/>
      <c r="L66" s="21"/>
      <c r="M66" s="27"/>
      <c r="N66" s="19"/>
      <c r="O66" s="21"/>
      <c r="P66" s="7">
        <v>-0.17499999999999999</v>
      </c>
      <c r="Q66" s="7">
        <f>Table2[[#This Row],[Elevation
PILE TOP]]-Table2[[#This Row],[LENGTH(m.)
(Actual)]]</f>
        <v>-0.17499999999999999</v>
      </c>
      <c r="R66" s="2"/>
      <c r="S66" s="7">
        <f>Table2[[#This Row],[N]]+Table2[[#This Row],[Pile 
Deviation 
N (m)]]</f>
        <v>1511751.943</v>
      </c>
      <c r="T66" s="7">
        <f>Table2[[#This Row],[E]]+Table2[[#This Row],[Pile 
Deviation 
E (m)]]</f>
        <v>693983.02899999998</v>
      </c>
      <c r="W66" s="7">
        <v>-0.67500000000000004</v>
      </c>
      <c r="X66" s="2" t="s">
        <v>37</v>
      </c>
      <c r="AA66" s="9">
        <v>46204</v>
      </c>
      <c r="AC66" s="8"/>
    </row>
    <row r="67" spans="1:29" ht="13.95" hidden="1" customHeight="1" x14ac:dyDescent="0.65">
      <c r="A67">
        <v>65</v>
      </c>
      <c r="B67" t="s">
        <v>29</v>
      </c>
      <c r="C67" s="6">
        <v>1511751.1580000001</v>
      </c>
      <c r="D67" s="6">
        <v>693983.18700000003</v>
      </c>
      <c r="E67" s="2" t="s">
        <v>30</v>
      </c>
      <c r="F67" s="1">
        <v>24</v>
      </c>
      <c r="G67" s="2" t="s">
        <v>31</v>
      </c>
      <c r="J67"/>
      <c r="K67" s="19"/>
      <c r="L67" s="21"/>
      <c r="M67" s="27"/>
      <c r="N67" s="19"/>
      <c r="O67" s="21"/>
      <c r="P67" s="7">
        <v>-0.17499999999999999</v>
      </c>
      <c r="Q67" s="7">
        <f>Table2[[#This Row],[Elevation
PILE TOP]]-Table2[[#This Row],[LENGTH(m.)
(Actual)]]</f>
        <v>-0.17499999999999999</v>
      </c>
      <c r="R67" s="2"/>
      <c r="S67" s="7">
        <f>Table2[[#This Row],[N]]+Table2[[#This Row],[Pile 
Deviation 
N (m)]]</f>
        <v>1511751.1580000001</v>
      </c>
      <c r="T67" s="7">
        <f>Table2[[#This Row],[E]]+Table2[[#This Row],[Pile 
Deviation 
E (m)]]</f>
        <v>693983.18700000003</v>
      </c>
      <c r="W67" s="7">
        <v>-0.67500000000000004</v>
      </c>
      <c r="X67" s="2" t="s">
        <v>37</v>
      </c>
      <c r="AA67" s="9">
        <v>46204</v>
      </c>
      <c r="AC67" s="8"/>
    </row>
    <row r="68" spans="1:29" hidden="1" x14ac:dyDescent="0.65">
      <c r="A68">
        <v>66</v>
      </c>
      <c r="B68" t="s">
        <v>29</v>
      </c>
      <c r="C68" s="6">
        <v>1511752.1040000001</v>
      </c>
      <c r="D68" s="6">
        <v>693985.72199999995</v>
      </c>
      <c r="E68" s="2" t="s">
        <v>35</v>
      </c>
      <c r="F68" s="1">
        <v>24</v>
      </c>
      <c r="G68" s="2" t="s">
        <v>31</v>
      </c>
      <c r="J68"/>
      <c r="K68" s="19"/>
      <c r="L68" s="21"/>
      <c r="M68" s="27"/>
      <c r="N68" s="19"/>
      <c r="O68" s="21"/>
      <c r="P68" s="7">
        <v>0.28999999999999998</v>
      </c>
      <c r="Q68" s="7">
        <f>Table2[[#This Row],[Elevation
PILE TOP]]-Table2[[#This Row],[LENGTH(m.)
(Actual)]]</f>
        <v>0.28999999999999998</v>
      </c>
      <c r="R68" s="2"/>
      <c r="S68" s="7">
        <f>Table2[[#This Row],[N]]+Table2[[#This Row],[Pile 
Deviation 
N (m)]]</f>
        <v>1511752.1040000001</v>
      </c>
      <c r="T68" s="7">
        <f>Table2[[#This Row],[E]]+Table2[[#This Row],[Pile 
Deviation 
E (m)]]</f>
        <v>693985.72199999995</v>
      </c>
      <c r="W68" s="7">
        <v>0.28999999999999998</v>
      </c>
      <c r="X68" s="2" t="s">
        <v>36</v>
      </c>
      <c r="AA68" s="9">
        <v>46204</v>
      </c>
    </row>
    <row r="69" spans="1:29" ht="13.95" hidden="1" customHeight="1" x14ac:dyDescent="0.65">
      <c r="A69">
        <v>67</v>
      </c>
      <c r="B69" t="s">
        <v>29</v>
      </c>
      <c r="C69" s="6">
        <v>1511752.554</v>
      </c>
      <c r="D69" s="6">
        <v>693987.951</v>
      </c>
      <c r="E69" s="2" t="s">
        <v>30</v>
      </c>
      <c r="F69" s="1">
        <v>24</v>
      </c>
      <c r="G69" s="2" t="s">
        <v>31</v>
      </c>
      <c r="J69"/>
      <c r="K69" s="19"/>
      <c r="L69" s="21"/>
      <c r="M69" s="27"/>
      <c r="N69" s="19"/>
      <c r="O69" s="21"/>
      <c r="P69" s="7">
        <v>-0.17499999999999999</v>
      </c>
      <c r="Q69" s="7">
        <f>Table2[[#This Row],[Elevation
PILE TOP]]-Table2[[#This Row],[LENGTH(m.)
(Actual)]]</f>
        <v>-0.17499999999999999</v>
      </c>
      <c r="R69" s="2"/>
      <c r="S69" s="7">
        <f>Table2[[#This Row],[N]]+Table2[[#This Row],[Pile 
Deviation 
N (m)]]</f>
        <v>1511752.554</v>
      </c>
      <c r="T69" s="7">
        <f>Table2[[#This Row],[E]]+Table2[[#This Row],[Pile 
Deviation 
E (m)]]</f>
        <v>693987.951</v>
      </c>
      <c r="W69" s="7">
        <v>-0.67500000000000004</v>
      </c>
      <c r="X69" s="2" t="s">
        <v>37</v>
      </c>
      <c r="AA69" s="9">
        <v>46204</v>
      </c>
      <c r="AC69" s="8"/>
    </row>
    <row r="70" spans="1:29" hidden="1" x14ac:dyDescent="0.65">
      <c r="A70">
        <v>68</v>
      </c>
      <c r="B70" t="s">
        <v>29</v>
      </c>
      <c r="C70" s="6">
        <v>1511752.7120000001</v>
      </c>
      <c r="D70" s="6">
        <v>693988.73499999999</v>
      </c>
      <c r="E70" s="2" t="s">
        <v>30</v>
      </c>
      <c r="F70" s="1">
        <v>24</v>
      </c>
      <c r="G70" s="2" t="s">
        <v>31</v>
      </c>
      <c r="J70"/>
      <c r="K70" s="19"/>
      <c r="L70" s="21"/>
      <c r="M70" s="27"/>
      <c r="N70" s="19"/>
      <c r="O70" s="21"/>
      <c r="P70" s="7">
        <v>-0.17499999999999999</v>
      </c>
      <c r="Q70" s="7">
        <f>Table2[[#This Row],[Elevation
PILE TOP]]-Table2[[#This Row],[LENGTH(m.)
(Actual)]]</f>
        <v>-0.17499999999999999</v>
      </c>
      <c r="R70" s="2"/>
      <c r="S70" s="7">
        <f>Table2[[#This Row],[N]]+Table2[[#This Row],[Pile 
Deviation 
N (m)]]</f>
        <v>1511752.7120000001</v>
      </c>
      <c r="T70" s="7">
        <f>Table2[[#This Row],[E]]+Table2[[#This Row],[Pile 
Deviation 
E (m)]]</f>
        <v>693988.73499999999</v>
      </c>
      <c r="W70" s="7">
        <v>-0.67500000000000004</v>
      </c>
      <c r="X70" s="2" t="s">
        <v>37</v>
      </c>
      <c r="AA70" s="9">
        <v>46204</v>
      </c>
      <c r="AC70" s="8"/>
    </row>
    <row r="71" spans="1:29" ht="13.95" hidden="1" customHeight="1" x14ac:dyDescent="0.65">
      <c r="A71">
        <v>69</v>
      </c>
      <c r="B71" t="s">
        <v>29</v>
      </c>
      <c r="C71" s="6">
        <v>1511753.1580000001</v>
      </c>
      <c r="D71" s="6">
        <v>693990.94200000004</v>
      </c>
      <c r="E71" s="2" t="s">
        <v>35</v>
      </c>
      <c r="F71" s="1">
        <v>24</v>
      </c>
      <c r="G71" s="2" t="s">
        <v>31</v>
      </c>
      <c r="J71"/>
      <c r="K71" s="19"/>
      <c r="L71" s="21"/>
      <c r="M71" s="27"/>
      <c r="N71" s="19"/>
      <c r="O71" s="21"/>
      <c r="P71" s="7">
        <v>0.28999999999999998</v>
      </c>
      <c r="Q71" s="7">
        <f>Table2[[#This Row],[Elevation
PILE TOP]]-Table2[[#This Row],[LENGTH(m.)
(Actual)]]</f>
        <v>0.28999999999999998</v>
      </c>
      <c r="R71" s="2"/>
      <c r="S71" s="7">
        <f>Table2[[#This Row],[N]]+Table2[[#This Row],[Pile 
Deviation 
N (m)]]</f>
        <v>1511753.1580000001</v>
      </c>
      <c r="T71" s="7">
        <f>Table2[[#This Row],[E]]+Table2[[#This Row],[Pile 
Deviation 
E (m)]]</f>
        <v>693990.94200000004</v>
      </c>
      <c r="W71" s="7">
        <v>0.28999999999999998</v>
      </c>
      <c r="X71" s="2" t="s">
        <v>36</v>
      </c>
      <c r="AA71" s="9">
        <v>46205</v>
      </c>
    </row>
    <row r="72" spans="1:29" hidden="1" x14ac:dyDescent="0.65">
      <c r="A72">
        <v>70</v>
      </c>
      <c r="B72" t="s">
        <v>29</v>
      </c>
      <c r="C72" s="6">
        <v>1511753.6029999999</v>
      </c>
      <c r="D72" s="6">
        <v>693993.147</v>
      </c>
      <c r="E72" s="2" t="s">
        <v>30</v>
      </c>
      <c r="F72" s="1">
        <v>24</v>
      </c>
      <c r="G72" s="2" t="s">
        <v>31</v>
      </c>
      <c r="J72"/>
      <c r="K72" s="19"/>
      <c r="L72" s="21"/>
      <c r="M72" s="27"/>
      <c r="N72" s="19"/>
      <c r="O72" s="21"/>
      <c r="P72" s="7">
        <v>-0.17499999999999999</v>
      </c>
      <c r="Q72" s="7">
        <f>Table2[[#This Row],[Elevation
PILE TOP]]-Table2[[#This Row],[LENGTH(m.)
(Actual)]]</f>
        <v>-0.17499999999999999</v>
      </c>
      <c r="R72" s="2"/>
      <c r="S72" s="7">
        <f>Table2[[#This Row],[N]]+Table2[[#This Row],[Pile 
Deviation 
N (m)]]</f>
        <v>1511753.6029999999</v>
      </c>
      <c r="T72" s="7">
        <f>Table2[[#This Row],[E]]+Table2[[#This Row],[Pile 
Deviation 
E (m)]]</f>
        <v>693993.147</v>
      </c>
      <c r="W72" s="7">
        <v>-0.67500000000000004</v>
      </c>
      <c r="X72" s="2" t="s">
        <v>37</v>
      </c>
      <c r="AA72" s="9">
        <v>46205</v>
      </c>
    </row>
    <row r="73" spans="1:29" ht="13.95" hidden="1" customHeight="1" x14ac:dyDescent="0.65">
      <c r="A73">
        <v>71</v>
      </c>
      <c r="B73" t="s">
        <v>29</v>
      </c>
      <c r="C73" s="6">
        <v>1511753.7620000001</v>
      </c>
      <c r="D73" s="6">
        <v>693993.93200000003</v>
      </c>
      <c r="E73" s="2" t="s">
        <v>30</v>
      </c>
      <c r="F73" s="1">
        <v>24</v>
      </c>
      <c r="G73" s="2" t="s">
        <v>31</v>
      </c>
      <c r="J73"/>
      <c r="K73" s="19"/>
      <c r="L73" s="21"/>
      <c r="M73" s="27"/>
      <c r="N73" s="19"/>
      <c r="O73" s="21"/>
      <c r="P73" s="7">
        <v>-0.17499999999999999</v>
      </c>
      <c r="Q73" s="7">
        <f>Table2[[#This Row],[Elevation
PILE TOP]]-Table2[[#This Row],[LENGTH(m.)
(Actual)]]</f>
        <v>-0.17499999999999999</v>
      </c>
      <c r="R73" s="2"/>
      <c r="S73" s="7">
        <f>Table2[[#This Row],[N]]+Table2[[#This Row],[Pile 
Deviation 
N (m)]]</f>
        <v>1511753.7620000001</v>
      </c>
      <c r="T73" s="7">
        <f>Table2[[#This Row],[E]]+Table2[[#This Row],[Pile 
Deviation 
E (m)]]</f>
        <v>693993.93200000003</v>
      </c>
      <c r="W73" s="7">
        <v>-0.67500000000000004</v>
      </c>
      <c r="X73" s="2" t="s">
        <v>37</v>
      </c>
      <c r="AA73" s="9">
        <v>46205</v>
      </c>
    </row>
    <row r="74" spans="1:29" hidden="1" x14ac:dyDescent="0.65">
      <c r="A74">
        <v>72</v>
      </c>
      <c r="B74" t="s">
        <v>29</v>
      </c>
      <c r="C74" s="6">
        <v>1511754.2120000001</v>
      </c>
      <c r="D74" s="6">
        <v>693996.16200000001</v>
      </c>
      <c r="E74" s="2" t="s">
        <v>35</v>
      </c>
      <c r="F74" s="1">
        <v>24</v>
      </c>
      <c r="G74" s="2" t="s">
        <v>31</v>
      </c>
      <c r="J74"/>
      <c r="K74" s="19"/>
      <c r="L74" s="21"/>
      <c r="M74" s="27"/>
      <c r="N74" s="19"/>
      <c r="O74" s="21"/>
      <c r="P74" s="7">
        <v>0.28999999999999998</v>
      </c>
      <c r="Q74" s="7">
        <f>Table2[[#This Row],[Elevation
PILE TOP]]-Table2[[#This Row],[LENGTH(m.)
(Actual)]]</f>
        <v>0.28999999999999998</v>
      </c>
      <c r="R74" s="2"/>
      <c r="S74" s="7">
        <f>Table2[[#This Row],[N]]+Table2[[#This Row],[Pile 
Deviation 
N (m)]]</f>
        <v>1511754.2120000001</v>
      </c>
      <c r="T74" s="7">
        <f>Table2[[#This Row],[E]]+Table2[[#This Row],[Pile 
Deviation 
E (m)]]</f>
        <v>693996.16200000001</v>
      </c>
      <c r="W74" s="7">
        <v>0.28999999999999998</v>
      </c>
      <c r="X74" s="2" t="s">
        <v>36</v>
      </c>
      <c r="AA74" s="9">
        <v>46205</v>
      </c>
    </row>
    <row r="75" spans="1:29" ht="13.95" hidden="1" customHeight="1" x14ac:dyDescent="0.65">
      <c r="A75">
        <v>73</v>
      </c>
      <c r="B75" t="s">
        <v>29</v>
      </c>
      <c r="C75" s="6">
        <v>1511755.1140000001</v>
      </c>
      <c r="D75" s="6">
        <v>693998.60600000003</v>
      </c>
      <c r="E75" s="2" t="s">
        <v>30</v>
      </c>
      <c r="F75" s="1">
        <v>24</v>
      </c>
      <c r="G75" s="2" t="s">
        <v>31</v>
      </c>
      <c r="J75"/>
      <c r="K75" s="19"/>
      <c r="L75" s="21"/>
      <c r="M75" s="27"/>
      <c r="N75" s="19"/>
      <c r="O75" s="21"/>
      <c r="P75" s="7">
        <v>-0.17499999999999999</v>
      </c>
      <c r="Q75" s="7">
        <f>Table2[[#This Row],[Elevation
PILE TOP]]-Table2[[#This Row],[LENGTH(m.)
(Actual)]]</f>
        <v>-0.17499999999999999</v>
      </c>
      <c r="R75" s="2"/>
      <c r="S75" s="7">
        <f>Table2[[#This Row],[N]]+Table2[[#This Row],[Pile 
Deviation 
N (m)]]</f>
        <v>1511755.1140000001</v>
      </c>
      <c r="T75" s="7">
        <f>Table2[[#This Row],[E]]+Table2[[#This Row],[Pile 
Deviation 
E (m)]]</f>
        <v>693998.60600000003</v>
      </c>
      <c r="W75" s="7">
        <v>-0.67500000000000004</v>
      </c>
      <c r="X75" s="2" t="s">
        <v>33</v>
      </c>
      <c r="AA75" s="9">
        <v>46205</v>
      </c>
    </row>
    <row r="76" spans="1:29" hidden="1" x14ac:dyDescent="0.65">
      <c r="A76">
        <v>74</v>
      </c>
      <c r="B76" t="s">
        <v>29</v>
      </c>
      <c r="C76" s="6">
        <v>1511755.2919999999</v>
      </c>
      <c r="D76" s="6">
        <v>693999.48899999994</v>
      </c>
      <c r="E76" s="2" t="s">
        <v>30</v>
      </c>
      <c r="F76" s="1">
        <v>24</v>
      </c>
      <c r="G76" s="2" t="s">
        <v>31</v>
      </c>
      <c r="J76"/>
      <c r="K76" s="19"/>
      <c r="L76" s="21"/>
      <c r="M76" s="27"/>
      <c r="N76" s="19"/>
      <c r="O76" s="21"/>
      <c r="P76" s="7">
        <v>-0.17499999999999999</v>
      </c>
      <c r="Q76" s="7">
        <f>Table2[[#This Row],[Elevation
PILE TOP]]-Table2[[#This Row],[LENGTH(m.)
(Actual)]]</f>
        <v>-0.17499999999999999</v>
      </c>
      <c r="R76" s="2"/>
      <c r="S76" s="7">
        <f>Table2[[#This Row],[N]]+Table2[[#This Row],[Pile 
Deviation 
N (m)]]</f>
        <v>1511755.2919999999</v>
      </c>
      <c r="T76" s="7">
        <f>Table2[[#This Row],[E]]+Table2[[#This Row],[Pile 
Deviation 
E (m)]]</f>
        <v>693999.48899999994</v>
      </c>
      <c r="W76" s="7">
        <v>-0.67500000000000004</v>
      </c>
      <c r="X76" s="2" t="s">
        <v>33</v>
      </c>
      <c r="AA76" s="9">
        <v>46205</v>
      </c>
    </row>
    <row r="77" spans="1:29" ht="13.95" hidden="1" customHeight="1" x14ac:dyDescent="0.65">
      <c r="A77">
        <v>75</v>
      </c>
      <c r="B77" t="s">
        <v>29</v>
      </c>
      <c r="C77" s="6">
        <v>1511754.33</v>
      </c>
      <c r="D77" s="6">
        <v>693998.76500000001</v>
      </c>
      <c r="E77" s="2" t="s">
        <v>30</v>
      </c>
      <c r="F77" s="1">
        <v>24</v>
      </c>
      <c r="G77" s="2" t="s">
        <v>31</v>
      </c>
      <c r="J77"/>
      <c r="K77" s="19"/>
      <c r="L77" s="21"/>
      <c r="M77" s="27"/>
      <c r="N77" s="19"/>
      <c r="O77" s="21"/>
      <c r="P77" s="7">
        <v>-0.17499999999999999</v>
      </c>
      <c r="Q77" s="7">
        <f>Table2[[#This Row],[Elevation
PILE TOP]]-Table2[[#This Row],[LENGTH(m.)
(Actual)]]</f>
        <v>-0.17499999999999999</v>
      </c>
      <c r="R77" s="2"/>
      <c r="S77" s="7">
        <f>Table2[[#This Row],[N]]+Table2[[#This Row],[Pile 
Deviation 
N (m)]]</f>
        <v>1511754.33</v>
      </c>
      <c r="T77" s="7">
        <f>Table2[[#This Row],[E]]+Table2[[#This Row],[Pile 
Deviation 
E (m)]]</f>
        <v>693998.76500000001</v>
      </c>
      <c r="W77" s="7">
        <v>-0.67500000000000004</v>
      </c>
      <c r="X77" s="2" t="s">
        <v>33</v>
      </c>
      <c r="AA77" s="9">
        <v>46205</v>
      </c>
    </row>
    <row r="78" spans="1:29" hidden="1" x14ac:dyDescent="0.65">
      <c r="A78">
        <v>76</v>
      </c>
      <c r="B78" t="s">
        <v>29</v>
      </c>
      <c r="C78" s="6">
        <v>1511754.5079999999</v>
      </c>
      <c r="D78" s="6">
        <v>693999.647</v>
      </c>
      <c r="E78" s="2" t="s">
        <v>30</v>
      </c>
      <c r="F78" s="1">
        <v>24</v>
      </c>
      <c r="G78" s="2" t="s">
        <v>31</v>
      </c>
      <c r="J78"/>
      <c r="K78" s="19"/>
      <c r="L78" s="21"/>
      <c r="M78" s="27"/>
      <c r="N78" s="19"/>
      <c r="O78" s="21"/>
      <c r="P78" s="7">
        <v>-0.17499999999999999</v>
      </c>
      <c r="Q78" s="7">
        <f>Table2[[#This Row],[Elevation
PILE TOP]]-Table2[[#This Row],[LENGTH(m.)
(Actual)]]</f>
        <v>-0.17499999999999999</v>
      </c>
      <c r="R78" s="2"/>
      <c r="S78" s="7">
        <f>Table2[[#This Row],[N]]+Table2[[#This Row],[Pile 
Deviation 
N (m)]]</f>
        <v>1511754.5079999999</v>
      </c>
      <c r="T78" s="7">
        <f>Table2[[#This Row],[E]]+Table2[[#This Row],[Pile 
Deviation 
E (m)]]</f>
        <v>693999.647</v>
      </c>
      <c r="W78" s="7">
        <v>-0.67500000000000004</v>
      </c>
      <c r="X78" s="2" t="s">
        <v>33</v>
      </c>
      <c r="AA78" s="9">
        <v>46205</v>
      </c>
    </row>
    <row r="79" spans="1:29" ht="13.95" hidden="1" customHeight="1" x14ac:dyDescent="0.65">
      <c r="A79">
        <v>77</v>
      </c>
      <c r="B79" t="s">
        <v>29</v>
      </c>
      <c r="C79" s="6">
        <v>1511745.699</v>
      </c>
      <c r="D79" s="6">
        <v>693964.11199999996</v>
      </c>
      <c r="E79" s="2" t="s">
        <v>35</v>
      </c>
      <c r="F79" s="1">
        <v>24</v>
      </c>
      <c r="G79" s="2" t="s">
        <v>31</v>
      </c>
      <c r="J79"/>
      <c r="K79" s="19"/>
      <c r="L79" s="21"/>
      <c r="M79" s="27"/>
      <c r="N79" s="19"/>
      <c r="O79" s="21"/>
      <c r="P79" s="7">
        <v>0.28999999999999998</v>
      </c>
      <c r="Q79" s="7">
        <f>Table2[[#This Row],[Elevation
PILE TOP]]-Table2[[#This Row],[LENGTH(m.)
(Actual)]]</f>
        <v>0.28999999999999998</v>
      </c>
      <c r="R79" s="2"/>
      <c r="S79" s="7">
        <f>Table2[[#This Row],[N]]+Table2[[#This Row],[Pile 
Deviation 
N (m)]]</f>
        <v>1511745.699</v>
      </c>
      <c r="T79" s="7">
        <f>Table2[[#This Row],[E]]+Table2[[#This Row],[Pile 
Deviation 
E (m)]]</f>
        <v>693964.11199999996</v>
      </c>
      <c r="W79" s="7">
        <v>0.28999999999999998</v>
      </c>
      <c r="X79" s="2" t="s">
        <v>36</v>
      </c>
      <c r="AA79" s="9">
        <v>46207</v>
      </c>
    </row>
    <row r="80" spans="1:29" hidden="1" x14ac:dyDescent="0.65">
      <c r="A80">
        <v>78</v>
      </c>
      <c r="B80" t="s">
        <v>29</v>
      </c>
      <c r="C80" s="6">
        <v>1511746.2590000001</v>
      </c>
      <c r="D80" s="6">
        <v>693966.88199999998</v>
      </c>
      <c r="E80" s="2" t="s">
        <v>35</v>
      </c>
      <c r="F80" s="1">
        <v>24</v>
      </c>
      <c r="G80" s="2" t="s">
        <v>31</v>
      </c>
      <c r="J80"/>
      <c r="K80" s="19"/>
      <c r="L80" s="21"/>
      <c r="M80" s="27"/>
      <c r="N80" s="19"/>
      <c r="O80" s="21"/>
      <c r="P80" s="7">
        <v>0.28999999999999998</v>
      </c>
      <c r="Q80" s="7">
        <f>Table2[[#This Row],[Elevation
PILE TOP]]-Table2[[#This Row],[LENGTH(m.)
(Actual)]]</f>
        <v>0.28999999999999998</v>
      </c>
      <c r="R80" s="2"/>
      <c r="S80" s="7">
        <f>Table2[[#This Row],[N]]+Table2[[#This Row],[Pile 
Deviation 
N (m)]]</f>
        <v>1511746.2590000001</v>
      </c>
      <c r="T80" s="7">
        <f>Table2[[#This Row],[E]]+Table2[[#This Row],[Pile 
Deviation 
E (m)]]</f>
        <v>693966.88199999998</v>
      </c>
      <c r="W80" s="7">
        <v>0.28999999999999998</v>
      </c>
      <c r="X80" s="2" t="s">
        <v>36</v>
      </c>
      <c r="AA80" s="9">
        <v>46207</v>
      </c>
    </row>
    <row r="81" spans="1:27" ht="13.95" hidden="1" customHeight="1" x14ac:dyDescent="0.65">
      <c r="A81">
        <v>79</v>
      </c>
      <c r="B81" t="s">
        <v>29</v>
      </c>
      <c r="C81" s="6">
        <v>1511746.818</v>
      </c>
      <c r="D81" s="6">
        <v>693969.65099999995</v>
      </c>
      <c r="E81" s="2" t="s">
        <v>35</v>
      </c>
      <c r="F81" s="1">
        <v>24</v>
      </c>
      <c r="G81" s="2" t="s">
        <v>31</v>
      </c>
      <c r="J81"/>
      <c r="K81" s="19"/>
      <c r="L81" s="21"/>
      <c r="M81" s="27"/>
      <c r="N81" s="19"/>
      <c r="O81" s="21"/>
      <c r="P81" s="7">
        <v>0.28999999999999998</v>
      </c>
      <c r="Q81" s="7">
        <f>Table2[[#This Row],[Elevation
PILE TOP]]-Table2[[#This Row],[LENGTH(m.)
(Actual)]]</f>
        <v>0.28999999999999998</v>
      </c>
      <c r="R81" s="2"/>
      <c r="S81" s="7">
        <f>Table2[[#This Row],[N]]+Table2[[#This Row],[Pile 
Deviation 
N (m)]]</f>
        <v>1511746.818</v>
      </c>
      <c r="T81" s="7">
        <f>Table2[[#This Row],[E]]+Table2[[#This Row],[Pile 
Deviation 
E (m)]]</f>
        <v>693969.65099999995</v>
      </c>
      <c r="W81" s="7">
        <v>0.28999999999999998</v>
      </c>
      <c r="X81" s="2" t="s">
        <v>36</v>
      </c>
      <c r="AA81" s="9">
        <v>46207</v>
      </c>
    </row>
    <row r="82" spans="1:27" hidden="1" x14ac:dyDescent="0.65">
      <c r="A82">
        <v>80</v>
      </c>
      <c r="B82" t="s">
        <v>29</v>
      </c>
      <c r="C82" s="6">
        <v>1511747.3770000001</v>
      </c>
      <c r="D82" s="6">
        <v>693972.42</v>
      </c>
      <c r="E82" s="2" t="s">
        <v>35</v>
      </c>
      <c r="F82" s="1">
        <v>24</v>
      </c>
      <c r="G82" s="2" t="s">
        <v>31</v>
      </c>
      <c r="J82"/>
      <c r="K82" s="19"/>
      <c r="L82" s="21"/>
      <c r="M82" s="27"/>
      <c r="N82" s="19"/>
      <c r="O82" s="21"/>
      <c r="P82" s="7">
        <v>0.28999999999999998</v>
      </c>
      <c r="Q82" s="7">
        <f>Table2[[#This Row],[Elevation
PILE TOP]]-Table2[[#This Row],[LENGTH(m.)
(Actual)]]</f>
        <v>0.28999999999999998</v>
      </c>
      <c r="R82" s="2"/>
      <c r="S82" s="7">
        <f>Table2[[#This Row],[N]]+Table2[[#This Row],[Pile 
Deviation 
N (m)]]</f>
        <v>1511747.3770000001</v>
      </c>
      <c r="T82" s="7">
        <f>Table2[[#This Row],[E]]+Table2[[#This Row],[Pile 
Deviation 
E (m)]]</f>
        <v>693972.42</v>
      </c>
      <c r="W82" s="7">
        <v>0.28999999999999998</v>
      </c>
      <c r="X82" s="2" t="s">
        <v>36</v>
      </c>
      <c r="AA82" s="9">
        <v>46207</v>
      </c>
    </row>
    <row r="83" spans="1:27" ht="13.95" hidden="1" customHeight="1" x14ac:dyDescent="0.65">
      <c r="A83">
        <v>81</v>
      </c>
      <c r="B83" t="s">
        <v>29</v>
      </c>
      <c r="C83" s="6">
        <v>1511747.936</v>
      </c>
      <c r="D83" s="6">
        <v>693975.18900000001</v>
      </c>
      <c r="E83" s="2" t="s">
        <v>35</v>
      </c>
      <c r="F83" s="1">
        <v>24</v>
      </c>
      <c r="G83" s="2" t="s">
        <v>31</v>
      </c>
      <c r="J83"/>
      <c r="K83" s="19"/>
      <c r="L83" s="21"/>
      <c r="M83" s="27"/>
      <c r="N83" s="19"/>
      <c r="O83" s="21"/>
      <c r="P83" s="7">
        <v>0.28999999999999998</v>
      </c>
      <c r="Q83" s="7">
        <f>Table2[[#This Row],[Elevation
PILE TOP]]-Table2[[#This Row],[LENGTH(m.)
(Actual)]]</f>
        <v>0.28999999999999998</v>
      </c>
      <c r="R83" s="2"/>
      <c r="S83" s="7">
        <f>Table2[[#This Row],[N]]+Table2[[#This Row],[Pile 
Deviation 
N (m)]]</f>
        <v>1511747.936</v>
      </c>
      <c r="T83" s="7">
        <f>Table2[[#This Row],[E]]+Table2[[#This Row],[Pile 
Deviation 
E (m)]]</f>
        <v>693975.18900000001</v>
      </c>
      <c r="W83" s="7">
        <v>0.28999999999999998</v>
      </c>
      <c r="X83" s="2" t="s">
        <v>36</v>
      </c>
      <c r="AA83" s="9">
        <v>46207</v>
      </c>
    </row>
    <row r="84" spans="1:27" hidden="1" x14ac:dyDescent="0.65">
      <c r="A84">
        <v>82</v>
      </c>
      <c r="B84" t="s">
        <v>29</v>
      </c>
      <c r="C84" s="6">
        <v>1511748.496</v>
      </c>
      <c r="D84" s="6">
        <v>693977.95799999998</v>
      </c>
      <c r="E84" s="2" t="s">
        <v>35</v>
      </c>
      <c r="F84" s="1">
        <v>24</v>
      </c>
      <c r="G84" s="2" t="s">
        <v>31</v>
      </c>
      <c r="J84"/>
      <c r="K84" s="19"/>
      <c r="L84" s="21"/>
      <c r="M84" s="27"/>
      <c r="N84" s="19"/>
      <c r="O84" s="21"/>
      <c r="P84" s="7">
        <v>0.28999999999999998</v>
      </c>
      <c r="Q84" s="7">
        <f>Table2[[#This Row],[Elevation
PILE TOP]]-Table2[[#This Row],[LENGTH(m.)
(Actual)]]</f>
        <v>0.28999999999999998</v>
      </c>
      <c r="R84" s="2"/>
      <c r="S84" s="7">
        <f>Table2[[#This Row],[N]]+Table2[[#This Row],[Pile 
Deviation 
N (m)]]</f>
        <v>1511748.496</v>
      </c>
      <c r="T84" s="7">
        <f>Table2[[#This Row],[E]]+Table2[[#This Row],[Pile 
Deviation 
E (m)]]</f>
        <v>693977.95799999998</v>
      </c>
      <c r="W84" s="7">
        <v>0.28999999999999998</v>
      </c>
      <c r="X84" s="2" t="s">
        <v>36</v>
      </c>
      <c r="AA84" s="9">
        <v>46207</v>
      </c>
    </row>
    <row r="85" spans="1:27" ht="13.95" hidden="1" customHeight="1" x14ac:dyDescent="0.65">
      <c r="A85">
        <v>83</v>
      </c>
      <c r="B85" t="s">
        <v>29</v>
      </c>
      <c r="C85" s="6">
        <v>1511750.673</v>
      </c>
      <c r="D85" s="6">
        <v>693988.74</v>
      </c>
      <c r="E85" s="2" t="s">
        <v>35</v>
      </c>
      <c r="F85" s="1">
        <v>24</v>
      </c>
      <c r="G85" s="2" t="s">
        <v>31</v>
      </c>
      <c r="J85"/>
      <c r="K85" s="19"/>
      <c r="L85" s="21"/>
      <c r="M85" s="27"/>
      <c r="N85" s="19"/>
      <c r="O85" s="21"/>
      <c r="P85" s="7">
        <v>0.28999999999999998</v>
      </c>
      <c r="Q85" s="7">
        <f>Table2[[#This Row],[Elevation
PILE TOP]]-Table2[[#This Row],[LENGTH(m.)
(Actual)]]</f>
        <v>0.28999999999999998</v>
      </c>
      <c r="R85" s="2"/>
      <c r="S85" s="7">
        <f>Table2[[#This Row],[N]]+Table2[[#This Row],[Pile 
Deviation 
N (m)]]</f>
        <v>1511750.673</v>
      </c>
      <c r="T85" s="7">
        <f>Table2[[#This Row],[E]]+Table2[[#This Row],[Pile 
Deviation 
E (m)]]</f>
        <v>693988.74</v>
      </c>
      <c r="W85" s="7">
        <v>0.28999999999999998</v>
      </c>
      <c r="X85" s="2" t="s">
        <v>36</v>
      </c>
      <c r="AA85" s="9">
        <v>46206</v>
      </c>
    </row>
    <row r="86" spans="1:27" hidden="1" x14ac:dyDescent="0.65">
      <c r="A86">
        <v>84</v>
      </c>
      <c r="B86" t="s">
        <v>29</v>
      </c>
      <c r="C86" s="6">
        <v>1511751.1980000001</v>
      </c>
      <c r="D86" s="6">
        <v>693991.33799999999</v>
      </c>
      <c r="E86" s="2" t="s">
        <v>35</v>
      </c>
      <c r="F86" s="1">
        <v>24</v>
      </c>
      <c r="G86" s="2" t="s">
        <v>31</v>
      </c>
      <c r="J86"/>
      <c r="K86" s="19"/>
      <c r="L86" s="21"/>
      <c r="M86" s="27"/>
      <c r="N86" s="19"/>
      <c r="O86" s="21"/>
      <c r="P86" s="7">
        <v>0.28999999999999998</v>
      </c>
      <c r="Q86" s="7">
        <f>Table2[[#This Row],[Elevation
PILE TOP]]-Table2[[#This Row],[LENGTH(m.)
(Actual)]]</f>
        <v>0.28999999999999998</v>
      </c>
      <c r="R86" s="2"/>
      <c r="S86" s="7">
        <f>Table2[[#This Row],[N]]+Table2[[#This Row],[Pile 
Deviation 
N (m)]]</f>
        <v>1511751.1980000001</v>
      </c>
      <c r="T86" s="7">
        <f>Table2[[#This Row],[E]]+Table2[[#This Row],[Pile 
Deviation 
E (m)]]</f>
        <v>693991.33799999999</v>
      </c>
      <c r="W86" s="7">
        <v>0.28999999999999998</v>
      </c>
      <c r="X86" s="2" t="s">
        <v>36</v>
      </c>
      <c r="AA86" s="9">
        <v>46206</v>
      </c>
    </row>
    <row r="87" spans="1:27" ht="13.95" hidden="1" customHeight="1" x14ac:dyDescent="0.65">
      <c r="A87">
        <v>85</v>
      </c>
      <c r="B87" t="s">
        <v>29</v>
      </c>
      <c r="C87" s="6">
        <v>1511751.7220000001</v>
      </c>
      <c r="D87" s="6">
        <v>693993.93500000006</v>
      </c>
      <c r="E87" s="2" t="s">
        <v>35</v>
      </c>
      <c r="F87" s="1">
        <v>24</v>
      </c>
      <c r="G87" s="2" t="s">
        <v>31</v>
      </c>
      <c r="J87"/>
      <c r="K87" s="19"/>
      <c r="L87" s="21"/>
      <c r="M87" s="27"/>
      <c r="N87" s="19"/>
      <c r="O87" s="21"/>
      <c r="P87" s="7">
        <v>0.28999999999999998</v>
      </c>
      <c r="Q87" s="7">
        <f>Table2[[#This Row],[Elevation
PILE TOP]]-Table2[[#This Row],[LENGTH(m.)
(Actual)]]</f>
        <v>0.28999999999999998</v>
      </c>
      <c r="R87" s="2"/>
      <c r="S87" s="7">
        <f>Table2[[#This Row],[N]]+Table2[[#This Row],[Pile 
Deviation 
N (m)]]</f>
        <v>1511751.7220000001</v>
      </c>
      <c r="T87" s="7">
        <f>Table2[[#This Row],[E]]+Table2[[#This Row],[Pile 
Deviation 
E (m)]]</f>
        <v>693993.93500000006</v>
      </c>
      <c r="W87" s="7">
        <v>0.28999999999999998</v>
      </c>
      <c r="X87" s="2" t="s">
        <v>36</v>
      </c>
      <c r="AA87" s="9">
        <v>46206</v>
      </c>
    </row>
    <row r="88" spans="1:27" hidden="1" x14ac:dyDescent="0.65">
      <c r="A88">
        <v>86</v>
      </c>
      <c r="B88" t="s">
        <v>29</v>
      </c>
      <c r="C88" s="6">
        <v>1511752.2520000001</v>
      </c>
      <c r="D88" s="6">
        <v>693996.55700000003</v>
      </c>
      <c r="E88" s="2" t="s">
        <v>35</v>
      </c>
      <c r="F88" s="1">
        <v>24</v>
      </c>
      <c r="G88" s="2" t="s">
        <v>31</v>
      </c>
      <c r="J88"/>
      <c r="K88" s="19"/>
      <c r="L88" s="21"/>
      <c r="M88" s="27"/>
      <c r="N88" s="19"/>
      <c r="O88" s="21"/>
      <c r="P88" s="7">
        <v>0.28999999999999998</v>
      </c>
      <c r="Q88" s="7">
        <f>Table2[[#This Row],[Elevation
PILE TOP]]-Table2[[#This Row],[LENGTH(m.)
(Actual)]]</f>
        <v>0.28999999999999998</v>
      </c>
      <c r="R88" s="2"/>
      <c r="S88" s="7">
        <f>Table2[[#This Row],[N]]+Table2[[#This Row],[Pile 
Deviation 
N (m)]]</f>
        <v>1511752.2520000001</v>
      </c>
      <c r="T88" s="7">
        <f>Table2[[#This Row],[E]]+Table2[[#This Row],[Pile 
Deviation 
E (m)]]</f>
        <v>693996.55700000003</v>
      </c>
      <c r="W88" s="7">
        <v>0.28999999999999998</v>
      </c>
      <c r="X88" s="2" t="s">
        <v>36</v>
      </c>
      <c r="AA88" s="9">
        <v>46206</v>
      </c>
    </row>
    <row r="89" spans="1:27" ht="13.95" hidden="1" customHeight="1" x14ac:dyDescent="0.65">
      <c r="A89">
        <v>87</v>
      </c>
      <c r="B89" t="s">
        <v>29</v>
      </c>
      <c r="C89" s="6">
        <v>1511748.0619999999</v>
      </c>
      <c r="D89" s="6">
        <v>693980.62100000004</v>
      </c>
      <c r="E89" s="2" t="s">
        <v>30</v>
      </c>
      <c r="F89" s="1">
        <v>24</v>
      </c>
      <c r="G89" s="2" t="s">
        <v>31</v>
      </c>
      <c r="J89"/>
      <c r="K89" s="19"/>
      <c r="L89" s="21"/>
      <c r="M89" s="27"/>
      <c r="N89" s="19"/>
      <c r="O89" s="21"/>
      <c r="P89" s="7">
        <v>-3.85</v>
      </c>
      <c r="Q89" s="7">
        <f>Table2[[#This Row],[Elevation
PILE TOP]]-Table2[[#This Row],[LENGTH(m.)
(Actual)]]</f>
        <v>-3.85</v>
      </c>
      <c r="R89" s="2"/>
      <c r="S89" s="7">
        <f>Table2[[#This Row],[N]]+Table2[[#This Row],[Pile 
Deviation 
N (m)]]</f>
        <v>1511748.0619999999</v>
      </c>
      <c r="T89" s="7">
        <f>Table2[[#This Row],[E]]+Table2[[#This Row],[Pile 
Deviation 
E (m)]]</f>
        <v>693980.62100000004</v>
      </c>
      <c r="W89" s="7">
        <v>-4.3499999999999996</v>
      </c>
      <c r="X89" s="2" t="s">
        <v>38</v>
      </c>
      <c r="AA89" s="9">
        <v>46206</v>
      </c>
    </row>
    <row r="90" spans="1:27" hidden="1" x14ac:dyDescent="0.65">
      <c r="A90">
        <v>88</v>
      </c>
      <c r="B90" t="s">
        <v>29</v>
      </c>
      <c r="C90" s="6">
        <v>1511748.392</v>
      </c>
      <c r="D90" s="6">
        <v>693982.255</v>
      </c>
      <c r="E90" s="2" t="s">
        <v>30</v>
      </c>
      <c r="F90" s="1">
        <v>24</v>
      </c>
      <c r="G90" s="2" t="s">
        <v>31</v>
      </c>
      <c r="J90"/>
      <c r="K90" s="19"/>
      <c r="L90" s="21"/>
      <c r="M90" s="27"/>
      <c r="N90" s="19"/>
      <c r="O90" s="21"/>
      <c r="P90" s="7">
        <v>-3.85</v>
      </c>
      <c r="Q90" s="7">
        <f>Table2[[#This Row],[Elevation
PILE TOP]]-Table2[[#This Row],[LENGTH(m.)
(Actual)]]</f>
        <v>-3.85</v>
      </c>
      <c r="R90" s="2"/>
      <c r="S90" s="7">
        <f>Table2[[#This Row],[N]]+Table2[[#This Row],[Pile 
Deviation 
N (m)]]</f>
        <v>1511748.392</v>
      </c>
      <c r="T90" s="7">
        <f>Table2[[#This Row],[E]]+Table2[[#This Row],[Pile 
Deviation 
E (m)]]</f>
        <v>693982.255</v>
      </c>
      <c r="W90" s="7">
        <v>-4.3499999999999996</v>
      </c>
      <c r="X90" s="2" t="s">
        <v>38</v>
      </c>
      <c r="AA90" s="9">
        <v>46206</v>
      </c>
    </row>
    <row r="91" spans="1:27" ht="13.95" hidden="1" customHeight="1" x14ac:dyDescent="0.65">
      <c r="A91">
        <v>89</v>
      </c>
      <c r="B91" t="s">
        <v>29</v>
      </c>
      <c r="C91" s="6">
        <v>1511748.7220000001</v>
      </c>
      <c r="D91" s="6">
        <v>693983.88899999997</v>
      </c>
      <c r="E91" s="2" t="s">
        <v>30</v>
      </c>
      <c r="F91" s="1">
        <v>24</v>
      </c>
      <c r="G91" s="2" t="s">
        <v>31</v>
      </c>
      <c r="J91"/>
      <c r="K91" s="19"/>
      <c r="L91" s="21"/>
      <c r="M91" s="27"/>
      <c r="N91" s="19"/>
      <c r="O91" s="21"/>
      <c r="P91" s="7">
        <v>-3.85</v>
      </c>
      <c r="Q91" s="7">
        <f>Table2[[#This Row],[Elevation
PILE TOP]]-Table2[[#This Row],[LENGTH(m.)
(Actual)]]</f>
        <v>-3.85</v>
      </c>
      <c r="R91" s="2"/>
      <c r="S91" s="7">
        <f>Table2[[#This Row],[N]]+Table2[[#This Row],[Pile 
Deviation 
N (m)]]</f>
        <v>1511748.7220000001</v>
      </c>
      <c r="T91" s="7">
        <f>Table2[[#This Row],[E]]+Table2[[#This Row],[Pile 
Deviation 
E (m)]]</f>
        <v>693983.88899999997</v>
      </c>
      <c r="W91" s="7">
        <v>-4.3499999999999996</v>
      </c>
      <c r="X91" s="2" t="s">
        <v>38</v>
      </c>
      <c r="AA91" s="9">
        <v>46206</v>
      </c>
    </row>
    <row r="92" spans="1:27" hidden="1" x14ac:dyDescent="0.65">
      <c r="A92">
        <v>90</v>
      </c>
      <c r="B92" t="s">
        <v>29</v>
      </c>
      <c r="C92" s="6">
        <v>1511749.051</v>
      </c>
      <c r="D92" s="6">
        <v>693985.522</v>
      </c>
      <c r="E92" s="2" t="s">
        <v>30</v>
      </c>
      <c r="F92" s="1">
        <v>24</v>
      </c>
      <c r="G92" s="2" t="s">
        <v>31</v>
      </c>
      <c r="J92"/>
      <c r="K92" s="19"/>
      <c r="L92" s="21"/>
      <c r="M92" s="27"/>
      <c r="N92" s="19"/>
      <c r="O92" s="21"/>
      <c r="P92" s="7">
        <v>-3.85</v>
      </c>
      <c r="Q92" s="7">
        <f>Table2[[#This Row],[Elevation
PILE TOP]]-Table2[[#This Row],[LENGTH(m.)
(Actual)]]</f>
        <v>-3.85</v>
      </c>
      <c r="R92" s="2"/>
      <c r="S92" s="7">
        <f>Table2[[#This Row],[N]]+Table2[[#This Row],[Pile 
Deviation 
N (m)]]</f>
        <v>1511749.051</v>
      </c>
      <c r="T92" s="7">
        <f>Table2[[#This Row],[E]]+Table2[[#This Row],[Pile 
Deviation 
E (m)]]</f>
        <v>693985.522</v>
      </c>
      <c r="W92" s="7">
        <v>-4.3499999999999996</v>
      </c>
      <c r="X92" s="2" t="s">
        <v>38</v>
      </c>
      <c r="AA92" s="9">
        <v>46206</v>
      </c>
    </row>
    <row r="93" spans="1:27" ht="13.95" hidden="1" customHeight="1" x14ac:dyDescent="0.65">
      <c r="A93">
        <v>91</v>
      </c>
      <c r="B93" t="s">
        <v>29</v>
      </c>
      <c r="C93" s="6">
        <v>1511746.0530000001</v>
      </c>
      <c r="D93" s="6">
        <v>693981.027</v>
      </c>
      <c r="E93" s="2" t="s">
        <v>30</v>
      </c>
      <c r="F93" s="1">
        <v>24</v>
      </c>
      <c r="G93" s="2" t="s">
        <v>31</v>
      </c>
      <c r="J93"/>
      <c r="K93" s="19"/>
      <c r="L93" s="21"/>
      <c r="M93" s="27"/>
      <c r="N93" s="19"/>
      <c r="O93" s="21"/>
      <c r="P93" s="7">
        <v>-3.85</v>
      </c>
      <c r="Q93" s="7">
        <f>Table2[[#This Row],[Elevation
PILE TOP]]-Table2[[#This Row],[LENGTH(m.)
(Actual)]]</f>
        <v>-3.85</v>
      </c>
      <c r="R93" s="2"/>
      <c r="S93" s="7">
        <f>Table2[[#This Row],[N]]+Table2[[#This Row],[Pile 
Deviation 
N (m)]]</f>
        <v>1511746.0530000001</v>
      </c>
      <c r="T93" s="7">
        <f>Table2[[#This Row],[E]]+Table2[[#This Row],[Pile 
Deviation 
E (m)]]</f>
        <v>693981.027</v>
      </c>
      <c r="W93" s="7">
        <v>-4.3499999999999996</v>
      </c>
      <c r="X93" s="2" t="s">
        <v>38</v>
      </c>
      <c r="AA93" s="9">
        <v>46210</v>
      </c>
    </row>
    <row r="94" spans="1:27" hidden="1" x14ac:dyDescent="0.65">
      <c r="A94">
        <v>92</v>
      </c>
      <c r="B94" t="s">
        <v>29</v>
      </c>
      <c r="C94" s="6">
        <v>1511747.0430000001</v>
      </c>
      <c r="D94" s="6">
        <v>693985.92799999996</v>
      </c>
      <c r="E94" s="2" t="s">
        <v>30</v>
      </c>
      <c r="F94" s="1">
        <v>24</v>
      </c>
      <c r="G94" s="2" t="s">
        <v>31</v>
      </c>
      <c r="J94"/>
      <c r="K94" s="19"/>
      <c r="L94" s="21"/>
      <c r="M94" s="27"/>
      <c r="N94" s="19"/>
      <c r="O94" s="21"/>
      <c r="P94" s="7">
        <v>-3.85</v>
      </c>
      <c r="Q94" s="7">
        <f>Table2[[#This Row],[Elevation
PILE TOP]]-Table2[[#This Row],[LENGTH(m.)
(Actual)]]</f>
        <v>-3.85</v>
      </c>
      <c r="R94" s="2"/>
      <c r="S94" s="7">
        <f>Table2[[#This Row],[N]]+Table2[[#This Row],[Pile 
Deviation 
N (m)]]</f>
        <v>1511747.0430000001</v>
      </c>
      <c r="T94" s="7">
        <f>Table2[[#This Row],[E]]+Table2[[#This Row],[Pile 
Deviation 
E (m)]]</f>
        <v>693985.92799999996</v>
      </c>
      <c r="W94" s="7">
        <v>-4.3499999999999996</v>
      </c>
      <c r="X94" s="2" t="s">
        <v>38</v>
      </c>
      <c r="AA94" s="9">
        <v>46210</v>
      </c>
    </row>
    <row r="95" spans="1:27" ht="13.95" hidden="1" customHeight="1" x14ac:dyDescent="0.65">
      <c r="A95">
        <v>93</v>
      </c>
      <c r="B95" t="s">
        <v>29</v>
      </c>
      <c r="C95" s="6">
        <v>1511744.0449999999</v>
      </c>
      <c r="D95" s="6">
        <v>693981.43299999996</v>
      </c>
      <c r="E95" s="2" t="s">
        <v>30</v>
      </c>
      <c r="F95" s="1">
        <v>24</v>
      </c>
      <c r="G95" s="2" t="s">
        <v>31</v>
      </c>
      <c r="J95"/>
      <c r="K95" s="19"/>
      <c r="L95" s="21"/>
      <c r="M95" s="27"/>
      <c r="N95" s="19"/>
      <c r="O95" s="21"/>
      <c r="P95" s="7">
        <v>-3.85</v>
      </c>
      <c r="Q95" s="7">
        <f>Table2[[#This Row],[Elevation
PILE TOP]]-Table2[[#This Row],[LENGTH(m.)
(Actual)]]</f>
        <v>-3.85</v>
      </c>
      <c r="R95" s="2"/>
      <c r="S95" s="7">
        <f>Table2[[#This Row],[N]]+Table2[[#This Row],[Pile 
Deviation 
N (m)]]</f>
        <v>1511744.0449999999</v>
      </c>
      <c r="T95" s="7">
        <f>Table2[[#This Row],[E]]+Table2[[#This Row],[Pile 
Deviation 
E (m)]]</f>
        <v>693981.43299999996</v>
      </c>
      <c r="W95" s="7">
        <v>-4.3499999999999996</v>
      </c>
      <c r="X95" s="2" t="s">
        <v>38</v>
      </c>
      <c r="AA95" s="9">
        <v>46212</v>
      </c>
    </row>
    <row r="96" spans="1:27" hidden="1" x14ac:dyDescent="0.65">
      <c r="A96">
        <v>94</v>
      </c>
      <c r="B96" t="s">
        <v>29</v>
      </c>
      <c r="C96" s="6">
        <v>1511745.0349999999</v>
      </c>
      <c r="D96" s="6">
        <v>693986.33400000003</v>
      </c>
      <c r="E96" s="2" t="s">
        <v>30</v>
      </c>
      <c r="F96" s="1">
        <v>24</v>
      </c>
      <c r="G96" s="2" t="s">
        <v>31</v>
      </c>
      <c r="J96"/>
      <c r="K96" s="19"/>
      <c r="L96" s="21"/>
      <c r="M96" s="27"/>
      <c r="N96" s="19"/>
      <c r="O96" s="21"/>
      <c r="P96" s="7">
        <v>-3.85</v>
      </c>
      <c r="Q96" s="7">
        <f>Table2[[#This Row],[Elevation
PILE TOP]]-Table2[[#This Row],[LENGTH(m.)
(Actual)]]</f>
        <v>-3.85</v>
      </c>
      <c r="R96" s="2"/>
      <c r="S96" s="7">
        <f>Table2[[#This Row],[N]]+Table2[[#This Row],[Pile 
Deviation 
N (m)]]</f>
        <v>1511745.0349999999</v>
      </c>
      <c r="T96" s="7">
        <f>Table2[[#This Row],[E]]+Table2[[#This Row],[Pile 
Deviation 
E (m)]]</f>
        <v>693986.33400000003</v>
      </c>
      <c r="W96" s="7">
        <v>-4.3499999999999996</v>
      </c>
      <c r="X96" s="2" t="s">
        <v>38</v>
      </c>
      <c r="AA96" s="9">
        <v>46212</v>
      </c>
    </row>
    <row r="97" spans="1:27" ht="13.95" hidden="1" customHeight="1" x14ac:dyDescent="0.65">
      <c r="A97">
        <v>95</v>
      </c>
      <c r="B97" t="s">
        <v>29</v>
      </c>
      <c r="C97" s="6">
        <v>1511742.0360000001</v>
      </c>
      <c r="D97" s="6">
        <v>693981.83799999999</v>
      </c>
      <c r="E97" s="2" t="s">
        <v>30</v>
      </c>
      <c r="F97" s="1">
        <v>24</v>
      </c>
      <c r="G97" s="2" t="s">
        <v>31</v>
      </c>
      <c r="J97"/>
      <c r="K97" s="19"/>
      <c r="L97" s="21"/>
      <c r="M97" s="27"/>
      <c r="N97" s="19"/>
      <c r="O97" s="21"/>
      <c r="P97" s="7">
        <v>-3.85</v>
      </c>
      <c r="Q97" s="7">
        <f>Table2[[#This Row],[Elevation
PILE TOP]]-Table2[[#This Row],[LENGTH(m.)
(Actual)]]</f>
        <v>-3.85</v>
      </c>
      <c r="R97" s="2"/>
      <c r="S97" s="7">
        <f>Table2[[#This Row],[N]]+Table2[[#This Row],[Pile 
Deviation 
N (m)]]</f>
        <v>1511742.0360000001</v>
      </c>
      <c r="T97" s="7">
        <f>Table2[[#This Row],[E]]+Table2[[#This Row],[Pile 
Deviation 
E (m)]]</f>
        <v>693981.83799999999</v>
      </c>
      <c r="W97" s="7">
        <v>-4.3499999999999996</v>
      </c>
      <c r="X97" s="2" t="s">
        <v>38</v>
      </c>
      <c r="AA97" s="9">
        <v>46216</v>
      </c>
    </row>
    <row r="98" spans="1:27" hidden="1" x14ac:dyDescent="0.65">
      <c r="A98">
        <v>96</v>
      </c>
      <c r="B98" t="s">
        <v>29</v>
      </c>
      <c r="C98" s="6">
        <v>1511743.0260000001</v>
      </c>
      <c r="D98" s="6">
        <v>693986.73899999994</v>
      </c>
      <c r="E98" s="2" t="s">
        <v>30</v>
      </c>
      <c r="F98" s="1">
        <v>24</v>
      </c>
      <c r="G98" s="2" t="s">
        <v>31</v>
      </c>
      <c r="J98"/>
      <c r="K98" s="19"/>
      <c r="L98" s="21"/>
      <c r="M98" s="27"/>
      <c r="N98" s="19"/>
      <c r="O98" s="21"/>
      <c r="P98" s="7">
        <v>-3.85</v>
      </c>
      <c r="Q98" s="7">
        <f>Table2[[#This Row],[Elevation
PILE TOP]]-Table2[[#This Row],[LENGTH(m.)
(Actual)]]</f>
        <v>-3.85</v>
      </c>
      <c r="R98" s="2"/>
      <c r="S98" s="7">
        <f>Table2[[#This Row],[N]]+Table2[[#This Row],[Pile 
Deviation 
N (m)]]</f>
        <v>1511743.0260000001</v>
      </c>
      <c r="T98" s="7">
        <f>Table2[[#This Row],[E]]+Table2[[#This Row],[Pile 
Deviation 
E (m)]]</f>
        <v>693986.73899999994</v>
      </c>
      <c r="W98" s="7">
        <v>-4.3499999999999996</v>
      </c>
      <c r="X98" s="2" t="s">
        <v>38</v>
      </c>
      <c r="AA98" s="9">
        <v>46216</v>
      </c>
    </row>
    <row r="99" spans="1:27" ht="13.95" hidden="1" customHeight="1" x14ac:dyDescent="0.65">
      <c r="A99">
        <v>97</v>
      </c>
      <c r="B99" t="s">
        <v>29</v>
      </c>
      <c r="C99" s="6">
        <v>1511740.0279999999</v>
      </c>
      <c r="D99" s="6">
        <v>693982.24399999995</v>
      </c>
      <c r="E99" s="2" t="s">
        <v>30</v>
      </c>
      <c r="F99" s="1">
        <v>24</v>
      </c>
      <c r="G99" s="2" t="s">
        <v>31</v>
      </c>
      <c r="J99"/>
      <c r="K99" s="19"/>
      <c r="L99" s="21"/>
      <c r="M99" s="27"/>
      <c r="N99" s="19"/>
      <c r="O99" s="21"/>
      <c r="P99" s="7">
        <v>-3.85</v>
      </c>
      <c r="Q99" s="7">
        <f>Table2[[#This Row],[Elevation
PILE TOP]]-Table2[[#This Row],[LENGTH(m.)
(Actual)]]</f>
        <v>-3.85</v>
      </c>
      <c r="R99" s="2"/>
      <c r="S99" s="7">
        <f>Table2[[#This Row],[N]]+Table2[[#This Row],[Pile 
Deviation 
N (m)]]</f>
        <v>1511740.0279999999</v>
      </c>
      <c r="T99" s="7">
        <f>Table2[[#This Row],[E]]+Table2[[#This Row],[Pile 
Deviation 
E (m)]]</f>
        <v>693982.24399999995</v>
      </c>
      <c r="W99" s="7">
        <v>-4.3499999999999996</v>
      </c>
      <c r="X99" s="2" t="s">
        <v>38</v>
      </c>
      <c r="AA99" s="9">
        <v>46216</v>
      </c>
    </row>
    <row r="100" spans="1:27" hidden="1" x14ac:dyDescent="0.65">
      <c r="A100">
        <v>98</v>
      </c>
      <c r="B100" t="s">
        <v>29</v>
      </c>
      <c r="C100" s="6">
        <v>1511741.0179999999</v>
      </c>
      <c r="D100" s="6">
        <v>693987.14500000002</v>
      </c>
      <c r="E100" s="2" t="s">
        <v>30</v>
      </c>
      <c r="F100" s="1">
        <v>24</v>
      </c>
      <c r="G100" s="2" t="s">
        <v>31</v>
      </c>
      <c r="J100"/>
      <c r="K100" s="19"/>
      <c r="L100" s="21"/>
      <c r="M100" s="27"/>
      <c r="N100" s="19"/>
      <c r="O100" s="21"/>
      <c r="P100" s="7">
        <v>-3.85</v>
      </c>
      <c r="Q100" s="7">
        <f>Table2[[#This Row],[Elevation
PILE TOP]]-Table2[[#This Row],[LENGTH(m.)
(Actual)]]</f>
        <v>-3.85</v>
      </c>
      <c r="R100" s="2"/>
      <c r="S100" s="7">
        <f>Table2[[#This Row],[N]]+Table2[[#This Row],[Pile 
Deviation 
N (m)]]</f>
        <v>1511741.0179999999</v>
      </c>
      <c r="T100" s="7">
        <f>Table2[[#This Row],[E]]+Table2[[#This Row],[Pile 
Deviation 
E (m)]]</f>
        <v>693987.14500000002</v>
      </c>
      <c r="W100" s="7">
        <v>-4.3499999999999996</v>
      </c>
      <c r="X100" s="2" t="s">
        <v>38</v>
      </c>
      <c r="AA100" s="9">
        <v>46216</v>
      </c>
    </row>
    <row r="101" spans="1:27" ht="13.95" hidden="1" customHeight="1" x14ac:dyDescent="0.65">
      <c r="A101">
        <v>99</v>
      </c>
      <c r="B101" t="s">
        <v>29</v>
      </c>
      <c r="C101" s="6">
        <v>1511738.0190000001</v>
      </c>
      <c r="D101" s="6">
        <v>693982.64899999998</v>
      </c>
      <c r="E101" s="2" t="s">
        <v>30</v>
      </c>
      <c r="F101" s="1">
        <v>24</v>
      </c>
      <c r="G101" s="2" t="s">
        <v>31</v>
      </c>
      <c r="J101"/>
      <c r="K101" s="19"/>
      <c r="L101" s="21"/>
      <c r="M101" s="27"/>
      <c r="N101" s="19"/>
      <c r="O101" s="21"/>
      <c r="P101" s="7">
        <v>-3.85</v>
      </c>
      <c r="Q101" s="7">
        <f>Table2[[#This Row],[Elevation
PILE TOP]]-Table2[[#This Row],[LENGTH(m.)
(Actual)]]</f>
        <v>-3.85</v>
      </c>
      <c r="R101" s="2"/>
      <c r="S101" s="7">
        <f>Table2[[#This Row],[N]]+Table2[[#This Row],[Pile 
Deviation 
N (m)]]</f>
        <v>1511738.0190000001</v>
      </c>
      <c r="T101" s="7">
        <f>Table2[[#This Row],[E]]+Table2[[#This Row],[Pile 
Deviation 
E (m)]]</f>
        <v>693982.64899999998</v>
      </c>
      <c r="W101" s="7">
        <v>-4.3499999999999996</v>
      </c>
      <c r="X101" s="2" t="s">
        <v>38</v>
      </c>
      <c r="AA101" s="9">
        <v>46219</v>
      </c>
    </row>
    <row r="102" spans="1:27" hidden="1" x14ac:dyDescent="0.65">
      <c r="A102">
        <v>100</v>
      </c>
      <c r="B102" t="s">
        <v>29</v>
      </c>
      <c r="C102" s="6">
        <v>1511738.3489999999</v>
      </c>
      <c r="D102" s="6">
        <v>693984.28300000005</v>
      </c>
      <c r="E102" s="2" t="s">
        <v>30</v>
      </c>
      <c r="F102" s="1">
        <v>24</v>
      </c>
      <c r="G102" s="2" t="s">
        <v>31</v>
      </c>
      <c r="J102"/>
      <c r="K102" s="19"/>
      <c r="L102" s="21"/>
      <c r="M102" s="27"/>
      <c r="N102" s="19"/>
      <c r="O102" s="21"/>
      <c r="P102" s="7">
        <v>-3.85</v>
      </c>
      <c r="Q102" s="7">
        <f>Table2[[#This Row],[Elevation
PILE TOP]]-Table2[[#This Row],[LENGTH(m.)
(Actual)]]</f>
        <v>-3.85</v>
      </c>
      <c r="R102" s="2"/>
      <c r="S102" s="7">
        <f>Table2[[#This Row],[N]]+Table2[[#This Row],[Pile 
Deviation 
N (m)]]</f>
        <v>1511738.3489999999</v>
      </c>
      <c r="T102" s="7">
        <f>Table2[[#This Row],[E]]+Table2[[#This Row],[Pile 
Deviation 
E (m)]]</f>
        <v>693984.28300000005</v>
      </c>
      <c r="W102" s="7">
        <v>-4.3499999999999996</v>
      </c>
      <c r="X102" s="2" t="s">
        <v>38</v>
      </c>
      <c r="AA102" s="9">
        <v>46219</v>
      </c>
    </row>
    <row r="103" spans="1:27" ht="13.95" hidden="1" customHeight="1" x14ac:dyDescent="0.65">
      <c r="A103">
        <v>101</v>
      </c>
      <c r="B103" t="s">
        <v>29</v>
      </c>
      <c r="C103" s="6">
        <v>1511738.679</v>
      </c>
      <c r="D103" s="6">
        <v>693985.91700000002</v>
      </c>
      <c r="E103" s="2" t="s">
        <v>30</v>
      </c>
      <c r="F103" s="1">
        <v>24</v>
      </c>
      <c r="G103" s="2" t="s">
        <v>31</v>
      </c>
      <c r="J103"/>
      <c r="K103" s="19"/>
      <c r="L103" s="21"/>
      <c r="M103" s="27"/>
      <c r="N103" s="19"/>
      <c r="O103" s="21"/>
      <c r="P103" s="7">
        <v>-3.85</v>
      </c>
      <c r="Q103" s="7">
        <f>Table2[[#This Row],[Elevation
PILE TOP]]-Table2[[#This Row],[LENGTH(m.)
(Actual)]]</f>
        <v>-3.85</v>
      </c>
      <c r="R103" s="2"/>
      <c r="S103" s="7">
        <f>Table2[[#This Row],[N]]+Table2[[#This Row],[Pile 
Deviation 
N (m)]]</f>
        <v>1511738.679</v>
      </c>
      <c r="T103" s="7">
        <f>Table2[[#This Row],[E]]+Table2[[#This Row],[Pile 
Deviation 
E (m)]]</f>
        <v>693985.91700000002</v>
      </c>
      <c r="W103" s="7">
        <v>-4.3499999999999996</v>
      </c>
      <c r="X103" s="2" t="s">
        <v>38</v>
      </c>
      <c r="AA103" s="9">
        <v>46219</v>
      </c>
    </row>
    <row r="104" spans="1:27" hidden="1" x14ac:dyDescent="0.65">
      <c r="A104">
        <v>102</v>
      </c>
      <c r="B104" t="s">
        <v>29</v>
      </c>
      <c r="C104" s="6">
        <v>1511739.0090000001</v>
      </c>
      <c r="D104" s="6">
        <v>693987.55</v>
      </c>
      <c r="E104" s="2" t="s">
        <v>30</v>
      </c>
      <c r="F104" s="1">
        <v>24</v>
      </c>
      <c r="G104" s="2" t="s">
        <v>31</v>
      </c>
      <c r="J104"/>
      <c r="K104" s="19"/>
      <c r="L104" s="21"/>
      <c r="M104" s="27"/>
      <c r="N104" s="19"/>
      <c r="O104" s="21"/>
      <c r="P104" s="7">
        <v>-3.85</v>
      </c>
      <c r="Q104" s="7">
        <f>Table2[[#This Row],[Elevation
PILE TOP]]-Table2[[#This Row],[LENGTH(m.)
(Actual)]]</f>
        <v>-3.85</v>
      </c>
      <c r="R104" s="2"/>
      <c r="S104" s="7">
        <f>Table2[[#This Row],[N]]+Table2[[#This Row],[Pile 
Deviation 
N (m)]]</f>
        <v>1511739.0090000001</v>
      </c>
      <c r="T104" s="7">
        <f>Table2[[#This Row],[E]]+Table2[[#This Row],[Pile 
Deviation 
E (m)]]</f>
        <v>693987.55</v>
      </c>
      <c r="W104" s="7">
        <v>-4.3499999999999996</v>
      </c>
      <c r="X104" s="2" t="s">
        <v>38</v>
      </c>
      <c r="AA104" s="9">
        <v>46219</v>
      </c>
    </row>
    <row r="105" spans="1:27" ht="13.95" hidden="1" customHeight="1" x14ac:dyDescent="0.65">
      <c r="A105">
        <v>103</v>
      </c>
      <c r="B105" t="s">
        <v>29</v>
      </c>
      <c r="C105" s="6">
        <v>1511745.6140000001</v>
      </c>
      <c r="D105" s="6">
        <v>693983.89599999995</v>
      </c>
      <c r="E105" s="2" t="s">
        <v>30</v>
      </c>
      <c r="F105" s="1">
        <v>24</v>
      </c>
      <c r="G105" s="2" t="s">
        <v>31</v>
      </c>
      <c r="J105"/>
      <c r="K105" s="19"/>
      <c r="L105" s="21"/>
      <c r="M105" s="27"/>
      <c r="N105" s="19"/>
      <c r="O105" s="21"/>
      <c r="P105" s="7">
        <v>-3.9249999999999998</v>
      </c>
      <c r="Q105" s="7">
        <f>Table2[[#This Row],[Elevation
PILE TOP]]-Table2[[#This Row],[LENGTH(m.)
(Actual)]]</f>
        <v>-3.9249999999999998</v>
      </c>
      <c r="R105" s="2"/>
      <c r="S105" s="7">
        <f>Table2[[#This Row],[N]]+Table2[[#This Row],[Pile 
Deviation 
N (m)]]</f>
        <v>1511745.6140000001</v>
      </c>
      <c r="T105" s="7">
        <f>Table2[[#This Row],[E]]+Table2[[#This Row],[Pile 
Deviation 
E (m)]]</f>
        <v>693983.89599999995</v>
      </c>
      <c r="W105" s="7">
        <v>-4.4249999999999998</v>
      </c>
      <c r="X105" s="2" t="s">
        <v>39</v>
      </c>
      <c r="AA105" s="9">
        <v>46210</v>
      </c>
    </row>
    <row r="106" spans="1:27" hidden="1" x14ac:dyDescent="0.65">
      <c r="A106">
        <v>104</v>
      </c>
      <c r="B106" t="s">
        <v>29</v>
      </c>
      <c r="C106" s="6">
        <v>1511745.7720000001</v>
      </c>
      <c r="D106" s="6">
        <v>693984.68</v>
      </c>
      <c r="E106" s="2" t="s">
        <v>30</v>
      </c>
      <c r="F106" s="1">
        <v>24</v>
      </c>
      <c r="G106" s="2" t="s">
        <v>31</v>
      </c>
      <c r="J106"/>
      <c r="K106" s="19"/>
      <c r="L106" s="21"/>
      <c r="M106" s="27"/>
      <c r="N106" s="19"/>
      <c r="O106" s="21"/>
      <c r="P106" s="7">
        <v>-3.9249999999999998</v>
      </c>
      <c r="Q106" s="7">
        <f>Table2[[#This Row],[Elevation
PILE TOP]]-Table2[[#This Row],[LENGTH(m.)
(Actual)]]</f>
        <v>-3.9249999999999998</v>
      </c>
      <c r="R106" s="2"/>
      <c r="S106" s="7">
        <f>Table2[[#This Row],[N]]+Table2[[#This Row],[Pile 
Deviation 
N (m)]]</f>
        <v>1511745.7720000001</v>
      </c>
      <c r="T106" s="7">
        <f>Table2[[#This Row],[E]]+Table2[[#This Row],[Pile 
Deviation 
E (m)]]</f>
        <v>693984.68</v>
      </c>
      <c r="W106" s="7">
        <v>-4.4249999999999998</v>
      </c>
      <c r="X106" s="2" t="s">
        <v>39</v>
      </c>
      <c r="AA106" s="9">
        <v>46210</v>
      </c>
    </row>
    <row r="107" spans="1:27" ht="13.95" hidden="1" customHeight="1" x14ac:dyDescent="0.65">
      <c r="A107">
        <v>105</v>
      </c>
      <c r="B107" t="s">
        <v>29</v>
      </c>
      <c r="C107" s="6">
        <v>1511741.5460000001</v>
      </c>
      <c r="D107" s="6">
        <v>693984.71699999995</v>
      </c>
      <c r="E107" s="2" t="s">
        <v>30</v>
      </c>
      <c r="F107" s="1">
        <v>24</v>
      </c>
      <c r="G107" s="2" t="s">
        <v>31</v>
      </c>
      <c r="J107"/>
      <c r="K107" s="19"/>
      <c r="L107" s="21"/>
      <c r="M107" s="27"/>
      <c r="N107" s="19"/>
      <c r="O107" s="21"/>
      <c r="P107" s="7">
        <v>-3.9249999999999998</v>
      </c>
      <c r="Q107" s="7">
        <f>Table2[[#This Row],[Elevation
PILE TOP]]-Table2[[#This Row],[LENGTH(m.)
(Actual)]]</f>
        <v>-3.9249999999999998</v>
      </c>
      <c r="R107" s="2"/>
      <c r="S107" s="7">
        <f>Table2[[#This Row],[N]]+Table2[[#This Row],[Pile 
Deviation 
N (m)]]</f>
        <v>1511741.5460000001</v>
      </c>
      <c r="T107" s="7">
        <f>Table2[[#This Row],[E]]+Table2[[#This Row],[Pile 
Deviation 
E (m)]]</f>
        <v>693984.71699999995</v>
      </c>
      <c r="W107" s="7">
        <v>-4.4249999999999998</v>
      </c>
      <c r="X107" s="2" t="s">
        <v>39</v>
      </c>
      <c r="AA107" s="9">
        <v>46216</v>
      </c>
    </row>
    <row r="108" spans="1:27" hidden="1" x14ac:dyDescent="0.65">
      <c r="A108">
        <v>106</v>
      </c>
      <c r="B108" t="s">
        <v>29</v>
      </c>
      <c r="C108" s="6">
        <v>1511741.7039999999</v>
      </c>
      <c r="D108" s="6">
        <v>693985.50199999998</v>
      </c>
      <c r="E108" s="2" t="s">
        <v>30</v>
      </c>
      <c r="F108" s="1">
        <v>24</v>
      </c>
      <c r="G108" s="2" t="s">
        <v>31</v>
      </c>
      <c r="J108"/>
      <c r="K108" s="19"/>
      <c r="L108" s="21"/>
      <c r="M108" s="27"/>
      <c r="N108" s="19"/>
      <c r="O108" s="21"/>
      <c r="P108" s="7">
        <v>-3.9249999999999998</v>
      </c>
      <c r="Q108" s="7">
        <f>Table2[[#This Row],[Elevation
PILE TOP]]-Table2[[#This Row],[LENGTH(m.)
(Actual)]]</f>
        <v>-3.9249999999999998</v>
      </c>
      <c r="R108" s="2"/>
      <c r="S108" s="7">
        <f>Table2[[#This Row],[N]]+Table2[[#This Row],[Pile 
Deviation 
N (m)]]</f>
        <v>1511741.7039999999</v>
      </c>
      <c r="T108" s="7">
        <f>Table2[[#This Row],[E]]+Table2[[#This Row],[Pile 
Deviation 
E (m)]]</f>
        <v>693985.50199999998</v>
      </c>
      <c r="W108" s="7">
        <v>-4.4249999999999998</v>
      </c>
      <c r="X108" s="2" t="s">
        <v>39</v>
      </c>
      <c r="AA108" s="9">
        <v>46216</v>
      </c>
    </row>
    <row r="109" spans="1:27" ht="13.95" hidden="1" customHeight="1" x14ac:dyDescent="0.65">
      <c r="A109">
        <v>107</v>
      </c>
      <c r="B109" t="s">
        <v>29</v>
      </c>
      <c r="C109" s="6">
        <v>1511742.7590000001</v>
      </c>
      <c r="D109" s="6">
        <v>693964.70600000001</v>
      </c>
      <c r="E109" s="2" t="s">
        <v>35</v>
      </c>
      <c r="F109" s="1">
        <v>24</v>
      </c>
      <c r="G109" s="2" t="s">
        <v>31</v>
      </c>
      <c r="J109"/>
      <c r="K109" s="19"/>
      <c r="L109" s="21"/>
      <c r="M109" s="27"/>
      <c r="N109" s="19"/>
      <c r="O109" s="21"/>
      <c r="P109" s="7">
        <v>0.28999999999999998</v>
      </c>
      <c r="Q109" s="7">
        <f>Table2[[#This Row],[Elevation
PILE TOP]]-Table2[[#This Row],[LENGTH(m.)
(Actual)]]</f>
        <v>0.28999999999999998</v>
      </c>
      <c r="R109" s="2"/>
      <c r="S109" s="7">
        <f>Table2[[#This Row],[N]]+Table2[[#This Row],[Pile 
Deviation 
N (m)]]</f>
        <v>1511742.7590000001</v>
      </c>
      <c r="T109" s="7">
        <f>Table2[[#This Row],[E]]+Table2[[#This Row],[Pile 
Deviation 
E (m)]]</f>
        <v>693964.70600000001</v>
      </c>
      <c r="W109" s="7">
        <v>0.28999999999999998</v>
      </c>
      <c r="X109" s="2" t="s">
        <v>36</v>
      </c>
      <c r="AA109" s="9">
        <v>46209</v>
      </c>
    </row>
    <row r="110" spans="1:27" hidden="1" x14ac:dyDescent="0.65">
      <c r="A110">
        <v>108</v>
      </c>
      <c r="B110" t="s">
        <v>29</v>
      </c>
      <c r="C110" s="6">
        <v>1511743.318</v>
      </c>
      <c r="D110" s="6">
        <v>693967.47499999998</v>
      </c>
      <c r="E110" s="2" t="s">
        <v>35</v>
      </c>
      <c r="F110" s="1">
        <v>24</v>
      </c>
      <c r="G110" s="2" t="s">
        <v>31</v>
      </c>
      <c r="J110"/>
      <c r="K110" s="19"/>
      <c r="L110" s="21"/>
      <c r="M110" s="27"/>
      <c r="N110" s="19"/>
      <c r="O110" s="21"/>
      <c r="P110" s="7">
        <v>0.28999999999999998</v>
      </c>
      <c r="Q110" s="7">
        <f>Table2[[#This Row],[Elevation
PILE TOP]]-Table2[[#This Row],[LENGTH(m.)
(Actual)]]</f>
        <v>0.28999999999999998</v>
      </c>
      <c r="R110" s="2"/>
      <c r="S110" s="7">
        <f>Table2[[#This Row],[N]]+Table2[[#This Row],[Pile 
Deviation 
N (m)]]</f>
        <v>1511743.318</v>
      </c>
      <c r="T110" s="7">
        <f>Table2[[#This Row],[E]]+Table2[[#This Row],[Pile 
Deviation 
E (m)]]</f>
        <v>693967.47499999998</v>
      </c>
      <c r="W110" s="7">
        <v>0.28999999999999998</v>
      </c>
      <c r="X110" s="2" t="s">
        <v>36</v>
      </c>
      <c r="AA110" s="9">
        <v>46209</v>
      </c>
    </row>
    <row r="111" spans="1:27" ht="13.95" hidden="1" customHeight="1" x14ac:dyDescent="0.65">
      <c r="A111">
        <v>109</v>
      </c>
      <c r="B111" t="s">
        <v>29</v>
      </c>
      <c r="C111" s="6">
        <v>1511743.8770000001</v>
      </c>
      <c r="D111" s="6">
        <v>693970.24399999995</v>
      </c>
      <c r="E111" s="2" t="s">
        <v>35</v>
      </c>
      <c r="F111" s="1">
        <v>24</v>
      </c>
      <c r="G111" s="2" t="s">
        <v>31</v>
      </c>
      <c r="J111"/>
      <c r="K111" s="19"/>
      <c r="L111" s="21"/>
      <c r="M111" s="27"/>
      <c r="N111" s="19"/>
      <c r="O111" s="21"/>
      <c r="P111" s="7">
        <v>0.28999999999999998</v>
      </c>
      <c r="Q111" s="7">
        <f>Table2[[#This Row],[Elevation
PILE TOP]]-Table2[[#This Row],[LENGTH(m.)
(Actual)]]</f>
        <v>0.28999999999999998</v>
      </c>
      <c r="R111" s="2"/>
      <c r="S111" s="7">
        <f>Table2[[#This Row],[N]]+Table2[[#This Row],[Pile 
Deviation 
N (m)]]</f>
        <v>1511743.8770000001</v>
      </c>
      <c r="T111" s="7">
        <f>Table2[[#This Row],[E]]+Table2[[#This Row],[Pile 
Deviation 
E (m)]]</f>
        <v>693970.24399999995</v>
      </c>
      <c r="W111" s="7">
        <v>0.28999999999999998</v>
      </c>
      <c r="X111" s="2" t="s">
        <v>36</v>
      </c>
      <c r="AA111" s="9">
        <v>46209</v>
      </c>
    </row>
    <row r="112" spans="1:27" hidden="1" x14ac:dyDescent="0.65">
      <c r="A112">
        <v>110</v>
      </c>
      <c r="B112" t="s">
        <v>29</v>
      </c>
      <c r="C112" s="6">
        <v>1511744.436</v>
      </c>
      <c r="D112" s="6">
        <v>693973.01399999997</v>
      </c>
      <c r="E112" s="2" t="s">
        <v>35</v>
      </c>
      <c r="F112" s="1">
        <v>24</v>
      </c>
      <c r="G112" s="2" t="s">
        <v>31</v>
      </c>
      <c r="J112"/>
      <c r="K112" s="19"/>
      <c r="L112" s="21"/>
      <c r="M112" s="27"/>
      <c r="N112" s="19"/>
      <c r="O112" s="21"/>
      <c r="P112" s="7">
        <v>0.28999999999999998</v>
      </c>
      <c r="Q112" s="7">
        <f>Table2[[#This Row],[Elevation
PILE TOP]]-Table2[[#This Row],[LENGTH(m.)
(Actual)]]</f>
        <v>0.28999999999999998</v>
      </c>
      <c r="R112" s="2"/>
      <c r="S112" s="7">
        <f>Table2[[#This Row],[N]]+Table2[[#This Row],[Pile 
Deviation 
N (m)]]</f>
        <v>1511744.436</v>
      </c>
      <c r="T112" s="7">
        <f>Table2[[#This Row],[E]]+Table2[[#This Row],[Pile 
Deviation 
E (m)]]</f>
        <v>693973.01399999997</v>
      </c>
      <c r="W112" s="7">
        <v>0.28999999999999998</v>
      </c>
      <c r="X112" s="2" t="s">
        <v>36</v>
      </c>
      <c r="AA112" s="9">
        <v>46209</v>
      </c>
    </row>
    <row r="113" spans="1:27" ht="13.95" hidden="1" customHeight="1" x14ac:dyDescent="0.65">
      <c r="A113">
        <v>111</v>
      </c>
      <c r="B113" t="s">
        <v>29</v>
      </c>
      <c r="C113" s="6">
        <v>1511744.996</v>
      </c>
      <c r="D113" s="6">
        <v>693975.78300000005</v>
      </c>
      <c r="E113" s="2" t="s">
        <v>35</v>
      </c>
      <c r="F113" s="1">
        <v>24</v>
      </c>
      <c r="G113" s="2" t="s">
        <v>31</v>
      </c>
      <c r="J113"/>
      <c r="K113" s="19"/>
      <c r="L113" s="21"/>
      <c r="M113" s="27"/>
      <c r="N113" s="19"/>
      <c r="O113" s="21"/>
      <c r="P113" s="7">
        <v>0.28999999999999998</v>
      </c>
      <c r="Q113" s="7">
        <f>Table2[[#This Row],[Elevation
PILE TOP]]-Table2[[#This Row],[LENGTH(m.)
(Actual)]]</f>
        <v>0.28999999999999998</v>
      </c>
      <c r="R113" s="2"/>
      <c r="S113" s="7">
        <f>Table2[[#This Row],[N]]+Table2[[#This Row],[Pile 
Deviation 
N (m)]]</f>
        <v>1511744.996</v>
      </c>
      <c r="T113" s="7">
        <f>Table2[[#This Row],[E]]+Table2[[#This Row],[Pile 
Deviation 
E (m)]]</f>
        <v>693975.78300000005</v>
      </c>
      <c r="W113" s="7">
        <v>0.28999999999999998</v>
      </c>
      <c r="X113" s="2" t="s">
        <v>36</v>
      </c>
      <c r="AA113" s="9">
        <v>46209</v>
      </c>
    </row>
    <row r="114" spans="1:27" hidden="1" x14ac:dyDescent="0.65">
      <c r="A114">
        <v>112</v>
      </c>
      <c r="B114" t="s">
        <v>29</v>
      </c>
      <c r="C114" s="6">
        <v>1511745.5549999999</v>
      </c>
      <c r="D114" s="6">
        <v>693978.55200000003</v>
      </c>
      <c r="E114" s="2" t="s">
        <v>35</v>
      </c>
      <c r="F114" s="1">
        <v>24</v>
      </c>
      <c r="G114" s="2" t="s">
        <v>31</v>
      </c>
      <c r="J114"/>
      <c r="K114" s="19"/>
      <c r="L114" s="21"/>
      <c r="M114" s="27"/>
      <c r="N114" s="19"/>
      <c r="O114" s="21"/>
      <c r="P114" s="7">
        <v>0.28999999999999998</v>
      </c>
      <c r="Q114" s="7">
        <f>Table2[[#This Row],[Elevation
PILE TOP]]-Table2[[#This Row],[LENGTH(m.)
(Actual)]]</f>
        <v>0.28999999999999998</v>
      </c>
      <c r="R114" s="2"/>
      <c r="S114" s="7">
        <f>Table2[[#This Row],[N]]+Table2[[#This Row],[Pile 
Deviation 
N (m)]]</f>
        <v>1511745.5549999999</v>
      </c>
      <c r="T114" s="7">
        <f>Table2[[#This Row],[E]]+Table2[[#This Row],[Pile 
Deviation 
E (m)]]</f>
        <v>693978.55200000003</v>
      </c>
      <c r="W114" s="7">
        <v>0.28999999999999998</v>
      </c>
      <c r="X114" s="2" t="s">
        <v>36</v>
      </c>
      <c r="AA114" s="9">
        <v>46209</v>
      </c>
    </row>
    <row r="115" spans="1:27" ht="13.95" hidden="1" customHeight="1" x14ac:dyDescent="0.65">
      <c r="A115">
        <v>113</v>
      </c>
      <c r="B115" t="s">
        <v>29</v>
      </c>
      <c r="C115" s="6">
        <v>1511747.7320000001</v>
      </c>
      <c r="D115" s="6">
        <v>693989.33400000003</v>
      </c>
      <c r="E115" s="2" t="s">
        <v>35</v>
      </c>
      <c r="F115" s="1">
        <v>24</v>
      </c>
      <c r="G115" s="2" t="s">
        <v>31</v>
      </c>
      <c r="J115"/>
      <c r="K115" s="19"/>
      <c r="L115" s="21"/>
      <c r="M115" s="27"/>
      <c r="N115" s="19"/>
      <c r="O115" s="21"/>
      <c r="P115" s="7">
        <v>0.28999999999999998</v>
      </c>
      <c r="Q115" s="7">
        <f>Table2[[#This Row],[Elevation
PILE TOP]]-Table2[[#This Row],[LENGTH(m.)
(Actual)]]</f>
        <v>0.28999999999999998</v>
      </c>
      <c r="R115" s="2"/>
      <c r="S115" s="7">
        <f>Table2[[#This Row],[N]]+Table2[[#This Row],[Pile 
Deviation 
N (m)]]</f>
        <v>1511747.7320000001</v>
      </c>
      <c r="T115" s="7">
        <f>Table2[[#This Row],[E]]+Table2[[#This Row],[Pile 
Deviation 
E (m)]]</f>
        <v>693989.33400000003</v>
      </c>
      <c r="W115" s="7">
        <v>0.28999999999999998</v>
      </c>
      <c r="X115" s="2" t="s">
        <v>36</v>
      </c>
      <c r="AA115" s="9">
        <v>46210</v>
      </c>
    </row>
    <row r="116" spans="1:27" hidden="1" x14ac:dyDescent="0.65">
      <c r="A116">
        <v>114</v>
      </c>
      <c r="B116" t="s">
        <v>29</v>
      </c>
      <c r="C116" s="6">
        <v>1511748.257</v>
      </c>
      <c r="D116" s="6">
        <v>693991.93200000003</v>
      </c>
      <c r="E116" s="2" t="s">
        <v>35</v>
      </c>
      <c r="F116" s="1">
        <v>24</v>
      </c>
      <c r="G116" s="2" t="s">
        <v>31</v>
      </c>
      <c r="J116"/>
      <c r="K116" s="19"/>
      <c r="L116" s="21"/>
      <c r="M116" s="27"/>
      <c r="N116" s="19"/>
      <c r="O116" s="21"/>
      <c r="P116" s="7">
        <v>0.28999999999999998</v>
      </c>
      <c r="Q116" s="7">
        <f>Table2[[#This Row],[Elevation
PILE TOP]]-Table2[[#This Row],[LENGTH(m.)
(Actual)]]</f>
        <v>0.28999999999999998</v>
      </c>
      <c r="R116" s="2"/>
      <c r="S116" s="7">
        <f>Table2[[#This Row],[N]]+Table2[[#This Row],[Pile 
Deviation 
N (m)]]</f>
        <v>1511748.257</v>
      </c>
      <c r="T116" s="7">
        <f>Table2[[#This Row],[E]]+Table2[[#This Row],[Pile 
Deviation 
E (m)]]</f>
        <v>693991.93200000003</v>
      </c>
      <c r="W116" s="7">
        <v>0.28999999999999998</v>
      </c>
      <c r="X116" s="2" t="s">
        <v>36</v>
      </c>
      <c r="AA116" s="9">
        <v>46210</v>
      </c>
    </row>
    <row r="117" spans="1:27" ht="13.95" hidden="1" customHeight="1" x14ac:dyDescent="0.65">
      <c r="A117">
        <v>115</v>
      </c>
      <c r="B117" t="s">
        <v>29</v>
      </c>
      <c r="C117" s="6">
        <v>1511748.7819999999</v>
      </c>
      <c r="D117" s="6">
        <v>693994.52899999998</v>
      </c>
      <c r="E117" s="2" t="s">
        <v>35</v>
      </c>
      <c r="F117" s="1">
        <v>24</v>
      </c>
      <c r="G117" s="2" t="s">
        <v>31</v>
      </c>
      <c r="J117"/>
      <c r="K117" s="19"/>
      <c r="L117" s="21"/>
      <c r="M117" s="27"/>
      <c r="N117" s="19"/>
      <c r="O117" s="21"/>
      <c r="P117" s="7">
        <v>0.28999999999999998</v>
      </c>
      <c r="Q117" s="7">
        <f>Table2[[#This Row],[Elevation
PILE TOP]]-Table2[[#This Row],[LENGTH(m.)
(Actual)]]</f>
        <v>0.28999999999999998</v>
      </c>
      <c r="R117" s="2"/>
      <c r="S117" s="7">
        <f>Table2[[#This Row],[N]]+Table2[[#This Row],[Pile 
Deviation 
N (m)]]</f>
        <v>1511748.7819999999</v>
      </c>
      <c r="T117" s="7">
        <f>Table2[[#This Row],[E]]+Table2[[#This Row],[Pile 
Deviation 
E (m)]]</f>
        <v>693994.52899999998</v>
      </c>
      <c r="W117" s="7">
        <v>0.28999999999999998</v>
      </c>
      <c r="X117" s="2" t="s">
        <v>36</v>
      </c>
      <c r="AA117" s="9">
        <v>46211</v>
      </c>
    </row>
    <row r="118" spans="1:27" hidden="1" x14ac:dyDescent="0.65">
      <c r="A118">
        <v>116</v>
      </c>
      <c r="B118" t="s">
        <v>29</v>
      </c>
      <c r="C118" s="6">
        <v>1511749.311</v>
      </c>
      <c r="D118" s="6">
        <v>693997.15099999995</v>
      </c>
      <c r="E118" s="2" t="s">
        <v>35</v>
      </c>
      <c r="F118" s="1">
        <v>24</v>
      </c>
      <c r="G118" s="2" t="s">
        <v>31</v>
      </c>
      <c r="J118"/>
      <c r="K118" s="19"/>
      <c r="L118" s="21"/>
      <c r="M118" s="27"/>
      <c r="N118" s="19"/>
      <c r="O118" s="21"/>
      <c r="P118" s="7">
        <v>0.28999999999999998</v>
      </c>
      <c r="Q118" s="7">
        <f>Table2[[#This Row],[Elevation
PILE TOP]]-Table2[[#This Row],[LENGTH(m.)
(Actual)]]</f>
        <v>0.28999999999999998</v>
      </c>
      <c r="R118" s="2"/>
      <c r="S118" s="7">
        <f>Table2[[#This Row],[N]]+Table2[[#This Row],[Pile 
Deviation 
N (m)]]</f>
        <v>1511749.311</v>
      </c>
      <c r="T118" s="7">
        <f>Table2[[#This Row],[E]]+Table2[[#This Row],[Pile 
Deviation 
E (m)]]</f>
        <v>693997.15099999995</v>
      </c>
      <c r="W118" s="7">
        <v>0.28999999999999998</v>
      </c>
      <c r="X118" s="2" t="s">
        <v>36</v>
      </c>
      <c r="AA118" s="9">
        <v>46211</v>
      </c>
    </row>
    <row r="119" spans="1:27" ht="13.95" hidden="1" customHeight="1" x14ac:dyDescent="0.65">
      <c r="A119">
        <v>117</v>
      </c>
      <c r="B119" t="s">
        <v>29</v>
      </c>
      <c r="C119" s="6">
        <v>1511741.0360000001</v>
      </c>
      <c r="D119" s="6">
        <v>693961.228</v>
      </c>
      <c r="E119" s="2" t="s">
        <v>30</v>
      </c>
      <c r="F119" s="1">
        <v>24</v>
      </c>
      <c r="G119" s="2" t="s">
        <v>31</v>
      </c>
      <c r="J119"/>
      <c r="K119" s="19"/>
      <c r="L119" s="21"/>
      <c r="M119" s="27"/>
      <c r="N119" s="19"/>
      <c r="O119" s="21"/>
      <c r="P119" s="7">
        <v>-0.17499999999999999</v>
      </c>
      <c r="Q119" s="7">
        <f>Table2[[#This Row],[Elevation
PILE TOP]]-Table2[[#This Row],[LENGTH(m.)
(Actual)]]</f>
        <v>-0.17499999999999999</v>
      </c>
      <c r="R119" s="2"/>
      <c r="S119" s="7">
        <f>Table2[[#This Row],[N]]+Table2[[#This Row],[Pile 
Deviation 
N (m)]]</f>
        <v>1511741.0360000001</v>
      </c>
      <c r="T119" s="7">
        <f>Table2[[#This Row],[E]]+Table2[[#This Row],[Pile 
Deviation 
E (m)]]</f>
        <v>693961.228</v>
      </c>
      <c r="W119" s="7">
        <v>-0.67500000000000004</v>
      </c>
      <c r="X119" s="2" t="s">
        <v>37</v>
      </c>
      <c r="AA119" s="9">
        <v>46213</v>
      </c>
    </row>
    <row r="120" spans="1:27" hidden="1" x14ac:dyDescent="0.65">
      <c r="A120">
        <v>118</v>
      </c>
      <c r="B120" t="s">
        <v>29</v>
      </c>
      <c r="C120" s="6">
        <v>1511741.1950000001</v>
      </c>
      <c r="D120" s="6">
        <v>693962.01300000004</v>
      </c>
      <c r="E120" s="2" t="s">
        <v>30</v>
      </c>
      <c r="F120" s="1">
        <v>24</v>
      </c>
      <c r="G120" s="2" t="s">
        <v>31</v>
      </c>
      <c r="J120"/>
      <c r="K120" s="19"/>
      <c r="L120" s="21"/>
      <c r="M120" s="27"/>
      <c r="N120" s="19"/>
      <c r="O120" s="21"/>
      <c r="P120" s="7">
        <v>-0.17499999999999999</v>
      </c>
      <c r="Q120" s="7">
        <f>Table2[[#This Row],[Elevation
PILE TOP]]-Table2[[#This Row],[LENGTH(m.)
(Actual)]]</f>
        <v>-0.17499999999999999</v>
      </c>
      <c r="R120" s="2"/>
      <c r="S120" s="7">
        <f>Table2[[#This Row],[N]]+Table2[[#This Row],[Pile 
Deviation 
N (m)]]</f>
        <v>1511741.1950000001</v>
      </c>
      <c r="T120" s="7">
        <f>Table2[[#This Row],[E]]+Table2[[#This Row],[Pile 
Deviation 
E (m)]]</f>
        <v>693962.01300000004</v>
      </c>
      <c r="W120" s="7">
        <v>-0.67500000000000004</v>
      </c>
      <c r="X120" s="2" t="s">
        <v>37</v>
      </c>
      <c r="AA120" s="9">
        <v>46213</v>
      </c>
    </row>
    <row r="121" spans="1:27" ht="13.95" hidden="1" customHeight="1" x14ac:dyDescent="0.65">
      <c r="A121">
        <v>119</v>
      </c>
      <c r="B121" t="s">
        <v>29</v>
      </c>
      <c r="C121" s="6">
        <v>1511746.673</v>
      </c>
      <c r="D121" s="6">
        <v>693989.13800000004</v>
      </c>
      <c r="E121" s="2" t="s">
        <v>30</v>
      </c>
      <c r="F121" s="1">
        <v>24</v>
      </c>
      <c r="G121" s="2" t="s">
        <v>31</v>
      </c>
      <c r="J121"/>
      <c r="K121" s="19"/>
      <c r="L121" s="21"/>
      <c r="M121" s="27"/>
      <c r="N121" s="19"/>
      <c r="O121" s="21"/>
      <c r="P121" s="7">
        <v>-0.17499999999999999</v>
      </c>
      <c r="Q121" s="7">
        <f>Table2[[#This Row],[Elevation
PILE TOP]]-Table2[[#This Row],[LENGTH(m.)
(Actual)]]</f>
        <v>-0.17499999999999999</v>
      </c>
      <c r="R121" s="2"/>
      <c r="S121" s="7">
        <f>Table2[[#This Row],[N]]+Table2[[#This Row],[Pile 
Deviation 
N (m)]]</f>
        <v>1511746.673</v>
      </c>
      <c r="T121" s="7">
        <f>Table2[[#This Row],[E]]+Table2[[#This Row],[Pile 
Deviation 
E (m)]]</f>
        <v>693989.13800000004</v>
      </c>
      <c r="W121" s="7">
        <v>-0.67500000000000004</v>
      </c>
      <c r="X121" s="2" t="s">
        <v>37</v>
      </c>
      <c r="AA121" s="9">
        <v>46210</v>
      </c>
    </row>
    <row r="122" spans="1:27" hidden="1" x14ac:dyDescent="0.65">
      <c r="A122">
        <v>120</v>
      </c>
      <c r="B122" t="s">
        <v>29</v>
      </c>
      <c r="C122" s="6">
        <v>1511746.831</v>
      </c>
      <c r="D122" s="6">
        <v>693989.92299999995</v>
      </c>
      <c r="E122" s="2" t="s">
        <v>30</v>
      </c>
      <c r="F122" s="1">
        <v>24</v>
      </c>
      <c r="G122" s="2" t="s">
        <v>31</v>
      </c>
      <c r="J122"/>
      <c r="K122" s="19"/>
      <c r="L122" s="21"/>
      <c r="M122" s="27"/>
      <c r="N122" s="19"/>
      <c r="O122" s="21"/>
      <c r="P122" s="7">
        <v>-0.17499999999999999</v>
      </c>
      <c r="Q122" s="7">
        <f>Table2[[#This Row],[Elevation
PILE TOP]]-Table2[[#This Row],[LENGTH(m.)
(Actual)]]</f>
        <v>-0.17499999999999999</v>
      </c>
      <c r="R122" s="2"/>
      <c r="S122" s="7">
        <f>Table2[[#This Row],[N]]+Table2[[#This Row],[Pile 
Deviation 
N (m)]]</f>
        <v>1511746.831</v>
      </c>
      <c r="T122" s="7">
        <f>Table2[[#This Row],[E]]+Table2[[#This Row],[Pile 
Deviation 
E (m)]]</f>
        <v>693989.92299999995</v>
      </c>
      <c r="W122" s="7">
        <v>-0.67500000000000004</v>
      </c>
      <c r="X122" s="2" t="s">
        <v>37</v>
      </c>
      <c r="AA122" s="9">
        <v>46210</v>
      </c>
    </row>
    <row r="123" spans="1:27" ht="13.95" hidden="1" customHeight="1" x14ac:dyDescent="0.65">
      <c r="A123">
        <v>121</v>
      </c>
      <c r="B123" t="s">
        <v>29</v>
      </c>
      <c r="C123" s="6">
        <v>1511747.7220000001</v>
      </c>
      <c r="D123" s="6">
        <v>693994.33499999996</v>
      </c>
      <c r="E123" s="2" t="s">
        <v>30</v>
      </c>
      <c r="F123" s="1">
        <v>24</v>
      </c>
      <c r="G123" s="2" t="s">
        <v>31</v>
      </c>
      <c r="J123"/>
      <c r="K123" s="19"/>
      <c r="L123" s="21"/>
      <c r="M123" s="27"/>
      <c r="N123" s="19"/>
      <c r="O123" s="21"/>
      <c r="P123" s="7">
        <v>-0.17499999999999999</v>
      </c>
      <c r="Q123" s="7">
        <f>Table2[[#This Row],[Elevation
PILE TOP]]-Table2[[#This Row],[LENGTH(m.)
(Actual)]]</f>
        <v>-0.17499999999999999</v>
      </c>
      <c r="R123" s="2"/>
      <c r="S123" s="7">
        <f>Table2[[#This Row],[N]]+Table2[[#This Row],[Pile 
Deviation 
N (m)]]</f>
        <v>1511747.7220000001</v>
      </c>
      <c r="T123" s="7">
        <f>Table2[[#This Row],[E]]+Table2[[#This Row],[Pile 
Deviation 
E (m)]]</f>
        <v>693994.33499999996</v>
      </c>
      <c r="W123" s="7">
        <v>-0.67500000000000004</v>
      </c>
      <c r="X123" s="2" t="s">
        <v>37</v>
      </c>
      <c r="AA123" s="9">
        <v>46211</v>
      </c>
    </row>
    <row r="124" spans="1:27" hidden="1" x14ac:dyDescent="0.65">
      <c r="A124">
        <v>122</v>
      </c>
      <c r="B124" t="s">
        <v>29</v>
      </c>
      <c r="C124" s="6">
        <v>1511747.88</v>
      </c>
      <c r="D124" s="6">
        <v>693995.11899999995</v>
      </c>
      <c r="E124" s="2" t="s">
        <v>30</v>
      </c>
      <c r="F124" s="1">
        <v>24</v>
      </c>
      <c r="G124" s="2" t="s">
        <v>31</v>
      </c>
      <c r="J124"/>
      <c r="K124" s="19"/>
      <c r="L124" s="21"/>
      <c r="M124" s="27"/>
      <c r="N124" s="19"/>
      <c r="O124" s="21"/>
      <c r="P124" s="7">
        <v>-0.17499999999999999</v>
      </c>
      <c r="Q124" s="7">
        <f>Table2[[#This Row],[Elevation
PILE TOP]]-Table2[[#This Row],[LENGTH(m.)
(Actual)]]</f>
        <v>-0.17499999999999999</v>
      </c>
      <c r="R124" s="2"/>
      <c r="S124" s="7">
        <f>Table2[[#This Row],[N]]+Table2[[#This Row],[Pile 
Deviation 
N (m)]]</f>
        <v>1511747.88</v>
      </c>
      <c r="T124" s="7">
        <f>Table2[[#This Row],[E]]+Table2[[#This Row],[Pile 
Deviation 
E (m)]]</f>
        <v>693995.11899999995</v>
      </c>
      <c r="W124" s="7">
        <v>-0.67500000000000004</v>
      </c>
      <c r="X124" s="2" t="s">
        <v>37</v>
      </c>
      <c r="AA124" s="9">
        <v>46211</v>
      </c>
    </row>
    <row r="125" spans="1:27" ht="13.95" hidden="1" customHeight="1" x14ac:dyDescent="0.65">
      <c r="A125">
        <v>123</v>
      </c>
      <c r="B125" t="s">
        <v>29</v>
      </c>
      <c r="C125" s="6">
        <v>1511749.233</v>
      </c>
      <c r="D125" s="6">
        <v>693999.79399999999</v>
      </c>
      <c r="E125" s="2" t="s">
        <v>30</v>
      </c>
      <c r="F125" s="1">
        <v>24</v>
      </c>
      <c r="G125" s="2" t="s">
        <v>31</v>
      </c>
      <c r="J125"/>
      <c r="K125" s="19"/>
      <c r="L125" s="21"/>
      <c r="M125" s="27"/>
      <c r="N125" s="19"/>
      <c r="O125" s="21"/>
      <c r="P125" s="7">
        <v>-0.17499999999999999</v>
      </c>
      <c r="Q125" s="7">
        <f>Table2[[#This Row],[Elevation
PILE TOP]]-Table2[[#This Row],[LENGTH(m.)
(Actual)]]</f>
        <v>-0.17499999999999999</v>
      </c>
      <c r="R125" s="2"/>
      <c r="S125" s="7">
        <f>Table2[[#This Row],[N]]+Table2[[#This Row],[Pile 
Deviation 
N (m)]]</f>
        <v>1511749.233</v>
      </c>
      <c r="T125" s="7">
        <f>Table2[[#This Row],[E]]+Table2[[#This Row],[Pile 
Deviation 
E (m)]]</f>
        <v>693999.79399999999</v>
      </c>
      <c r="W125" s="7">
        <v>-0.67500000000000004</v>
      </c>
      <c r="X125" s="2" t="s">
        <v>33</v>
      </c>
      <c r="AA125" s="9">
        <v>46211</v>
      </c>
    </row>
    <row r="126" spans="1:27" hidden="1" x14ac:dyDescent="0.65">
      <c r="A126">
        <v>124</v>
      </c>
      <c r="B126" t="s">
        <v>29</v>
      </c>
      <c r="C126" s="6">
        <v>1511749.4110000001</v>
      </c>
      <c r="D126" s="6">
        <v>694000.67599999998</v>
      </c>
      <c r="E126" s="2" t="s">
        <v>30</v>
      </c>
      <c r="F126" s="1">
        <v>24</v>
      </c>
      <c r="G126" s="2" t="s">
        <v>31</v>
      </c>
      <c r="J126"/>
      <c r="K126" s="19"/>
      <c r="L126" s="21"/>
      <c r="M126" s="27"/>
      <c r="N126" s="19"/>
      <c r="O126" s="21"/>
      <c r="P126" s="7">
        <v>-0.17499999999999999</v>
      </c>
      <c r="Q126" s="7">
        <f>Table2[[#This Row],[Elevation
PILE TOP]]-Table2[[#This Row],[LENGTH(m.)
(Actual)]]</f>
        <v>-0.17499999999999999</v>
      </c>
      <c r="R126" s="2"/>
      <c r="S126" s="7">
        <f>Table2[[#This Row],[N]]+Table2[[#This Row],[Pile 
Deviation 
N (m)]]</f>
        <v>1511749.4110000001</v>
      </c>
      <c r="T126" s="7">
        <f>Table2[[#This Row],[E]]+Table2[[#This Row],[Pile 
Deviation 
E (m)]]</f>
        <v>694000.67599999998</v>
      </c>
      <c r="W126" s="7">
        <v>-0.67500000000000004</v>
      </c>
      <c r="X126" s="2" t="s">
        <v>33</v>
      </c>
      <c r="AA126" s="9">
        <v>46211</v>
      </c>
    </row>
    <row r="127" spans="1:27" ht="13.95" hidden="1" customHeight="1" x14ac:dyDescent="0.65">
      <c r="A127">
        <v>125</v>
      </c>
      <c r="B127" t="s">
        <v>29</v>
      </c>
      <c r="C127" s="6">
        <v>1511748.4480000001</v>
      </c>
      <c r="D127" s="6">
        <v>693999.95200000005</v>
      </c>
      <c r="E127" s="2" t="s">
        <v>30</v>
      </c>
      <c r="F127" s="1">
        <v>24</v>
      </c>
      <c r="G127" s="2" t="s">
        <v>31</v>
      </c>
      <c r="J127"/>
      <c r="K127" s="19"/>
      <c r="L127" s="21"/>
      <c r="M127" s="27"/>
      <c r="N127" s="19"/>
      <c r="O127" s="21"/>
      <c r="P127" s="7">
        <v>-0.17499999999999999</v>
      </c>
      <c r="Q127" s="7">
        <f>Table2[[#This Row],[Elevation
PILE TOP]]-Table2[[#This Row],[LENGTH(m.)
(Actual)]]</f>
        <v>-0.17499999999999999</v>
      </c>
      <c r="R127" s="2"/>
      <c r="S127" s="7">
        <f>Table2[[#This Row],[N]]+Table2[[#This Row],[Pile 
Deviation 
N (m)]]</f>
        <v>1511748.4480000001</v>
      </c>
      <c r="T127" s="7">
        <f>Table2[[#This Row],[E]]+Table2[[#This Row],[Pile 
Deviation 
E (m)]]</f>
        <v>693999.95200000005</v>
      </c>
      <c r="W127" s="7">
        <v>-0.67500000000000004</v>
      </c>
      <c r="X127" s="2" t="s">
        <v>33</v>
      </c>
      <c r="AA127" s="9">
        <v>46211</v>
      </c>
    </row>
    <row r="128" spans="1:27" hidden="1" x14ac:dyDescent="0.65">
      <c r="A128">
        <v>126</v>
      </c>
      <c r="B128" t="s">
        <v>29</v>
      </c>
      <c r="C128" s="6">
        <v>1511748.6270000001</v>
      </c>
      <c r="D128" s="6">
        <v>694000.83499999996</v>
      </c>
      <c r="E128" s="2" t="s">
        <v>30</v>
      </c>
      <c r="F128" s="1">
        <v>24</v>
      </c>
      <c r="G128" s="2" t="s">
        <v>31</v>
      </c>
      <c r="J128"/>
      <c r="K128" s="19"/>
      <c r="L128" s="21"/>
      <c r="M128" s="27"/>
      <c r="N128" s="19"/>
      <c r="O128" s="21"/>
      <c r="P128" s="7">
        <v>-0.17499999999999999</v>
      </c>
      <c r="Q128" s="7">
        <f>Table2[[#This Row],[Elevation
PILE TOP]]-Table2[[#This Row],[LENGTH(m.)
(Actual)]]</f>
        <v>-0.17499999999999999</v>
      </c>
      <c r="R128" s="2"/>
      <c r="S128" s="7">
        <f>Table2[[#This Row],[N]]+Table2[[#This Row],[Pile 
Deviation 
N (m)]]</f>
        <v>1511748.6270000001</v>
      </c>
      <c r="T128" s="7">
        <f>Table2[[#This Row],[E]]+Table2[[#This Row],[Pile 
Deviation 
E (m)]]</f>
        <v>694000.83499999996</v>
      </c>
      <c r="W128" s="7">
        <v>-0.67500000000000004</v>
      </c>
      <c r="X128" s="2" t="s">
        <v>33</v>
      </c>
      <c r="AA128" s="9">
        <v>46211</v>
      </c>
    </row>
    <row r="129" spans="1:27" ht="13.95" hidden="1" customHeight="1" x14ac:dyDescent="0.65">
      <c r="A129">
        <v>127</v>
      </c>
      <c r="B129" t="s">
        <v>29</v>
      </c>
      <c r="C129" s="6">
        <v>1511739.818</v>
      </c>
      <c r="D129" s="6">
        <v>693965.3</v>
      </c>
      <c r="E129" s="2" t="s">
        <v>35</v>
      </c>
      <c r="F129" s="1">
        <v>24</v>
      </c>
      <c r="G129" s="2" t="s">
        <v>31</v>
      </c>
      <c r="J129"/>
      <c r="K129" s="19"/>
      <c r="L129" s="21"/>
      <c r="M129" s="27"/>
      <c r="N129" s="19"/>
      <c r="O129" s="21"/>
      <c r="P129" s="7">
        <v>0.28999999999999998</v>
      </c>
      <c r="Q129" s="7">
        <f>Table2[[#This Row],[Elevation
PILE TOP]]-Table2[[#This Row],[LENGTH(m.)
(Actual)]]</f>
        <v>0.28999999999999998</v>
      </c>
      <c r="R129" s="2"/>
      <c r="S129" s="7">
        <f>Table2[[#This Row],[N]]+Table2[[#This Row],[Pile 
Deviation 
N (m)]]</f>
        <v>1511739.818</v>
      </c>
      <c r="T129" s="7">
        <f>Table2[[#This Row],[E]]+Table2[[#This Row],[Pile 
Deviation 
E (m)]]</f>
        <v>693965.3</v>
      </c>
      <c r="W129" s="7">
        <v>0.28999999999999998</v>
      </c>
      <c r="X129" s="2" t="s">
        <v>36</v>
      </c>
      <c r="AA129" s="9">
        <v>46213</v>
      </c>
    </row>
    <row r="130" spans="1:27" hidden="1" x14ac:dyDescent="0.65">
      <c r="A130">
        <v>128</v>
      </c>
      <c r="B130" t="s">
        <v>29</v>
      </c>
      <c r="C130" s="6">
        <v>1511740.3770000001</v>
      </c>
      <c r="D130" s="6">
        <v>693968.06900000002</v>
      </c>
      <c r="E130" s="2" t="s">
        <v>35</v>
      </c>
      <c r="F130" s="1">
        <v>24</v>
      </c>
      <c r="G130" s="2" t="s">
        <v>31</v>
      </c>
      <c r="J130"/>
      <c r="K130" s="19"/>
      <c r="L130" s="21"/>
      <c r="M130" s="27"/>
      <c r="N130" s="19"/>
      <c r="O130" s="21"/>
      <c r="P130" s="7">
        <v>0.28999999999999998</v>
      </c>
      <c r="Q130" s="7">
        <f>Table2[[#This Row],[Elevation
PILE TOP]]-Table2[[#This Row],[LENGTH(m.)
(Actual)]]</f>
        <v>0.28999999999999998</v>
      </c>
      <c r="R130" s="2"/>
      <c r="S130" s="7">
        <f>Table2[[#This Row],[N]]+Table2[[#This Row],[Pile 
Deviation 
N (m)]]</f>
        <v>1511740.3770000001</v>
      </c>
      <c r="T130" s="7">
        <f>Table2[[#This Row],[E]]+Table2[[#This Row],[Pile 
Deviation 
E (m)]]</f>
        <v>693968.06900000002</v>
      </c>
      <c r="W130" s="7">
        <v>0.28999999999999998</v>
      </c>
      <c r="X130" s="2" t="s">
        <v>36</v>
      </c>
      <c r="AA130" s="9">
        <v>46213</v>
      </c>
    </row>
    <row r="131" spans="1:27" ht="13.95" hidden="1" customHeight="1" x14ac:dyDescent="0.65">
      <c r="A131">
        <v>129</v>
      </c>
      <c r="B131" t="s">
        <v>29</v>
      </c>
      <c r="C131" s="6">
        <v>1511740.9369999999</v>
      </c>
      <c r="D131" s="6">
        <v>693970.83799999999</v>
      </c>
      <c r="E131" s="2" t="s">
        <v>35</v>
      </c>
      <c r="F131" s="1">
        <v>24</v>
      </c>
      <c r="G131" s="2" t="s">
        <v>31</v>
      </c>
      <c r="J131"/>
      <c r="K131" s="19"/>
      <c r="L131" s="21"/>
      <c r="M131" s="27"/>
      <c r="N131" s="19"/>
      <c r="O131" s="21"/>
      <c r="P131" s="7">
        <v>0.28999999999999998</v>
      </c>
      <c r="Q131" s="7">
        <f>Table2[[#This Row],[Elevation
PILE TOP]]-Table2[[#This Row],[LENGTH(m.)
(Actual)]]</f>
        <v>0.28999999999999998</v>
      </c>
      <c r="R131" s="2"/>
      <c r="S131" s="7">
        <f>Table2[[#This Row],[N]]+Table2[[#This Row],[Pile 
Deviation 
N (m)]]</f>
        <v>1511740.9369999999</v>
      </c>
      <c r="T131" s="7">
        <f>Table2[[#This Row],[E]]+Table2[[#This Row],[Pile 
Deviation 
E (m)]]</f>
        <v>693970.83799999999</v>
      </c>
      <c r="W131" s="7">
        <v>0.28999999999999998</v>
      </c>
      <c r="X131" s="2" t="s">
        <v>36</v>
      </c>
      <c r="AA131" s="9">
        <v>46213</v>
      </c>
    </row>
    <row r="132" spans="1:27" hidden="1" x14ac:dyDescent="0.65">
      <c r="A132">
        <v>130</v>
      </c>
      <c r="B132" t="s">
        <v>29</v>
      </c>
      <c r="C132" s="6">
        <v>1511741.496</v>
      </c>
      <c r="D132" s="6">
        <v>693973.60699999996</v>
      </c>
      <c r="E132" s="2" t="s">
        <v>35</v>
      </c>
      <c r="F132" s="1">
        <v>24</v>
      </c>
      <c r="G132" s="2" t="s">
        <v>31</v>
      </c>
      <c r="J132"/>
      <c r="K132" s="19"/>
      <c r="L132" s="21"/>
      <c r="M132" s="27"/>
      <c r="N132" s="19"/>
      <c r="O132" s="21"/>
      <c r="P132" s="7">
        <v>0.28999999999999998</v>
      </c>
      <c r="Q132" s="7">
        <f>Table2[[#This Row],[Elevation
PILE TOP]]-Table2[[#This Row],[LENGTH(m.)
(Actual)]]</f>
        <v>0.28999999999999998</v>
      </c>
      <c r="R132" s="2"/>
      <c r="S132" s="7">
        <f>Table2[[#This Row],[N]]+Table2[[#This Row],[Pile 
Deviation 
N (m)]]</f>
        <v>1511741.496</v>
      </c>
      <c r="T132" s="7">
        <f>Table2[[#This Row],[E]]+Table2[[#This Row],[Pile 
Deviation 
E (m)]]</f>
        <v>693973.60699999996</v>
      </c>
      <c r="W132" s="7">
        <v>0.28999999999999998</v>
      </c>
      <c r="X132" s="2" t="s">
        <v>36</v>
      </c>
      <c r="AA132" s="9">
        <v>46213</v>
      </c>
    </row>
    <row r="133" spans="1:27" ht="13.95" hidden="1" customHeight="1" x14ac:dyDescent="0.65">
      <c r="A133">
        <v>131</v>
      </c>
      <c r="B133" t="s">
        <v>29</v>
      </c>
      <c r="C133" s="6">
        <v>1511742.0549999999</v>
      </c>
      <c r="D133" s="6">
        <v>693976.37699999998</v>
      </c>
      <c r="E133" s="2" t="s">
        <v>35</v>
      </c>
      <c r="F133" s="1">
        <v>24</v>
      </c>
      <c r="G133" s="2" t="s">
        <v>31</v>
      </c>
      <c r="J133"/>
      <c r="K133" s="19"/>
      <c r="L133" s="21"/>
      <c r="M133" s="27"/>
      <c r="N133" s="19"/>
      <c r="O133" s="21"/>
      <c r="P133" s="7">
        <v>0.28999999999999998</v>
      </c>
      <c r="Q133" s="7">
        <f>Table2[[#This Row],[Elevation
PILE TOP]]-Table2[[#This Row],[LENGTH(m.)
(Actual)]]</f>
        <v>0.28999999999999998</v>
      </c>
      <c r="R133" s="2"/>
      <c r="S133" s="7">
        <f>Table2[[#This Row],[N]]+Table2[[#This Row],[Pile 
Deviation 
N (m)]]</f>
        <v>1511742.0549999999</v>
      </c>
      <c r="T133" s="7">
        <f>Table2[[#This Row],[E]]+Table2[[#This Row],[Pile 
Deviation 
E (m)]]</f>
        <v>693976.37699999998</v>
      </c>
      <c r="W133" s="7">
        <v>0.28999999999999998</v>
      </c>
      <c r="X133" s="2" t="s">
        <v>36</v>
      </c>
      <c r="AA133" s="9">
        <v>46212</v>
      </c>
    </row>
    <row r="134" spans="1:27" hidden="1" x14ac:dyDescent="0.65">
      <c r="A134">
        <v>132</v>
      </c>
      <c r="B134" t="s">
        <v>29</v>
      </c>
      <c r="C134" s="6">
        <v>1511742.6140000001</v>
      </c>
      <c r="D134" s="6">
        <v>693979.14599999995</v>
      </c>
      <c r="E134" s="2" t="s">
        <v>35</v>
      </c>
      <c r="F134" s="1">
        <v>24</v>
      </c>
      <c r="G134" s="2" t="s">
        <v>31</v>
      </c>
      <c r="J134"/>
      <c r="K134" s="19"/>
      <c r="L134" s="21"/>
      <c r="M134" s="27"/>
      <c r="N134" s="19"/>
      <c r="O134" s="21"/>
      <c r="P134" s="7">
        <v>0.28999999999999998</v>
      </c>
      <c r="Q134" s="7">
        <f>Table2[[#This Row],[Elevation
PILE TOP]]-Table2[[#This Row],[LENGTH(m.)
(Actual)]]</f>
        <v>0.28999999999999998</v>
      </c>
      <c r="R134" s="2"/>
      <c r="S134" s="7">
        <f>Table2[[#This Row],[N]]+Table2[[#This Row],[Pile 
Deviation 
N (m)]]</f>
        <v>1511742.6140000001</v>
      </c>
      <c r="T134" s="7">
        <f>Table2[[#This Row],[E]]+Table2[[#This Row],[Pile 
Deviation 
E (m)]]</f>
        <v>693979.14599999995</v>
      </c>
      <c r="W134" s="7">
        <v>0.28999999999999998</v>
      </c>
      <c r="X134" s="2" t="s">
        <v>36</v>
      </c>
      <c r="AA134" s="9">
        <v>46212</v>
      </c>
    </row>
    <row r="135" spans="1:27" ht="13.95" hidden="1" customHeight="1" x14ac:dyDescent="0.65">
      <c r="A135">
        <v>133</v>
      </c>
      <c r="B135" t="s">
        <v>29</v>
      </c>
      <c r="C135" s="6">
        <v>1511744.7919999999</v>
      </c>
      <c r="D135" s="6">
        <v>693989.92799999996</v>
      </c>
      <c r="E135" s="2" t="s">
        <v>35</v>
      </c>
      <c r="F135" s="1">
        <v>24</v>
      </c>
      <c r="G135" s="2" t="s">
        <v>31</v>
      </c>
      <c r="J135"/>
      <c r="K135" s="19"/>
      <c r="L135" s="21"/>
      <c r="M135" s="27"/>
      <c r="N135" s="19"/>
      <c r="O135" s="21"/>
      <c r="P135" s="7">
        <v>0.28999999999999998</v>
      </c>
      <c r="Q135" s="7">
        <f>Table2[[#This Row],[Elevation
PILE TOP]]-Table2[[#This Row],[LENGTH(m.)
(Actual)]]</f>
        <v>0.28999999999999998</v>
      </c>
      <c r="R135" s="2"/>
      <c r="S135" s="7">
        <f>Table2[[#This Row],[N]]+Table2[[#This Row],[Pile 
Deviation 
N (m)]]</f>
        <v>1511744.7919999999</v>
      </c>
      <c r="T135" s="7">
        <f>Table2[[#This Row],[E]]+Table2[[#This Row],[Pile 
Deviation 
E (m)]]</f>
        <v>693989.92799999996</v>
      </c>
      <c r="W135" s="7">
        <v>0.28999999999999998</v>
      </c>
      <c r="X135" s="2" t="s">
        <v>36</v>
      </c>
      <c r="AA135" s="9">
        <v>46212</v>
      </c>
    </row>
    <row r="136" spans="1:27" hidden="1" x14ac:dyDescent="0.65">
      <c r="A136">
        <v>134</v>
      </c>
      <c r="B136" t="s">
        <v>29</v>
      </c>
      <c r="C136" s="6">
        <v>1511745.3160000001</v>
      </c>
      <c r="D136" s="6">
        <v>693992.52599999995</v>
      </c>
      <c r="E136" s="2" t="s">
        <v>35</v>
      </c>
      <c r="F136" s="1">
        <v>24</v>
      </c>
      <c r="G136" s="2" t="s">
        <v>31</v>
      </c>
      <c r="J136"/>
      <c r="K136" s="19"/>
      <c r="L136" s="21"/>
      <c r="M136" s="27"/>
      <c r="N136" s="19"/>
      <c r="O136" s="21"/>
      <c r="P136" s="7">
        <v>0.28999999999999998</v>
      </c>
      <c r="Q136" s="7">
        <f>Table2[[#This Row],[Elevation
PILE TOP]]-Table2[[#This Row],[LENGTH(m.)
(Actual)]]</f>
        <v>0.28999999999999998</v>
      </c>
      <c r="R136" s="2"/>
      <c r="S136" s="7">
        <f>Table2[[#This Row],[N]]+Table2[[#This Row],[Pile 
Deviation 
N (m)]]</f>
        <v>1511745.3160000001</v>
      </c>
      <c r="T136" s="7">
        <f>Table2[[#This Row],[E]]+Table2[[#This Row],[Pile 
Deviation 
E (m)]]</f>
        <v>693992.52599999995</v>
      </c>
      <c r="W136" s="7">
        <v>0.28999999999999998</v>
      </c>
      <c r="X136" s="2" t="s">
        <v>36</v>
      </c>
      <c r="AA136" s="9">
        <v>46212</v>
      </c>
    </row>
    <row r="137" spans="1:27" ht="13.95" hidden="1" customHeight="1" x14ac:dyDescent="0.65">
      <c r="A137">
        <v>135</v>
      </c>
      <c r="B137" t="s">
        <v>29</v>
      </c>
      <c r="C137" s="6">
        <v>1511745.841</v>
      </c>
      <c r="D137" s="6">
        <v>693995.12300000002</v>
      </c>
      <c r="E137" s="2" t="s">
        <v>35</v>
      </c>
      <c r="F137" s="1">
        <v>24</v>
      </c>
      <c r="G137" s="2" t="s">
        <v>31</v>
      </c>
      <c r="J137"/>
      <c r="K137" s="19"/>
      <c r="L137" s="21"/>
      <c r="M137" s="27"/>
      <c r="N137" s="19"/>
      <c r="O137" s="21"/>
      <c r="P137" s="7">
        <v>0.28999999999999998</v>
      </c>
      <c r="Q137" s="7">
        <f>Table2[[#This Row],[Elevation
PILE TOP]]-Table2[[#This Row],[LENGTH(m.)
(Actual)]]</f>
        <v>0.28999999999999998</v>
      </c>
      <c r="R137" s="2"/>
      <c r="S137" s="7">
        <f>Table2[[#This Row],[N]]+Table2[[#This Row],[Pile 
Deviation 
N (m)]]</f>
        <v>1511745.841</v>
      </c>
      <c r="T137" s="7">
        <f>Table2[[#This Row],[E]]+Table2[[#This Row],[Pile 
Deviation 
E (m)]]</f>
        <v>693995.12300000002</v>
      </c>
      <c r="W137" s="7">
        <v>0.28999999999999998</v>
      </c>
      <c r="X137" s="2" t="s">
        <v>36</v>
      </c>
      <c r="AA137" s="9">
        <v>46212</v>
      </c>
    </row>
    <row r="138" spans="1:27" hidden="1" x14ac:dyDescent="0.65">
      <c r="A138">
        <v>136</v>
      </c>
      <c r="B138" t="s">
        <v>29</v>
      </c>
      <c r="C138" s="6">
        <v>1511746.37</v>
      </c>
      <c r="D138" s="6">
        <v>693997.745</v>
      </c>
      <c r="E138" s="2" t="s">
        <v>35</v>
      </c>
      <c r="F138" s="1">
        <v>24</v>
      </c>
      <c r="G138" s="2" t="s">
        <v>31</v>
      </c>
      <c r="J138"/>
      <c r="K138" s="19"/>
      <c r="L138" s="21"/>
      <c r="M138" s="27"/>
      <c r="N138" s="19"/>
      <c r="O138" s="21"/>
      <c r="P138" s="7">
        <v>0.28999999999999998</v>
      </c>
      <c r="Q138" s="7">
        <f>Table2[[#This Row],[Elevation
PILE TOP]]-Table2[[#This Row],[LENGTH(m.)
(Actual)]]</f>
        <v>0.28999999999999998</v>
      </c>
      <c r="R138" s="2"/>
      <c r="S138" s="7">
        <f>Table2[[#This Row],[N]]+Table2[[#This Row],[Pile 
Deviation 
N (m)]]</f>
        <v>1511746.37</v>
      </c>
      <c r="T138" s="7">
        <f>Table2[[#This Row],[E]]+Table2[[#This Row],[Pile 
Deviation 
E (m)]]</f>
        <v>693997.745</v>
      </c>
      <c r="W138" s="7">
        <v>0.28999999999999998</v>
      </c>
      <c r="X138" s="2" t="s">
        <v>36</v>
      </c>
      <c r="AA138" s="9">
        <v>46212</v>
      </c>
    </row>
    <row r="139" spans="1:27" ht="13.95" hidden="1" customHeight="1" x14ac:dyDescent="0.65">
      <c r="A139">
        <v>137</v>
      </c>
      <c r="B139" t="s">
        <v>29</v>
      </c>
      <c r="C139" s="6">
        <v>1511736.9680000001</v>
      </c>
      <c r="D139" s="6">
        <v>693962.05</v>
      </c>
      <c r="E139" s="2" t="s">
        <v>30</v>
      </c>
      <c r="F139" s="1">
        <v>24</v>
      </c>
      <c r="G139" s="2" t="s">
        <v>31</v>
      </c>
      <c r="J139"/>
      <c r="K139" s="19"/>
      <c r="L139" s="21"/>
      <c r="M139" s="27"/>
      <c r="N139" s="19"/>
      <c r="O139" s="21"/>
      <c r="P139" s="7">
        <v>-0.17499999999999999</v>
      </c>
      <c r="Q139" s="7">
        <f>Table2[[#This Row],[Elevation
PILE TOP]]-Table2[[#This Row],[LENGTH(m.)
(Actual)]]</f>
        <v>-0.17499999999999999</v>
      </c>
      <c r="R139" s="2"/>
      <c r="S139" s="7">
        <f>Table2[[#This Row],[N]]+Table2[[#This Row],[Pile 
Deviation 
N (m)]]</f>
        <v>1511736.9680000001</v>
      </c>
      <c r="T139" s="7">
        <f>Table2[[#This Row],[E]]+Table2[[#This Row],[Pile 
Deviation 
E (m)]]</f>
        <v>693962.05</v>
      </c>
      <c r="W139" s="7">
        <v>-0.67500000000000004</v>
      </c>
      <c r="X139" s="2" t="s">
        <v>37</v>
      </c>
      <c r="AA139" s="9">
        <v>46214</v>
      </c>
    </row>
    <row r="140" spans="1:27" hidden="1" x14ac:dyDescent="0.65">
      <c r="A140">
        <v>138</v>
      </c>
      <c r="B140" t="s">
        <v>29</v>
      </c>
      <c r="C140" s="6">
        <v>1511737.1270000001</v>
      </c>
      <c r="D140" s="6">
        <v>693962.83400000003</v>
      </c>
      <c r="E140" s="2" t="s">
        <v>30</v>
      </c>
      <c r="F140" s="1">
        <v>24</v>
      </c>
      <c r="G140" s="2" t="s">
        <v>31</v>
      </c>
      <c r="J140"/>
      <c r="K140" s="19"/>
      <c r="L140" s="21"/>
      <c r="M140" s="27"/>
      <c r="N140" s="19"/>
      <c r="O140" s="21"/>
      <c r="P140" s="7">
        <v>-0.17499999999999999</v>
      </c>
      <c r="Q140" s="7">
        <f>Table2[[#This Row],[Elevation
PILE TOP]]-Table2[[#This Row],[LENGTH(m.)
(Actual)]]</f>
        <v>-0.17499999999999999</v>
      </c>
      <c r="R140" s="2"/>
      <c r="S140" s="7">
        <f>Table2[[#This Row],[N]]+Table2[[#This Row],[Pile 
Deviation 
N (m)]]</f>
        <v>1511737.1270000001</v>
      </c>
      <c r="T140" s="7">
        <f>Table2[[#This Row],[E]]+Table2[[#This Row],[Pile 
Deviation 
E (m)]]</f>
        <v>693962.83400000003</v>
      </c>
      <c r="W140" s="7">
        <v>-0.67500000000000004</v>
      </c>
      <c r="X140" s="2" t="s">
        <v>37</v>
      </c>
      <c r="AA140" s="9">
        <v>46214</v>
      </c>
    </row>
    <row r="141" spans="1:27" ht="13.95" hidden="1" customHeight="1" x14ac:dyDescent="0.65">
      <c r="A141">
        <v>139</v>
      </c>
      <c r="B141" t="s">
        <v>29</v>
      </c>
      <c r="C141" s="6">
        <v>1511742.605</v>
      </c>
      <c r="D141" s="6">
        <v>693989.96</v>
      </c>
      <c r="E141" s="2" t="s">
        <v>30</v>
      </c>
      <c r="F141" s="1">
        <v>24</v>
      </c>
      <c r="G141" s="2" t="s">
        <v>31</v>
      </c>
      <c r="J141"/>
      <c r="K141" s="19"/>
      <c r="L141" s="21"/>
      <c r="M141" s="27"/>
      <c r="N141" s="19"/>
      <c r="O141" s="21"/>
      <c r="P141" s="7">
        <v>-0.17499999999999999</v>
      </c>
      <c r="Q141" s="7">
        <f>Table2[[#This Row],[Elevation
PILE TOP]]-Table2[[#This Row],[LENGTH(m.)
(Actual)]]</f>
        <v>-0.17499999999999999</v>
      </c>
      <c r="R141" s="2"/>
      <c r="S141" s="7">
        <f>Table2[[#This Row],[N]]+Table2[[#This Row],[Pile 
Deviation 
N (m)]]</f>
        <v>1511742.605</v>
      </c>
      <c r="T141" s="7">
        <f>Table2[[#This Row],[E]]+Table2[[#This Row],[Pile 
Deviation 
E (m)]]</f>
        <v>693989.96</v>
      </c>
      <c r="W141" s="7">
        <v>-0.67500000000000004</v>
      </c>
      <c r="X141" s="2" t="s">
        <v>37</v>
      </c>
      <c r="AA141" s="9">
        <v>46217</v>
      </c>
    </row>
    <row r="142" spans="1:27" hidden="1" x14ac:dyDescent="0.65">
      <c r="A142">
        <v>140</v>
      </c>
      <c r="B142" t="s">
        <v>29</v>
      </c>
      <c r="C142" s="6">
        <v>1511742.763</v>
      </c>
      <c r="D142" s="6">
        <v>693990.74399999995</v>
      </c>
      <c r="E142" s="2" t="s">
        <v>30</v>
      </c>
      <c r="F142" s="1">
        <v>24</v>
      </c>
      <c r="G142" s="2" t="s">
        <v>31</v>
      </c>
      <c r="J142"/>
      <c r="K142" s="19"/>
      <c r="L142" s="21"/>
      <c r="M142" s="27"/>
      <c r="N142" s="19"/>
      <c r="O142" s="21"/>
      <c r="P142" s="7">
        <v>-0.17499999999999999</v>
      </c>
      <c r="Q142" s="7">
        <f>Table2[[#This Row],[Elevation
PILE TOP]]-Table2[[#This Row],[LENGTH(m.)
(Actual)]]</f>
        <v>-0.17499999999999999</v>
      </c>
      <c r="R142" s="2"/>
      <c r="S142" s="7">
        <f>Table2[[#This Row],[N]]+Table2[[#This Row],[Pile 
Deviation 
N (m)]]</f>
        <v>1511742.763</v>
      </c>
      <c r="T142" s="7">
        <f>Table2[[#This Row],[E]]+Table2[[#This Row],[Pile 
Deviation 
E (m)]]</f>
        <v>693990.74399999995</v>
      </c>
      <c r="W142" s="7">
        <v>-0.67500000000000004</v>
      </c>
      <c r="X142" s="2" t="s">
        <v>37</v>
      </c>
      <c r="AA142" s="9">
        <v>46217</v>
      </c>
    </row>
    <row r="143" spans="1:27" ht="13.95" hidden="1" customHeight="1" x14ac:dyDescent="0.65">
      <c r="A143">
        <v>141</v>
      </c>
      <c r="B143" t="s">
        <v>29</v>
      </c>
      <c r="C143" s="6">
        <v>1511743.6540000001</v>
      </c>
      <c r="D143" s="6">
        <v>693995.15700000001</v>
      </c>
      <c r="E143" s="2" t="s">
        <v>30</v>
      </c>
      <c r="F143" s="1">
        <v>24</v>
      </c>
      <c r="G143" s="2" t="s">
        <v>31</v>
      </c>
      <c r="J143"/>
      <c r="K143" s="19"/>
      <c r="L143" s="21"/>
      <c r="M143" s="27"/>
      <c r="N143" s="19"/>
      <c r="O143" s="21"/>
      <c r="P143" s="7">
        <v>-0.17499999999999999</v>
      </c>
      <c r="Q143" s="7">
        <f>Table2[[#This Row],[Elevation
PILE TOP]]-Table2[[#This Row],[LENGTH(m.)
(Actual)]]</f>
        <v>-0.17499999999999999</v>
      </c>
      <c r="R143" s="2"/>
      <c r="S143" s="7">
        <f>Table2[[#This Row],[N]]+Table2[[#This Row],[Pile 
Deviation 
N (m)]]</f>
        <v>1511743.6540000001</v>
      </c>
      <c r="T143" s="7">
        <f>Table2[[#This Row],[E]]+Table2[[#This Row],[Pile 
Deviation 
E (m)]]</f>
        <v>693995.15700000001</v>
      </c>
      <c r="W143" s="7">
        <v>-0.67500000000000004</v>
      </c>
      <c r="X143" s="2" t="s">
        <v>37</v>
      </c>
      <c r="AA143" s="9">
        <v>46217</v>
      </c>
    </row>
    <row r="144" spans="1:27" hidden="1" x14ac:dyDescent="0.65">
      <c r="A144">
        <v>142</v>
      </c>
      <c r="B144" t="s">
        <v>29</v>
      </c>
      <c r="C144" s="6">
        <v>1511743.8130000001</v>
      </c>
      <c r="D144" s="6">
        <v>693995.94099999999</v>
      </c>
      <c r="E144" s="2" t="s">
        <v>30</v>
      </c>
      <c r="F144" s="1">
        <v>24</v>
      </c>
      <c r="G144" s="2" t="s">
        <v>31</v>
      </c>
      <c r="J144"/>
      <c r="K144" s="19"/>
      <c r="L144" s="21"/>
      <c r="M144" s="27"/>
      <c r="N144" s="19"/>
      <c r="O144" s="21"/>
      <c r="P144" s="7">
        <v>-0.17499999999999999</v>
      </c>
      <c r="Q144" s="7">
        <f>Table2[[#This Row],[Elevation
PILE TOP]]-Table2[[#This Row],[LENGTH(m.)
(Actual)]]</f>
        <v>-0.17499999999999999</v>
      </c>
      <c r="R144" s="2"/>
      <c r="S144" s="7">
        <f>Table2[[#This Row],[N]]+Table2[[#This Row],[Pile 
Deviation 
N (m)]]</f>
        <v>1511743.8130000001</v>
      </c>
      <c r="T144" s="7">
        <f>Table2[[#This Row],[E]]+Table2[[#This Row],[Pile 
Deviation 
E (m)]]</f>
        <v>693995.94099999999</v>
      </c>
      <c r="W144" s="7">
        <v>-0.67500000000000004</v>
      </c>
      <c r="X144" s="2" t="s">
        <v>37</v>
      </c>
      <c r="AA144" s="9">
        <v>46217</v>
      </c>
    </row>
    <row r="145" spans="1:27" ht="13.95" hidden="1" customHeight="1" x14ac:dyDescent="0.65">
      <c r="A145">
        <v>143</v>
      </c>
      <c r="B145" t="s">
        <v>29</v>
      </c>
      <c r="C145" s="6">
        <v>1511745.165</v>
      </c>
      <c r="D145" s="6">
        <v>694000.61600000004</v>
      </c>
      <c r="E145" s="2" t="s">
        <v>30</v>
      </c>
      <c r="F145" s="1">
        <v>24</v>
      </c>
      <c r="G145" s="2" t="s">
        <v>31</v>
      </c>
      <c r="J145"/>
      <c r="K145" s="19"/>
      <c r="L145" s="21"/>
      <c r="M145" s="27"/>
      <c r="N145" s="19"/>
      <c r="O145" s="21"/>
      <c r="P145" s="7">
        <v>-0.17499999999999999</v>
      </c>
      <c r="Q145" s="7">
        <f>Table2[[#This Row],[Elevation
PILE TOP]]-Table2[[#This Row],[LENGTH(m.)
(Actual)]]</f>
        <v>-0.17499999999999999</v>
      </c>
      <c r="R145" s="2"/>
      <c r="S145" s="7">
        <f>Table2[[#This Row],[N]]+Table2[[#This Row],[Pile 
Deviation 
N (m)]]</f>
        <v>1511745.165</v>
      </c>
      <c r="T145" s="7">
        <f>Table2[[#This Row],[E]]+Table2[[#This Row],[Pile 
Deviation 
E (m)]]</f>
        <v>694000.61600000004</v>
      </c>
      <c r="W145" s="7">
        <v>-0.67500000000000004</v>
      </c>
      <c r="X145" s="2" t="s">
        <v>33</v>
      </c>
      <c r="AA145" s="9">
        <v>46218</v>
      </c>
    </row>
    <row r="146" spans="1:27" hidden="1" x14ac:dyDescent="0.65">
      <c r="A146">
        <v>144</v>
      </c>
      <c r="B146" t="s">
        <v>29</v>
      </c>
      <c r="C146" s="6">
        <v>1511745.3430000001</v>
      </c>
      <c r="D146" s="6">
        <v>694001.49800000002</v>
      </c>
      <c r="E146" s="2" t="s">
        <v>30</v>
      </c>
      <c r="F146" s="1">
        <v>24</v>
      </c>
      <c r="G146" s="2" t="s">
        <v>31</v>
      </c>
      <c r="J146"/>
      <c r="K146" s="19"/>
      <c r="L146" s="21"/>
      <c r="M146" s="27"/>
      <c r="N146" s="19"/>
      <c r="O146" s="21"/>
      <c r="P146" s="7">
        <v>-0.17499999999999999</v>
      </c>
      <c r="Q146" s="7">
        <f>Table2[[#This Row],[Elevation
PILE TOP]]-Table2[[#This Row],[LENGTH(m.)
(Actual)]]</f>
        <v>-0.17499999999999999</v>
      </c>
      <c r="R146" s="2"/>
      <c r="S146" s="7">
        <f>Table2[[#This Row],[N]]+Table2[[#This Row],[Pile 
Deviation 
N (m)]]</f>
        <v>1511745.3430000001</v>
      </c>
      <c r="T146" s="7">
        <f>Table2[[#This Row],[E]]+Table2[[#This Row],[Pile 
Deviation 
E (m)]]</f>
        <v>694001.49800000002</v>
      </c>
      <c r="W146" s="7">
        <v>-0.67500000000000004</v>
      </c>
      <c r="X146" s="2" t="s">
        <v>33</v>
      </c>
      <c r="AA146" s="9">
        <v>46218</v>
      </c>
    </row>
    <row r="147" spans="1:27" ht="13.95" hidden="1" customHeight="1" x14ac:dyDescent="0.65">
      <c r="A147">
        <v>145</v>
      </c>
      <c r="B147" t="s">
        <v>29</v>
      </c>
      <c r="C147" s="6">
        <v>1511744.3810000001</v>
      </c>
      <c r="D147" s="6">
        <v>694000.77399999998</v>
      </c>
      <c r="E147" s="2" t="s">
        <v>30</v>
      </c>
      <c r="F147" s="1">
        <v>24</v>
      </c>
      <c r="G147" s="2" t="s">
        <v>31</v>
      </c>
      <c r="J147"/>
      <c r="K147" s="19"/>
      <c r="L147" s="21"/>
      <c r="M147" s="27"/>
      <c r="N147" s="19"/>
      <c r="O147" s="21"/>
      <c r="P147" s="7">
        <v>-0.17499999999999999</v>
      </c>
      <c r="Q147" s="7">
        <f>Table2[[#This Row],[Elevation
PILE TOP]]-Table2[[#This Row],[LENGTH(m.)
(Actual)]]</f>
        <v>-0.17499999999999999</v>
      </c>
      <c r="R147" s="2"/>
      <c r="S147" s="7">
        <f>Table2[[#This Row],[N]]+Table2[[#This Row],[Pile 
Deviation 
N (m)]]</f>
        <v>1511744.3810000001</v>
      </c>
      <c r="T147" s="7">
        <f>Table2[[#This Row],[E]]+Table2[[#This Row],[Pile 
Deviation 
E (m)]]</f>
        <v>694000.77399999998</v>
      </c>
      <c r="W147" s="7">
        <v>-0.67500000000000004</v>
      </c>
      <c r="X147" s="2" t="s">
        <v>33</v>
      </c>
      <c r="AA147" s="9">
        <v>46218</v>
      </c>
    </row>
    <row r="148" spans="1:27" hidden="1" x14ac:dyDescent="0.65">
      <c r="A148">
        <v>146</v>
      </c>
      <c r="B148" t="s">
        <v>29</v>
      </c>
      <c r="C148" s="6">
        <v>1511744.5589999999</v>
      </c>
      <c r="D148" s="6">
        <v>694001.65599999996</v>
      </c>
      <c r="E148" s="2" t="s">
        <v>30</v>
      </c>
      <c r="F148" s="1">
        <v>24</v>
      </c>
      <c r="G148" s="2" t="s">
        <v>31</v>
      </c>
      <c r="J148"/>
      <c r="K148" s="19"/>
      <c r="L148" s="21"/>
      <c r="M148" s="27"/>
      <c r="N148" s="19"/>
      <c r="O148" s="21"/>
      <c r="P148" s="7">
        <v>-0.17499999999999999</v>
      </c>
      <c r="Q148" s="7">
        <f>Table2[[#This Row],[Elevation
PILE TOP]]-Table2[[#This Row],[LENGTH(m.)
(Actual)]]</f>
        <v>-0.17499999999999999</v>
      </c>
      <c r="R148" s="2"/>
      <c r="S148" s="7">
        <f>Table2[[#This Row],[N]]+Table2[[#This Row],[Pile 
Deviation 
N (m)]]</f>
        <v>1511744.5589999999</v>
      </c>
      <c r="T148" s="7">
        <f>Table2[[#This Row],[E]]+Table2[[#This Row],[Pile 
Deviation 
E (m)]]</f>
        <v>694001.65599999996</v>
      </c>
      <c r="W148" s="7">
        <v>-0.67500000000000004</v>
      </c>
      <c r="X148" s="2" t="s">
        <v>33</v>
      </c>
      <c r="AA148" s="9">
        <v>46218</v>
      </c>
    </row>
    <row r="149" spans="1:27" ht="13.95" hidden="1" customHeight="1" x14ac:dyDescent="0.65">
      <c r="A149">
        <v>147</v>
      </c>
      <c r="B149" t="s">
        <v>29</v>
      </c>
      <c r="C149" s="6">
        <v>1511736.878</v>
      </c>
      <c r="D149" s="6">
        <v>693965.89399999997</v>
      </c>
      <c r="E149" s="2" t="s">
        <v>35</v>
      </c>
      <c r="F149" s="1">
        <v>24</v>
      </c>
      <c r="G149" s="2" t="s">
        <v>31</v>
      </c>
      <c r="J149"/>
      <c r="K149" s="19"/>
      <c r="L149" s="21"/>
      <c r="M149" s="27"/>
      <c r="N149" s="19"/>
      <c r="O149" s="21"/>
      <c r="P149" s="7">
        <v>0.28999999999999998</v>
      </c>
      <c r="Q149" s="7">
        <f>Table2[[#This Row],[Elevation
PILE TOP]]-Table2[[#This Row],[LENGTH(m.)
(Actual)]]</f>
        <v>0.28999999999999998</v>
      </c>
      <c r="R149" s="2"/>
      <c r="S149" s="7">
        <f>Table2[[#This Row],[N]]+Table2[[#This Row],[Pile 
Deviation 
N (m)]]</f>
        <v>1511736.878</v>
      </c>
      <c r="T149" s="7">
        <f>Table2[[#This Row],[E]]+Table2[[#This Row],[Pile 
Deviation 
E (m)]]</f>
        <v>693965.89399999997</v>
      </c>
      <c r="W149" s="7">
        <v>0.28999999999999998</v>
      </c>
      <c r="X149" s="2" t="s">
        <v>36</v>
      </c>
      <c r="AA149" s="9">
        <v>46214</v>
      </c>
    </row>
    <row r="150" spans="1:27" hidden="1" x14ac:dyDescent="0.65">
      <c r="A150">
        <v>148</v>
      </c>
      <c r="B150" t="s">
        <v>29</v>
      </c>
      <c r="C150" s="6">
        <v>1511737.4369999999</v>
      </c>
      <c r="D150" s="6">
        <v>693968.66299999994</v>
      </c>
      <c r="E150" s="2" t="s">
        <v>35</v>
      </c>
      <c r="F150" s="1">
        <v>24</v>
      </c>
      <c r="G150" s="2" t="s">
        <v>31</v>
      </c>
      <c r="J150"/>
      <c r="K150" s="19"/>
      <c r="L150" s="21"/>
      <c r="M150" s="27"/>
      <c r="N150" s="19"/>
      <c r="O150" s="21"/>
      <c r="P150" s="7">
        <v>0.28999999999999998</v>
      </c>
      <c r="Q150" s="7">
        <f>Table2[[#This Row],[Elevation
PILE TOP]]-Table2[[#This Row],[LENGTH(m.)
(Actual)]]</f>
        <v>0.28999999999999998</v>
      </c>
      <c r="R150" s="2"/>
      <c r="S150" s="7">
        <f>Table2[[#This Row],[N]]+Table2[[#This Row],[Pile 
Deviation 
N (m)]]</f>
        <v>1511737.4369999999</v>
      </c>
      <c r="T150" s="7">
        <f>Table2[[#This Row],[E]]+Table2[[#This Row],[Pile 
Deviation 
E (m)]]</f>
        <v>693968.66299999994</v>
      </c>
      <c r="W150" s="7">
        <v>0.28999999999999998</v>
      </c>
      <c r="X150" s="2" t="s">
        <v>36</v>
      </c>
      <c r="AA150" s="9">
        <v>46214</v>
      </c>
    </row>
    <row r="151" spans="1:27" ht="13.95" hidden="1" customHeight="1" x14ac:dyDescent="0.65">
      <c r="A151">
        <v>149</v>
      </c>
      <c r="B151" t="s">
        <v>29</v>
      </c>
      <c r="C151" s="6">
        <v>1511737.996</v>
      </c>
      <c r="D151" s="6">
        <v>693971.43200000003</v>
      </c>
      <c r="E151" s="2" t="s">
        <v>35</v>
      </c>
      <c r="F151" s="1">
        <v>24</v>
      </c>
      <c r="G151" s="2" t="s">
        <v>31</v>
      </c>
      <c r="J151"/>
      <c r="K151" s="19"/>
      <c r="L151" s="21"/>
      <c r="M151" s="27"/>
      <c r="N151" s="19"/>
      <c r="O151" s="21"/>
      <c r="P151" s="7">
        <v>0.28999999999999998</v>
      </c>
      <c r="Q151" s="7">
        <f>Table2[[#This Row],[Elevation
PILE TOP]]-Table2[[#This Row],[LENGTH(m.)
(Actual)]]</f>
        <v>0.28999999999999998</v>
      </c>
      <c r="R151" s="2"/>
      <c r="S151" s="7">
        <f>Table2[[#This Row],[N]]+Table2[[#This Row],[Pile 
Deviation 
N (m)]]</f>
        <v>1511737.996</v>
      </c>
      <c r="T151" s="7">
        <f>Table2[[#This Row],[E]]+Table2[[#This Row],[Pile 
Deviation 
E (m)]]</f>
        <v>693971.43200000003</v>
      </c>
      <c r="W151" s="7">
        <v>0.28999999999999998</v>
      </c>
      <c r="X151" s="2" t="s">
        <v>36</v>
      </c>
      <c r="AA151" s="9">
        <v>46214</v>
      </c>
    </row>
    <row r="152" spans="1:27" hidden="1" x14ac:dyDescent="0.65">
      <c r="A152">
        <v>150</v>
      </c>
      <c r="B152" t="s">
        <v>29</v>
      </c>
      <c r="C152" s="6">
        <v>1511738.5549999999</v>
      </c>
      <c r="D152" s="6">
        <v>693974.201</v>
      </c>
      <c r="E152" s="2" t="s">
        <v>35</v>
      </c>
      <c r="F152" s="1">
        <v>24</v>
      </c>
      <c r="G152" s="2" t="s">
        <v>31</v>
      </c>
      <c r="J152"/>
      <c r="K152" s="19"/>
      <c r="L152" s="21"/>
      <c r="M152" s="27"/>
      <c r="N152" s="19"/>
      <c r="O152" s="21"/>
      <c r="P152" s="7">
        <v>0.28999999999999998</v>
      </c>
      <c r="Q152" s="7">
        <f>Table2[[#This Row],[Elevation
PILE TOP]]-Table2[[#This Row],[LENGTH(m.)
(Actual)]]</f>
        <v>0.28999999999999998</v>
      </c>
      <c r="R152" s="2"/>
      <c r="S152" s="7">
        <f>Table2[[#This Row],[N]]+Table2[[#This Row],[Pile 
Deviation 
N (m)]]</f>
        <v>1511738.5549999999</v>
      </c>
      <c r="T152" s="7">
        <f>Table2[[#This Row],[E]]+Table2[[#This Row],[Pile 
Deviation 
E (m)]]</f>
        <v>693974.201</v>
      </c>
      <c r="W152" s="7">
        <v>0.28999999999999998</v>
      </c>
      <c r="X152" s="2" t="s">
        <v>36</v>
      </c>
      <c r="AA152" s="9">
        <v>46214</v>
      </c>
    </row>
    <row r="153" spans="1:27" ht="13.95" hidden="1" customHeight="1" x14ac:dyDescent="0.65">
      <c r="A153">
        <v>151</v>
      </c>
      <c r="B153" t="s">
        <v>29</v>
      </c>
      <c r="C153" s="6">
        <v>1511739.1140000001</v>
      </c>
      <c r="D153" s="6">
        <v>693976.97</v>
      </c>
      <c r="E153" s="2" t="s">
        <v>35</v>
      </c>
      <c r="F153" s="1">
        <v>24</v>
      </c>
      <c r="G153" s="2" t="s">
        <v>31</v>
      </c>
      <c r="J153"/>
      <c r="K153" s="19"/>
      <c r="L153" s="21"/>
      <c r="M153" s="27"/>
      <c r="N153" s="19"/>
      <c r="O153" s="21"/>
      <c r="P153" s="7">
        <v>0.28999999999999998</v>
      </c>
      <c r="Q153" s="7">
        <f>Table2[[#This Row],[Elevation
PILE TOP]]-Table2[[#This Row],[LENGTH(m.)
(Actual)]]</f>
        <v>0.28999999999999998</v>
      </c>
      <c r="R153" s="2"/>
      <c r="S153" s="7">
        <f>Table2[[#This Row],[N]]+Table2[[#This Row],[Pile 
Deviation 
N (m)]]</f>
        <v>1511739.1140000001</v>
      </c>
      <c r="T153" s="7">
        <f>Table2[[#This Row],[E]]+Table2[[#This Row],[Pile 
Deviation 
E (m)]]</f>
        <v>693976.97</v>
      </c>
      <c r="W153" s="7">
        <v>0.28999999999999998</v>
      </c>
      <c r="X153" s="2" t="s">
        <v>36</v>
      </c>
      <c r="AA153" s="9">
        <v>46216</v>
      </c>
    </row>
    <row r="154" spans="1:27" hidden="1" x14ac:dyDescent="0.65">
      <c r="A154">
        <v>152</v>
      </c>
      <c r="B154" t="s">
        <v>29</v>
      </c>
      <c r="C154" s="6">
        <v>1511739.6740000001</v>
      </c>
      <c r="D154" s="6">
        <v>693979.73899999994</v>
      </c>
      <c r="E154" s="2" t="s">
        <v>35</v>
      </c>
      <c r="F154" s="1">
        <v>24</v>
      </c>
      <c r="G154" s="2" t="s">
        <v>31</v>
      </c>
      <c r="J154"/>
      <c r="K154" s="19"/>
      <c r="L154" s="21"/>
      <c r="M154" s="27"/>
      <c r="N154" s="19"/>
      <c r="O154" s="21"/>
      <c r="P154" s="7">
        <v>0.28999999999999998</v>
      </c>
      <c r="Q154" s="7">
        <f>Table2[[#This Row],[Elevation
PILE TOP]]-Table2[[#This Row],[LENGTH(m.)
(Actual)]]</f>
        <v>0.28999999999999998</v>
      </c>
      <c r="R154" s="2"/>
      <c r="S154" s="7">
        <f>Table2[[#This Row],[N]]+Table2[[#This Row],[Pile 
Deviation 
N (m)]]</f>
        <v>1511739.6740000001</v>
      </c>
      <c r="T154" s="7">
        <f>Table2[[#This Row],[E]]+Table2[[#This Row],[Pile 
Deviation 
E (m)]]</f>
        <v>693979.73899999994</v>
      </c>
      <c r="W154" s="7">
        <v>0.28999999999999998</v>
      </c>
      <c r="X154" s="2" t="s">
        <v>36</v>
      </c>
      <c r="AA154" s="9">
        <v>46216</v>
      </c>
    </row>
    <row r="155" spans="1:27" ht="13.95" hidden="1" customHeight="1" x14ac:dyDescent="0.65">
      <c r="A155">
        <v>153</v>
      </c>
      <c r="B155" t="s">
        <v>29</v>
      </c>
      <c r="C155" s="6">
        <v>1511741.851</v>
      </c>
      <c r="D155" s="6">
        <v>693990.522</v>
      </c>
      <c r="E155" s="2" t="s">
        <v>35</v>
      </c>
      <c r="F155" s="1">
        <v>24</v>
      </c>
      <c r="G155" s="2" t="s">
        <v>31</v>
      </c>
      <c r="J155"/>
      <c r="K155" s="19"/>
      <c r="L155" s="21"/>
      <c r="M155" s="27"/>
      <c r="N155" s="19"/>
      <c r="O155" s="21"/>
      <c r="P155" s="7">
        <v>0.28999999999999998</v>
      </c>
      <c r="Q155" s="7">
        <f>Table2[[#This Row],[Elevation
PILE TOP]]-Table2[[#This Row],[LENGTH(m.)
(Actual)]]</f>
        <v>0.28999999999999998</v>
      </c>
      <c r="R155" s="2"/>
      <c r="S155" s="7">
        <f>Table2[[#This Row],[N]]+Table2[[#This Row],[Pile 
Deviation 
N (m)]]</f>
        <v>1511741.851</v>
      </c>
      <c r="T155" s="7">
        <f>Table2[[#This Row],[E]]+Table2[[#This Row],[Pile 
Deviation 
E (m)]]</f>
        <v>693990.522</v>
      </c>
      <c r="W155" s="7">
        <v>0.28999999999999998</v>
      </c>
      <c r="X155" s="2" t="s">
        <v>36</v>
      </c>
      <c r="AA155" s="9">
        <v>46217</v>
      </c>
    </row>
    <row r="156" spans="1:27" hidden="1" x14ac:dyDescent="0.65">
      <c r="A156">
        <v>154</v>
      </c>
      <c r="B156" t="s">
        <v>29</v>
      </c>
      <c r="C156" s="6">
        <v>1511742.3759999999</v>
      </c>
      <c r="D156" s="6">
        <v>693993.11899999995</v>
      </c>
      <c r="E156" s="2" t="s">
        <v>35</v>
      </c>
      <c r="F156" s="1">
        <v>24</v>
      </c>
      <c r="G156" s="2" t="s">
        <v>31</v>
      </c>
      <c r="J156"/>
      <c r="K156" s="19"/>
      <c r="L156" s="21"/>
      <c r="M156" s="27"/>
      <c r="N156" s="19"/>
      <c r="O156" s="21"/>
      <c r="P156" s="7">
        <v>0.28999999999999998</v>
      </c>
      <c r="Q156" s="7">
        <f>Table2[[#This Row],[Elevation
PILE TOP]]-Table2[[#This Row],[LENGTH(m.)
(Actual)]]</f>
        <v>0.28999999999999998</v>
      </c>
      <c r="R156" s="2"/>
      <c r="S156" s="7">
        <f>Table2[[#This Row],[N]]+Table2[[#This Row],[Pile 
Deviation 
N (m)]]</f>
        <v>1511742.3759999999</v>
      </c>
      <c r="T156" s="7">
        <f>Table2[[#This Row],[E]]+Table2[[#This Row],[Pile 
Deviation 
E (m)]]</f>
        <v>693993.11899999995</v>
      </c>
      <c r="W156" s="7">
        <v>0.28999999999999998</v>
      </c>
      <c r="X156" s="2" t="s">
        <v>36</v>
      </c>
      <c r="AA156" s="9">
        <v>46217</v>
      </c>
    </row>
    <row r="157" spans="1:27" ht="13.95" hidden="1" customHeight="1" x14ac:dyDescent="0.65">
      <c r="A157">
        <v>155</v>
      </c>
      <c r="B157" t="s">
        <v>29</v>
      </c>
      <c r="C157" s="6">
        <v>1511742.9</v>
      </c>
      <c r="D157" s="6">
        <v>693995.71699999995</v>
      </c>
      <c r="E157" s="2" t="s">
        <v>35</v>
      </c>
      <c r="F157" s="1">
        <v>24</v>
      </c>
      <c r="G157" s="2" t="s">
        <v>31</v>
      </c>
      <c r="J157"/>
      <c r="K157" s="19"/>
      <c r="L157" s="21"/>
      <c r="M157" s="27"/>
      <c r="N157" s="19"/>
      <c r="O157" s="21"/>
      <c r="P157" s="7">
        <v>0.28999999999999998</v>
      </c>
      <c r="Q157" s="7">
        <f>Table2[[#This Row],[Elevation
PILE TOP]]-Table2[[#This Row],[LENGTH(m.)
(Actual)]]</f>
        <v>0.28999999999999998</v>
      </c>
      <c r="R157" s="2"/>
      <c r="S157" s="7">
        <f>Table2[[#This Row],[N]]+Table2[[#This Row],[Pile 
Deviation 
N (m)]]</f>
        <v>1511742.9</v>
      </c>
      <c r="T157" s="7">
        <f>Table2[[#This Row],[E]]+Table2[[#This Row],[Pile 
Deviation 
E (m)]]</f>
        <v>693995.71699999995</v>
      </c>
      <c r="W157" s="7">
        <v>0.28999999999999998</v>
      </c>
      <c r="X157" s="2" t="s">
        <v>36</v>
      </c>
      <c r="AA157" s="9">
        <v>46217</v>
      </c>
    </row>
    <row r="158" spans="1:27" hidden="1" x14ac:dyDescent="0.65">
      <c r="A158">
        <v>156</v>
      </c>
      <c r="B158" t="s">
        <v>29</v>
      </c>
      <c r="C158" s="6">
        <v>1511743.43</v>
      </c>
      <c r="D158" s="6">
        <v>693998.33900000004</v>
      </c>
      <c r="E158" s="2" t="s">
        <v>35</v>
      </c>
      <c r="F158" s="1">
        <v>24</v>
      </c>
      <c r="G158" s="2" t="s">
        <v>31</v>
      </c>
      <c r="J158"/>
      <c r="K158" s="19"/>
      <c r="L158" s="21"/>
      <c r="M158" s="27"/>
      <c r="N158" s="19"/>
      <c r="O158" s="21"/>
      <c r="P158" s="7">
        <v>0.28999999999999998</v>
      </c>
      <c r="Q158" s="7">
        <f>Table2[[#This Row],[Elevation
PILE TOP]]-Table2[[#This Row],[LENGTH(m.)
(Actual)]]</f>
        <v>0.28999999999999998</v>
      </c>
      <c r="R158" s="2"/>
      <c r="S158" s="7">
        <f>Table2[[#This Row],[N]]+Table2[[#This Row],[Pile 
Deviation 
N (m)]]</f>
        <v>1511743.43</v>
      </c>
      <c r="T158" s="7">
        <f>Table2[[#This Row],[E]]+Table2[[#This Row],[Pile 
Deviation 
E (m)]]</f>
        <v>693998.33900000004</v>
      </c>
      <c r="W158" s="7">
        <v>0.28999999999999998</v>
      </c>
      <c r="X158" s="2" t="s">
        <v>36</v>
      </c>
      <c r="AA158" s="9">
        <v>46217</v>
      </c>
    </row>
    <row r="159" spans="1:27" ht="13.95" hidden="1" customHeight="1" x14ac:dyDescent="0.65">
      <c r="A159">
        <v>157</v>
      </c>
      <c r="B159" t="s">
        <v>29</v>
      </c>
      <c r="C159" s="6">
        <v>1511733.9369999999</v>
      </c>
      <c r="D159" s="6">
        <v>693966.48800000001</v>
      </c>
      <c r="E159" s="2" t="s">
        <v>35</v>
      </c>
      <c r="F159" s="1">
        <v>24</v>
      </c>
      <c r="G159" s="2" t="s">
        <v>31</v>
      </c>
      <c r="J159"/>
      <c r="K159" s="19"/>
      <c r="L159" s="21"/>
      <c r="M159" s="27"/>
      <c r="N159" s="19"/>
      <c r="O159" s="21"/>
      <c r="P159" s="7">
        <v>0.28999999999999998</v>
      </c>
      <c r="Q159" s="7">
        <f>Table2[[#This Row],[Elevation
PILE TOP]]-Table2[[#This Row],[LENGTH(m.)
(Actual)]]</f>
        <v>0.28999999999999998</v>
      </c>
      <c r="R159" s="2"/>
      <c r="S159" s="7">
        <f>Table2[[#This Row],[N]]+Table2[[#This Row],[Pile 
Deviation 
N (m)]]</f>
        <v>1511733.9369999999</v>
      </c>
      <c r="T159" s="7">
        <f>Table2[[#This Row],[E]]+Table2[[#This Row],[Pile 
Deviation 
E (m)]]</f>
        <v>693966.48800000001</v>
      </c>
      <c r="W159" s="7">
        <v>0.28999999999999998</v>
      </c>
      <c r="X159" s="2" t="s">
        <v>36</v>
      </c>
      <c r="AA159" s="9">
        <v>46220</v>
      </c>
    </row>
    <row r="160" spans="1:27" hidden="1" x14ac:dyDescent="0.65">
      <c r="A160">
        <v>158</v>
      </c>
      <c r="B160" t="s">
        <v>29</v>
      </c>
      <c r="C160" s="6">
        <v>1511734.496</v>
      </c>
      <c r="D160" s="6">
        <v>693969.25699999998</v>
      </c>
      <c r="E160" s="2" t="s">
        <v>35</v>
      </c>
      <c r="F160" s="1">
        <v>24</v>
      </c>
      <c r="G160" s="2" t="s">
        <v>31</v>
      </c>
      <c r="J160"/>
      <c r="K160" s="19"/>
      <c r="L160" s="21"/>
      <c r="M160" s="27"/>
      <c r="N160" s="19"/>
      <c r="O160" s="21"/>
      <c r="P160" s="7">
        <v>0.28999999999999998</v>
      </c>
      <c r="Q160" s="7">
        <f>Table2[[#This Row],[Elevation
PILE TOP]]-Table2[[#This Row],[LENGTH(m.)
(Actual)]]</f>
        <v>0.28999999999999998</v>
      </c>
      <c r="R160" s="2"/>
      <c r="S160" s="7">
        <f>Table2[[#This Row],[N]]+Table2[[#This Row],[Pile 
Deviation 
N (m)]]</f>
        <v>1511734.496</v>
      </c>
      <c r="T160" s="7">
        <f>Table2[[#This Row],[E]]+Table2[[#This Row],[Pile 
Deviation 
E (m)]]</f>
        <v>693969.25699999998</v>
      </c>
      <c r="W160" s="7">
        <v>0.28999999999999998</v>
      </c>
      <c r="X160" s="2" t="s">
        <v>36</v>
      </c>
      <c r="AA160" s="9">
        <v>46220</v>
      </c>
    </row>
    <row r="161" spans="1:27" ht="13.95" hidden="1" customHeight="1" x14ac:dyDescent="0.65">
      <c r="A161">
        <v>159</v>
      </c>
      <c r="B161" t="s">
        <v>29</v>
      </c>
      <c r="C161" s="6">
        <v>1511735.0549999999</v>
      </c>
      <c r="D161" s="6">
        <v>693972.02599999995</v>
      </c>
      <c r="E161" s="2" t="s">
        <v>35</v>
      </c>
      <c r="F161" s="1">
        <v>24</v>
      </c>
      <c r="G161" s="2" t="s">
        <v>31</v>
      </c>
      <c r="J161"/>
      <c r="K161" s="19"/>
      <c r="L161" s="21"/>
      <c r="M161" s="27"/>
      <c r="N161" s="19"/>
      <c r="O161" s="21"/>
      <c r="P161" s="7">
        <v>0.28999999999999998</v>
      </c>
      <c r="Q161" s="7">
        <f>Table2[[#This Row],[Elevation
PILE TOP]]-Table2[[#This Row],[LENGTH(m.)
(Actual)]]</f>
        <v>0.28999999999999998</v>
      </c>
      <c r="R161" s="2"/>
      <c r="S161" s="7">
        <f>Table2[[#This Row],[N]]+Table2[[#This Row],[Pile 
Deviation 
N (m)]]</f>
        <v>1511735.0549999999</v>
      </c>
      <c r="T161" s="7">
        <f>Table2[[#This Row],[E]]+Table2[[#This Row],[Pile 
Deviation 
E (m)]]</f>
        <v>693972.02599999995</v>
      </c>
      <c r="W161" s="7">
        <v>0.28999999999999998</v>
      </c>
      <c r="X161" s="2" t="s">
        <v>36</v>
      </c>
      <c r="AA161" s="9">
        <v>46220</v>
      </c>
    </row>
    <row r="162" spans="1:27" hidden="1" x14ac:dyDescent="0.65">
      <c r="A162">
        <v>160</v>
      </c>
      <c r="B162" t="s">
        <v>29</v>
      </c>
      <c r="C162" s="6">
        <v>1511735.615</v>
      </c>
      <c r="D162" s="6">
        <v>693974.79500000004</v>
      </c>
      <c r="E162" s="2" t="s">
        <v>35</v>
      </c>
      <c r="F162" s="1">
        <v>24</v>
      </c>
      <c r="G162" s="2" t="s">
        <v>31</v>
      </c>
      <c r="J162"/>
      <c r="K162" s="19"/>
      <c r="L162" s="21"/>
      <c r="M162" s="27"/>
      <c r="N162" s="19"/>
      <c r="O162" s="21"/>
      <c r="P162" s="7">
        <v>0.28999999999999998</v>
      </c>
      <c r="Q162" s="7">
        <f>Table2[[#This Row],[Elevation
PILE TOP]]-Table2[[#This Row],[LENGTH(m.)
(Actual)]]</f>
        <v>0.28999999999999998</v>
      </c>
      <c r="R162" s="2"/>
      <c r="S162" s="7">
        <f>Table2[[#This Row],[N]]+Table2[[#This Row],[Pile 
Deviation 
N (m)]]</f>
        <v>1511735.615</v>
      </c>
      <c r="T162" s="7">
        <f>Table2[[#This Row],[E]]+Table2[[#This Row],[Pile 
Deviation 
E (m)]]</f>
        <v>693974.79500000004</v>
      </c>
      <c r="W162" s="7">
        <v>0.28999999999999998</v>
      </c>
      <c r="X162" s="2" t="s">
        <v>36</v>
      </c>
      <c r="AA162" s="9">
        <v>46220</v>
      </c>
    </row>
    <row r="163" spans="1:27" ht="13.95" hidden="1" customHeight="1" x14ac:dyDescent="0.65">
      <c r="A163">
        <v>161</v>
      </c>
      <c r="B163" t="s">
        <v>29</v>
      </c>
      <c r="C163" s="6">
        <v>1511736.1740000001</v>
      </c>
      <c r="D163" s="6">
        <v>693977.56400000001</v>
      </c>
      <c r="E163" s="2" t="s">
        <v>35</v>
      </c>
      <c r="F163" s="1">
        <v>24</v>
      </c>
      <c r="G163" s="2" t="s">
        <v>31</v>
      </c>
      <c r="J163"/>
      <c r="K163" s="19"/>
      <c r="L163" s="21"/>
      <c r="M163" s="27"/>
      <c r="N163" s="19"/>
      <c r="O163" s="21"/>
      <c r="P163" s="7">
        <v>0.28999999999999998</v>
      </c>
      <c r="Q163" s="7">
        <f>Table2[[#This Row],[Elevation
PILE TOP]]-Table2[[#This Row],[LENGTH(m.)
(Actual)]]</f>
        <v>0.28999999999999998</v>
      </c>
      <c r="R163" s="2"/>
      <c r="S163" s="7">
        <f>Table2[[#This Row],[N]]+Table2[[#This Row],[Pile 
Deviation 
N (m)]]</f>
        <v>1511736.1740000001</v>
      </c>
      <c r="T163" s="7">
        <f>Table2[[#This Row],[E]]+Table2[[#This Row],[Pile 
Deviation 
E (m)]]</f>
        <v>693977.56400000001</v>
      </c>
      <c r="W163" s="7">
        <v>0.28999999999999998</v>
      </c>
      <c r="X163" s="2" t="s">
        <v>36</v>
      </c>
      <c r="AA163" s="9">
        <v>46220</v>
      </c>
    </row>
    <row r="164" spans="1:27" hidden="1" x14ac:dyDescent="0.65">
      <c r="A164">
        <v>162</v>
      </c>
      <c r="B164" t="s">
        <v>29</v>
      </c>
      <c r="C164" s="6">
        <v>1511736.733</v>
      </c>
      <c r="D164" s="6">
        <v>693980.33299999998</v>
      </c>
      <c r="E164" s="2" t="s">
        <v>35</v>
      </c>
      <c r="F164" s="1">
        <v>24</v>
      </c>
      <c r="G164" s="2" t="s">
        <v>31</v>
      </c>
      <c r="J164"/>
      <c r="K164" s="19"/>
      <c r="L164" s="21"/>
      <c r="M164" s="27"/>
      <c r="N164" s="19"/>
      <c r="O164" s="21"/>
      <c r="P164" s="7">
        <v>0.28999999999999998</v>
      </c>
      <c r="Q164" s="7">
        <f>Table2[[#This Row],[Elevation
PILE TOP]]-Table2[[#This Row],[LENGTH(m.)
(Actual)]]</f>
        <v>0.28999999999999998</v>
      </c>
      <c r="R164" s="2"/>
      <c r="S164" s="7">
        <f>Table2[[#This Row],[N]]+Table2[[#This Row],[Pile 
Deviation 
N (m)]]</f>
        <v>1511736.733</v>
      </c>
      <c r="T164" s="7">
        <f>Table2[[#This Row],[E]]+Table2[[#This Row],[Pile 
Deviation 
E (m)]]</f>
        <v>693980.33299999998</v>
      </c>
      <c r="W164" s="7">
        <v>0.28999999999999998</v>
      </c>
      <c r="X164" s="2" t="s">
        <v>36</v>
      </c>
      <c r="AA164" s="9">
        <v>46219</v>
      </c>
    </row>
    <row r="165" spans="1:27" ht="13.95" hidden="1" customHeight="1" x14ac:dyDescent="0.65">
      <c r="A165">
        <v>163</v>
      </c>
      <c r="B165" t="s">
        <v>29</v>
      </c>
      <c r="C165" s="6">
        <v>1511738.91</v>
      </c>
      <c r="D165" s="6">
        <v>693991.11600000004</v>
      </c>
      <c r="E165" s="2" t="s">
        <v>35</v>
      </c>
      <c r="F165" s="1">
        <v>24</v>
      </c>
      <c r="G165" s="2" t="s">
        <v>31</v>
      </c>
      <c r="J165"/>
      <c r="K165" s="19"/>
      <c r="L165" s="21"/>
      <c r="M165" s="27"/>
      <c r="N165" s="19"/>
      <c r="O165" s="21"/>
      <c r="P165" s="7">
        <v>0.28999999999999998</v>
      </c>
      <c r="Q165" s="7">
        <f>Table2[[#This Row],[Elevation
PILE TOP]]-Table2[[#This Row],[LENGTH(m.)
(Actual)]]</f>
        <v>0.28999999999999998</v>
      </c>
      <c r="R165" s="2"/>
      <c r="S165" s="7">
        <f>Table2[[#This Row],[N]]+Table2[[#This Row],[Pile 
Deviation 
N (m)]]</f>
        <v>1511738.91</v>
      </c>
      <c r="T165" s="7">
        <f>Table2[[#This Row],[E]]+Table2[[#This Row],[Pile 
Deviation 
E (m)]]</f>
        <v>693991.11600000004</v>
      </c>
      <c r="W165" s="7">
        <v>0.28999999999999998</v>
      </c>
      <c r="X165" s="2" t="s">
        <v>36</v>
      </c>
      <c r="AA165" s="9">
        <v>46219</v>
      </c>
    </row>
    <row r="166" spans="1:27" hidden="1" x14ac:dyDescent="0.65">
      <c r="A166">
        <v>164</v>
      </c>
      <c r="B166" t="s">
        <v>29</v>
      </c>
      <c r="C166" s="6">
        <v>1511739.4350000001</v>
      </c>
      <c r="D166" s="6">
        <v>693993.71299999999</v>
      </c>
      <c r="E166" s="2" t="s">
        <v>35</v>
      </c>
      <c r="F166" s="1">
        <v>24</v>
      </c>
      <c r="G166" s="2" t="s">
        <v>31</v>
      </c>
      <c r="J166"/>
      <c r="K166" s="19"/>
      <c r="L166" s="21"/>
      <c r="M166" s="27"/>
      <c r="N166" s="19"/>
      <c r="O166" s="21"/>
      <c r="P166" s="7">
        <v>0.28999999999999998</v>
      </c>
      <c r="Q166" s="7">
        <f>Table2[[#This Row],[Elevation
PILE TOP]]-Table2[[#This Row],[LENGTH(m.)
(Actual)]]</f>
        <v>0.28999999999999998</v>
      </c>
      <c r="R166" s="2"/>
      <c r="S166" s="7">
        <f>Table2[[#This Row],[N]]+Table2[[#This Row],[Pile 
Deviation 
N (m)]]</f>
        <v>1511739.4350000001</v>
      </c>
      <c r="T166" s="7">
        <f>Table2[[#This Row],[E]]+Table2[[#This Row],[Pile 
Deviation 
E (m)]]</f>
        <v>693993.71299999999</v>
      </c>
      <c r="W166" s="7">
        <v>0.28999999999999998</v>
      </c>
      <c r="X166" s="2" t="s">
        <v>36</v>
      </c>
      <c r="AA166" s="9">
        <v>46219</v>
      </c>
    </row>
    <row r="167" spans="1:27" ht="13.95" hidden="1" customHeight="1" x14ac:dyDescent="0.65">
      <c r="A167">
        <v>165</v>
      </c>
      <c r="B167" t="s">
        <v>29</v>
      </c>
      <c r="C167" s="6">
        <v>1511739.96</v>
      </c>
      <c r="D167" s="6">
        <v>693996.31099999999</v>
      </c>
      <c r="E167" s="2" t="s">
        <v>35</v>
      </c>
      <c r="F167" s="1">
        <v>24</v>
      </c>
      <c r="G167" s="2" t="s">
        <v>31</v>
      </c>
      <c r="J167"/>
      <c r="K167" s="19"/>
      <c r="L167" s="21"/>
      <c r="M167" s="27"/>
      <c r="N167" s="19"/>
      <c r="O167" s="21"/>
      <c r="P167" s="7">
        <v>0.28999999999999998</v>
      </c>
      <c r="Q167" s="7">
        <f>Table2[[#This Row],[Elevation
PILE TOP]]-Table2[[#This Row],[LENGTH(m.)
(Actual)]]</f>
        <v>0.28999999999999998</v>
      </c>
      <c r="R167" s="2"/>
      <c r="S167" s="7">
        <f>Table2[[#This Row],[N]]+Table2[[#This Row],[Pile 
Deviation 
N (m)]]</f>
        <v>1511739.96</v>
      </c>
      <c r="T167" s="7">
        <f>Table2[[#This Row],[E]]+Table2[[#This Row],[Pile 
Deviation 
E (m)]]</f>
        <v>693996.31099999999</v>
      </c>
      <c r="W167" s="7">
        <v>0.28999999999999998</v>
      </c>
      <c r="X167" s="2" t="s">
        <v>36</v>
      </c>
      <c r="AA167" s="9">
        <v>46219</v>
      </c>
    </row>
    <row r="168" spans="1:27" hidden="1" x14ac:dyDescent="0.65">
      <c r="A168">
        <v>166</v>
      </c>
      <c r="B168" t="s">
        <v>29</v>
      </c>
      <c r="C168" s="6">
        <v>1511740.4890000001</v>
      </c>
      <c r="D168" s="6">
        <v>693998.93299999996</v>
      </c>
      <c r="E168" s="2" t="s">
        <v>35</v>
      </c>
      <c r="F168" s="1">
        <v>24</v>
      </c>
      <c r="G168" s="2" t="s">
        <v>31</v>
      </c>
      <c r="J168"/>
      <c r="K168" s="19"/>
      <c r="L168" s="21"/>
      <c r="M168" s="27"/>
      <c r="N168" s="19"/>
      <c r="O168" s="21"/>
      <c r="P168" s="7">
        <v>0.28999999999999998</v>
      </c>
      <c r="Q168" s="7">
        <f>Table2[[#This Row],[Elevation
PILE TOP]]-Table2[[#This Row],[LENGTH(m.)
(Actual)]]</f>
        <v>0.28999999999999998</v>
      </c>
      <c r="R168" s="2"/>
      <c r="S168" s="7">
        <f>Table2[[#This Row],[N]]+Table2[[#This Row],[Pile 
Deviation 
N (m)]]</f>
        <v>1511740.4890000001</v>
      </c>
      <c r="T168" s="7">
        <f>Table2[[#This Row],[E]]+Table2[[#This Row],[Pile 
Deviation 
E (m)]]</f>
        <v>693998.93299999996</v>
      </c>
      <c r="W168" s="7">
        <v>0.28999999999999998</v>
      </c>
      <c r="X168" s="2" t="s">
        <v>36</v>
      </c>
      <c r="AA168" s="9">
        <v>46219</v>
      </c>
    </row>
    <row r="169" spans="1:27" ht="13.95" hidden="1" customHeight="1" x14ac:dyDescent="0.65">
      <c r="A169">
        <v>167</v>
      </c>
      <c r="B169" t="s">
        <v>29</v>
      </c>
      <c r="C169" s="6">
        <v>1511731.504</v>
      </c>
      <c r="D169" s="6">
        <v>693963.28099999996</v>
      </c>
      <c r="E169" s="2" t="s">
        <v>30</v>
      </c>
      <c r="F169" s="1">
        <v>24</v>
      </c>
      <c r="G169" s="2" t="s">
        <v>31</v>
      </c>
      <c r="J169"/>
      <c r="K169" s="19"/>
      <c r="L169" s="21"/>
      <c r="M169" s="27"/>
      <c r="N169" s="19"/>
      <c r="O169" s="21"/>
      <c r="P169" s="7">
        <v>-0.17499999999999999</v>
      </c>
      <c r="Q169" s="7">
        <f>Table2[[#This Row],[Elevation
PILE TOP]]-Table2[[#This Row],[LENGTH(m.)
(Actual)]]</f>
        <v>-0.17499999999999999</v>
      </c>
      <c r="R169" s="2"/>
      <c r="S169" s="7">
        <f>Table2[[#This Row],[N]]+Table2[[#This Row],[Pile 
Deviation 
N (m)]]</f>
        <v>1511731.504</v>
      </c>
      <c r="T169" s="7">
        <f>Table2[[#This Row],[E]]+Table2[[#This Row],[Pile 
Deviation 
E (m)]]</f>
        <v>693963.28099999996</v>
      </c>
      <c r="W169" s="7">
        <v>-0.67500000000000004</v>
      </c>
      <c r="X169" s="2" t="s">
        <v>33</v>
      </c>
      <c r="AA169" s="9">
        <v>46220</v>
      </c>
    </row>
    <row r="170" spans="1:27" hidden="1" x14ac:dyDescent="0.65">
      <c r="A170">
        <v>168</v>
      </c>
      <c r="B170" t="s">
        <v>29</v>
      </c>
      <c r="C170" s="6">
        <v>1511731.682</v>
      </c>
      <c r="D170" s="6">
        <v>693964.16299999994</v>
      </c>
      <c r="E170" s="2" t="s">
        <v>30</v>
      </c>
      <c r="F170" s="1">
        <v>24</v>
      </c>
      <c r="G170" s="2" t="s">
        <v>31</v>
      </c>
      <c r="J170"/>
      <c r="K170" s="19"/>
      <c r="L170" s="21"/>
      <c r="M170" s="27"/>
      <c r="N170" s="19"/>
      <c r="O170" s="21"/>
      <c r="P170" s="7">
        <v>-0.17499999999999999</v>
      </c>
      <c r="Q170" s="7">
        <f>Table2[[#This Row],[Elevation
PILE TOP]]-Table2[[#This Row],[LENGTH(m.)
(Actual)]]</f>
        <v>-0.17499999999999999</v>
      </c>
      <c r="R170" s="2"/>
      <c r="S170" s="7">
        <f>Table2[[#This Row],[N]]+Table2[[#This Row],[Pile 
Deviation 
N (m)]]</f>
        <v>1511731.682</v>
      </c>
      <c r="T170" s="7">
        <f>Table2[[#This Row],[E]]+Table2[[#This Row],[Pile 
Deviation 
E (m)]]</f>
        <v>693964.16299999994</v>
      </c>
      <c r="W170" s="7">
        <v>-0.67500000000000004</v>
      </c>
      <c r="X170" s="2" t="s">
        <v>33</v>
      </c>
      <c r="AA170" s="9">
        <v>46221</v>
      </c>
    </row>
    <row r="171" spans="1:27" ht="13.95" hidden="1" customHeight="1" x14ac:dyDescent="0.65">
      <c r="A171">
        <v>169</v>
      </c>
      <c r="B171" t="s">
        <v>29</v>
      </c>
      <c r="C171" s="6">
        <v>1511730.72</v>
      </c>
      <c r="D171" s="6">
        <v>693963.43900000001</v>
      </c>
      <c r="E171" s="2" t="s">
        <v>30</v>
      </c>
      <c r="F171" s="1">
        <v>24</v>
      </c>
      <c r="G171" s="2" t="s">
        <v>31</v>
      </c>
      <c r="J171"/>
      <c r="K171" s="19"/>
      <c r="L171" s="21"/>
      <c r="M171" s="27"/>
      <c r="N171" s="19"/>
      <c r="O171" s="21"/>
      <c r="P171" s="7">
        <v>-0.17499999999999999</v>
      </c>
      <c r="Q171" s="7">
        <f>Table2[[#This Row],[Elevation
PILE TOP]]-Table2[[#This Row],[LENGTH(m.)
(Actual)]]</f>
        <v>-0.17499999999999999</v>
      </c>
      <c r="R171" s="2"/>
      <c r="S171" s="7">
        <f>Table2[[#This Row],[N]]+Table2[[#This Row],[Pile 
Deviation 
N (m)]]</f>
        <v>1511730.72</v>
      </c>
      <c r="T171" s="7">
        <f>Table2[[#This Row],[E]]+Table2[[#This Row],[Pile 
Deviation 
E (m)]]</f>
        <v>693963.43900000001</v>
      </c>
      <c r="W171" s="7">
        <v>-0.67500000000000004</v>
      </c>
      <c r="X171" s="2" t="s">
        <v>33</v>
      </c>
      <c r="AA171" s="9">
        <v>46220</v>
      </c>
    </row>
    <row r="172" spans="1:27" hidden="1" x14ac:dyDescent="0.65">
      <c r="A172">
        <v>170</v>
      </c>
      <c r="B172" t="s">
        <v>29</v>
      </c>
      <c r="C172" s="6">
        <v>1511730.898</v>
      </c>
      <c r="D172" s="6">
        <v>693964.32200000004</v>
      </c>
      <c r="E172" s="2" t="s">
        <v>30</v>
      </c>
      <c r="F172" s="1">
        <v>24</v>
      </c>
      <c r="G172" s="2" t="s">
        <v>31</v>
      </c>
      <c r="J172"/>
      <c r="K172" s="19"/>
      <c r="L172" s="21"/>
      <c r="M172" s="27"/>
      <c r="N172" s="19"/>
      <c r="O172" s="21"/>
      <c r="P172" s="7">
        <v>-0.17499999999999999</v>
      </c>
      <c r="Q172" s="7">
        <f>Table2[[#This Row],[Elevation
PILE TOP]]-Table2[[#This Row],[LENGTH(m.)
(Actual)]]</f>
        <v>-0.17499999999999999</v>
      </c>
      <c r="R172" s="2"/>
      <c r="S172" s="7">
        <f>Table2[[#This Row],[N]]+Table2[[#This Row],[Pile 
Deviation 
N (m)]]</f>
        <v>1511730.898</v>
      </c>
      <c r="T172" s="7">
        <f>Table2[[#This Row],[E]]+Table2[[#This Row],[Pile 
Deviation 
E (m)]]</f>
        <v>693964.32200000004</v>
      </c>
      <c r="W172" s="7">
        <v>-0.67500000000000004</v>
      </c>
      <c r="X172" s="2" t="s">
        <v>33</v>
      </c>
      <c r="AA172" s="9">
        <v>46221</v>
      </c>
    </row>
    <row r="173" spans="1:27" ht="13.95" hidden="1" customHeight="1" x14ac:dyDescent="0.65">
      <c r="A173">
        <v>171</v>
      </c>
      <c r="B173" t="s">
        <v>29</v>
      </c>
      <c r="C173" s="6">
        <v>1511732.004</v>
      </c>
      <c r="D173" s="6">
        <v>693965.63100000005</v>
      </c>
      <c r="E173" s="2" t="s">
        <v>30</v>
      </c>
      <c r="F173" s="1">
        <v>24</v>
      </c>
      <c r="G173" s="2" t="s">
        <v>31</v>
      </c>
      <c r="J173"/>
      <c r="K173" s="19"/>
      <c r="L173" s="21"/>
      <c r="M173" s="27"/>
      <c r="N173" s="19"/>
      <c r="O173" s="21"/>
      <c r="P173" s="7">
        <v>-0.17499999999999999</v>
      </c>
      <c r="Q173" s="7">
        <f>Table2[[#This Row],[Elevation
PILE TOP]]-Table2[[#This Row],[LENGTH(m.)
(Actual)]]</f>
        <v>-0.17499999999999999</v>
      </c>
      <c r="R173" s="2"/>
      <c r="S173" s="7">
        <f>Table2[[#This Row],[N]]+Table2[[#This Row],[Pile 
Deviation 
N (m)]]</f>
        <v>1511732.004</v>
      </c>
      <c r="T173" s="7">
        <f>Table2[[#This Row],[E]]+Table2[[#This Row],[Pile 
Deviation 
E (m)]]</f>
        <v>693965.63100000005</v>
      </c>
      <c r="W173" s="7">
        <v>-0.67500000000000004</v>
      </c>
      <c r="X173" s="2" t="s">
        <v>37</v>
      </c>
      <c r="AA173" s="9">
        <v>46221</v>
      </c>
    </row>
    <row r="174" spans="1:27" hidden="1" x14ac:dyDescent="0.65">
      <c r="A174">
        <v>172</v>
      </c>
      <c r="B174" t="s">
        <v>29</v>
      </c>
      <c r="C174" s="6">
        <v>1511731.22</v>
      </c>
      <c r="D174" s="6">
        <v>693965.79</v>
      </c>
      <c r="E174" s="2" t="s">
        <v>30</v>
      </c>
      <c r="F174" s="1">
        <v>24</v>
      </c>
      <c r="G174" s="2" t="s">
        <v>31</v>
      </c>
      <c r="J174"/>
      <c r="K174" s="19"/>
      <c r="L174" s="21"/>
      <c r="M174" s="27"/>
      <c r="N174" s="19"/>
      <c r="O174" s="21"/>
      <c r="P174" s="7">
        <v>-0.17499999999999999</v>
      </c>
      <c r="Q174" s="7">
        <f>Table2[[#This Row],[Elevation
PILE TOP]]-Table2[[#This Row],[LENGTH(m.)
(Actual)]]</f>
        <v>-0.17499999999999999</v>
      </c>
      <c r="R174" s="2"/>
      <c r="S174" s="7">
        <f>Table2[[#This Row],[N]]+Table2[[#This Row],[Pile 
Deviation 
N (m)]]</f>
        <v>1511731.22</v>
      </c>
      <c r="T174" s="7">
        <f>Table2[[#This Row],[E]]+Table2[[#This Row],[Pile 
Deviation 
E (m)]]</f>
        <v>693965.79</v>
      </c>
      <c r="W174" s="7">
        <v>-0.67500000000000004</v>
      </c>
      <c r="X174" s="2" t="s">
        <v>37</v>
      </c>
      <c r="AA174" s="9">
        <v>46221</v>
      </c>
    </row>
    <row r="175" spans="1:27" ht="13.95" hidden="1" customHeight="1" x14ac:dyDescent="0.65">
      <c r="A175">
        <v>173</v>
      </c>
      <c r="B175" t="s">
        <v>29</v>
      </c>
      <c r="C175" s="6">
        <v>1511731.74</v>
      </c>
      <c r="D175" s="6">
        <v>693968.74199999997</v>
      </c>
      <c r="E175" s="2" t="s">
        <v>35</v>
      </c>
      <c r="F175" s="1">
        <v>24</v>
      </c>
      <c r="G175" s="2" t="s">
        <v>31</v>
      </c>
      <c r="J175"/>
      <c r="K175" s="19"/>
      <c r="L175" s="21"/>
      <c r="M175" s="27"/>
      <c r="N175" s="19"/>
      <c r="O175" s="21"/>
      <c r="P175" s="7">
        <v>0.28999999999999998</v>
      </c>
      <c r="Q175" s="7">
        <f>Table2[[#This Row],[Elevation
PILE TOP]]-Table2[[#This Row],[LENGTH(m.)
(Actual)]]</f>
        <v>0.28999999999999998</v>
      </c>
      <c r="R175" s="2"/>
      <c r="S175" s="7">
        <f>Table2[[#This Row],[N]]+Table2[[#This Row],[Pile 
Deviation 
N (m)]]</f>
        <v>1511731.74</v>
      </c>
      <c r="T175" s="7">
        <f>Table2[[#This Row],[E]]+Table2[[#This Row],[Pile 
Deviation 
E (m)]]</f>
        <v>693968.74199999997</v>
      </c>
      <c r="W175" s="7">
        <v>0.28999999999999998</v>
      </c>
      <c r="X175" s="2" t="s">
        <v>40</v>
      </c>
      <c r="AA175" s="9">
        <v>46221</v>
      </c>
    </row>
    <row r="176" spans="1:27" hidden="1" x14ac:dyDescent="0.65">
      <c r="A176">
        <v>174</v>
      </c>
      <c r="B176" t="s">
        <v>29</v>
      </c>
      <c r="C176" s="6">
        <v>1511732.8060000001</v>
      </c>
      <c r="D176" s="6">
        <v>693969.60100000002</v>
      </c>
      <c r="E176" s="2" t="s">
        <v>30</v>
      </c>
      <c r="F176" s="1">
        <v>24</v>
      </c>
      <c r="G176" s="2" t="s">
        <v>31</v>
      </c>
      <c r="J176"/>
      <c r="K176" s="19"/>
      <c r="L176" s="21"/>
      <c r="M176" s="27"/>
      <c r="N176" s="19"/>
      <c r="O176" s="21"/>
      <c r="P176" s="7">
        <v>-0.17499999999999999</v>
      </c>
      <c r="Q176" s="7">
        <f>Table2[[#This Row],[Elevation
PILE TOP]]-Table2[[#This Row],[LENGTH(m.)
(Actual)]]</f>
        <v>-0.17499999999999999</v>
      </c>
      <c r="R176" s="2"/>
      <c r="S176" s="7">
        <f>Table2[[#This Row],[N]]+Table2[[#This Row],[Pile 
Deviation 
N (m)]]</f>
        <v>1511732.8060000001</v>
      </c>
      <c r="T176" s="7">
        <f>Table2[[#This Row],[E]]+Table2[[#This Row],[Pile 
Deviation 
E (m)]]</f>
        <v>693969.60100000002</v>
      </c>
      <c r="W176" s="7">
        <v>-0.67500000000000004</v>
      </c>
      <c r="X176" s="2" t="s">
        <v>37</v>
      </c>
      <c r="AA176" s="9">
        <v>46221</v>
      </c>
    </row>
    <row r="177" spans="1:27" ht="13.95" hidden="1" customHeight="1" x14ac:dyDescent="0.65">
      <c r="A177">
        <v>175</v>
      </c>
      <c r="B177" t="s">
        <v>29</v>
      </c>
      <c r="C177" s="6">
        <v>1511732.0220000001</v>
      </c>
      <c r="D177" s="6">
        <v>693969.76</v>
      </c>
      <c r="E177" s="2" t="s">
        <v>30</v>
      </c>
      <c r="F177" s="1">
        <v>24</v>
      </c>
      <c r="G177" s="2" t="s">
        <v>31</v>
      </c>
      <c r="J177"/>
      <c r="K177" s="19"/>
      <c r="L177" s="21"/>
      <c r="M177" s="27"/>
      <c r="N177" s="19"/>
      <c r="O177" s="21"/>
      <c r="P177" s="7">
        <v>-0.17499999999999999</v>
      </c>
      <c r="Q177" s="7">
        <f>Table2[[#This Row],[Elevation
PILE TOP]]-Table2[[#This Row],[LENGTH(m.)
(Actual)]]</f>
        <v>-0.17499999999999999</v>
      </c>
      <c r="R177" s="2"/>
      <c r="S177" s="7">
        <f>Table2[[#This Row],[N]]+Table2[[#This Row],[Pile 
Deviation 
N (m)]]</f>
        <v>1511732.0220000001</v>
      </c>
      <c r="T177" s="7">
        <f>Table2[[#This Row],[E]]+Table2[[#This Row],[Pile 
Deviation 
E (m)]]</f>
        <v>693969.76</v>
      </c>
      <c r="W177" s="7">
        <v>-0.67500000000000004</v>
      </c>
      <c r="X177" s="2" t="s">
        <v>37</v>
      </c>
      <c r="AA177" s="9">
        <v>46221</v>
      </c>
    </row>
    <row r="178" spans="1:27" hidden="1" x14ac:dyDescent="0.65">
      <c r="A178">
        <v>176</v>
      </c>
      <c r="B178" t="s">
        <v>29</v>
      </c>
      <c r="C178" s="6">
        <v>1511732.4129999999</v>
      </c>
      <c r="D178" s="6">
        <v>693972.07499999995</v>
      </c>
      <c r="E178" s="2" t="s">
        <v>35</v>
      </c>
      <c r="F178" s="1">
        <v>24</v>
      </c>
      <c r="G178" s="2" t="s">
        <v>31</v>
      </c>
      <c r="J178"/>
      <c r="K178" s="19"/>
      <c r="L178" s="21"/>
      <c r="M178" s="27"/>
      <c r="N178" s="19"/>
      <c r="O178" s="21"/>
      <c r="P178" s="7">
        <v>0.28999999999999998</v>
      </c>
      <c r="Q178" s="7">
        <f>Table2[[#This Row],[Elevation
PILE TOP]]-Table2[[#This Row],[LENGTH(m.)
(Actual)]]</f>
        <v>0.28999999999999998</v>
      </c>
      <c r="R178" s="2"/>
      <c r="S178" s="7">
        <f>Table2[[#This Row],[N]]+Table2[[#This Row],[Pile 
Deviation 
N (m)]]</f>
        <v>1511732.4129999999</v>
      </c>
      <c r="T178" s="7">
        <f>Table2[[#This Row],[E]]+Table2[[#This Row],[Pile 
Deviation 
E (m)]]</f>
        <v>693972.07499999995</v>
      </c>
      <c r="W178" s="7">
        <v>0.28999999999999998</v>
      </c>
      <c r="X178" s="2" t="s">
        <v>40</v>
      </c>
      <c r="AA178" s="9">
        <v>46223</v>
      </c>
    </row>
    <row r="179" spans="1:27" ht="13.95" hidden="1" customHeight="1" x14ac:dyDescent="0.65">
      <c r="A179">
        <v>177</v>
      </c>
      <c r="B179" t="s">
        <v>29</v>
      </c>
      <c r="C179" s="6">
        <v>1511733.9240000001</v>
      </c>
      <c r="D179" s="6">
        <v>693975.14</v>
      </c>
      <c r="E179" s="2" t="s">
        <v>30</v>
      </c>
      <c r="F179" s="1">
        <v>24</v>
      </c>
      <c r="G179" s="2" t="s">
        <v>31</v>
      </c>
      <c r="J179"/>
      <c r="K179" s="19"/>
      <c r="L179" s="21"/>
      <c r="M179" s="27"/>
      <c r="N179" s="19"/>
      <c r="O179" s="21"/>
      <c r="P179" s="7">
        <v>-0.17499999999999999</v>
      </c>
      <c r="Q179" s="7">
        <f>Table2[[#This Row],[Elevation
PILE TOP]]-Table2[[#This Row],[LENGTH(m.)
(Actual)]]</f>
        <v>-0.17499999999999999</v>
      </c>
      <c r="R179" s="2"/>
      <c r="S179" s="7">
        <f>Table2[[#This Row],[N]]+Table2[[#This Row],[Pile 
Deviation 
N (m)]]</f>
        <v>1511733.9240000001</v>
      </c>
      <c r="T179" s="7">
        <f>Table2[[#This Row],[E]]+Table2[[#This Row],[Pile 
Deviation 
E (m)]]</f>
        <v>693975.14</v>
      </c>
      <c r="W179" s="7">
        <v>-0.67500000000000004</v>
      </c>
      <c r="X179" s="2" t="s">
        <v>37</v>
      </c>
      <c r="AA179" s="9">
        <v>46223</v>
      </c>
    </row>
    <row r="180" spans="1:27" hidden="1" x14ac:dyDescent="0.65">
      <c r="A180">
        <v>178</v>
      </c>
      <c r="B180" t="s">
        <v>29</v>
      </c>
      <c r="C180" s="6">
        <v>1511733.14</v>
      </c>
      <c r="D180" s="6">
        <v>693975.29799999995</v>
      </c>
      <c r="E180" s="2" t="s">
        <v>30</v>
      </c>
      <c r="F180" s="1">
        <v>24</v>
      </c>
      <c r="G180" s="2" t="s">
        <v>31</v>
      </c>
      <c r="J180"/>
      <c r="K180" s="19"/>
      <c r="L180" s="21"/>
      <c r="M180" s="27"/>
      <c r="N180" s="19"/>
      <c r="O180" s="21"/>
      <c r="P180" s="7">
        <v>-0.17499999999999999</v>
      </c>
      <c r="Q180" s="7">
        <f>Table2[[#This Row],[Elevation
PILE TOP]]-Table2[[#This Row],[LENGTH(m.)
(Actual)]]</f>
        <v>-0.17499999999999999</v>
      </c>
      <c r="R180" s="2"/>
      <c r="S180" s="7">
        <f>Table2[[#This Row],[N]]+Table2[[#This Row],[Pile 
Deviation 
N (m)]]</f>
        <v>1511733.14</v>
      </c>
      <c r="T180" s="7">
        <f>Table2[[#This Row],[E]]+Table2[[#This Row],[Pile 
Deviation 
E (m)]]</f>
        <v>693975.29799999995</v>
      </c>
      <c r="W180" s="7">
        <v>-0.67500000000000004</v>
      </c>
      <c r="X180" s="2" t="s">
        <v>37</v>
      </c>
      <c r="AA180" s="9">
        <v>46223</v>
      </c>
    </row>
    <row r="181" spans="1:27" ht="13.95" hidden="1" customHeight="1" x14ac:dyDescent="0.65">
      <c r="A181">
        <v>179</v>
      </c>
      <c r="B181" t="s">
        <v>29</v>
      </c>
      <c r="C181" s="6">
        <v>1511733.7590000001</v>
      </c>
      <c r="D181" s="6">
        <v>693978.74100000004</v>
      </c>
      <c r="E181" s="2" t="s">
        <v>35</v>
      </c>
      <c r="F181" s="1">
        <v>24</v>
      </c>
      <c r="G181" s="2" t="s">
        <v>31</v>
      </c>
      <c r="J181"/>
      <c r="K181" s="19"/>
      <c r="L181" s="21"/>
      <c r="M181" s="27"/>
      <c r="N181" s="19"/>
      <c r="O181" s="21"/>
      <c r="P181" s="7">
        <v>0.28999999999999998</v>
      </c>
      <c r="Q181" s="7">
        <f>Table2[[#This Row],[Elevation
PILE TOP]]-Table2[[#This Row],[LENGTH(m.)
(Actual)]]</f>
        <v>0.28999999999999998</v>
      </c>
      <c r="R181" s="2"/>
      <c r="S181" s="7">
        <f>Table2[[#This Row],[N]]+Table2[[#This Row],[Pile 
Deviation 
N (m)]]</f>
        <v>1511733.7590000001</v>
      </c>
      <c r="T181" s="7">
        <f>Table2[[#This Row],[E]]+Table2[[#This Row],[Pile 
Deviation 
E (m)]]</f>
        <v>693978.74100000004</v>
      </c>
      <c r="W181" s="7">
        <v>0.28999999999999998</v>
      </c>
      <c r="X181" s="2" t="s">
        <v>40</v>
      </c>
      <c r="AA181" s="9">
        <v>46223</v>
      </c>
    </row>
    <row r="182" spans="1:27" hidden="1" x14ac:dyDescent="0.65">
      <c r="A182">
        <v>180</v>
      </c>
      <c r="B182" t="s">
        <v>29</v>
      </c>
      <c r="C182" s="6">
        <v>1511735.0430000001</v>
      </c>
      <c r="D182" s="6">
        <v>693980.67799999996</v>
      </c>
      <c r="E182" s="2" t="s">
        <v>30</v>
      </c>
      <c r="F182" s="1">
        <v>24</v>
      </c>
      <c r="G182" s="2" t="s">
        <v>31</v>
      </c>
      <c r="J182"/>
      <c r="K182" s="19"/>
      <c r="L182" s="21"/>
      <c r="M182" s="27"/>
      <c r="N182" s="19"/>
      <c r="O182" s="21"/>
      <c r="P182" s="7">
        <v>-0.17499999999999999</v>
      </c>
      <c r="Q182" s="7">
        <f>Table2[[#This Row],[Elevation
PILE TOP]]-Table2[[#This Row],[LENGTH(m.)
(Actual)]]</f>
        <v>-0.17499999999999999</v>
      </c>
      <c r="R182" s="2"/>
      <c r="S182" s="7">
        <f>Table2[[#This Row],[N]]+Table2[[#This Row],[Pile 
Deviation 
N (m)]]</f>
        <v>1511735.0430000001</v>
      </c>
      <c r="T182" s="7">
        <f>Table2[[#This Row],[E]]+Table2[[#This Row],[Pile 
Deviation 
E (m)]]</f>
        <v>693980.67799999996</v>
      </c>
      <c r="W182" s="7">
        <v>-0.67500000000000004</v>
      </c>
      <c r="X182" s="2" t="s">
        <v>37</v>
      </c>
      <c r="AA182" s="9">
        <v>46223</v>
      </c>
    </row>
    <row r="183" spans="1:27" ht="13.95" hidden="1" customHeight="1" x14ac:dyDescent="0.65">
      <c r="A183">
        <v>181</v>
      </c>
      <c r="B183" t="s">
        <v>29</v>
      </c>
      <c r="C183" s="6">
        <v>1511734.2590000001</v>
      </c>
      <c r="D183" s="6">
        <v>693980.83600000001</v>
      </c>
      <c r="E183" s="2" t="s">
        <v>30</v>
      </c>
      <c r="F183" s="1">
        <v>24</v>
      </c>
      <c r="G183" s="2" t="s">
        <v>31</v>
      </c>
      <c r="J183"/>
      <c r="K183" s="19"/>
      <c r="L183" s="21"/>
      <c r="M183" s="27"/>
      <c r="N183" s="19"/>
      <c r="O183" s="21"/>
      <c r="P183" s="7">
        <v>-0.17499999999999999</v>
      </c>
      <c r="Q183" s="7">
        <f>Table2[[#This Row],[Elevation
PILE TOP]]-Table2[[#This Row],[LENGTH(m.)
(Actual)]]</f>
        <v>-0.17499999999999999</v>
      </c>
      <c r="R183" s="2"/>
      <c r="S183" s="7">
        <f>Table2[[#This Row],[N]]+Table2[[#This Row],[Pile 
Deviation 
N (m)]]</f>
        <v>1511734.2590000001</v>
      </c>
      <c r="T183" s="7">
        <f>Table2[[#This Row],[E]]+Table2[[#This Row],[Pile 
Deviation 
E (m)]]</f>
        <v>693980.83600000001</v>
      </c>
      <c r="W183" s="7">
        <v>-0.67500000000000004</v>
      </c>
      <c r="X183" s="2" t="s">
        <v>37</v>
      </c>
      <c r="AA183" s="9">
        <v>46223</v>
      </c>
    </row>
    <row r="184" spans="1:27" hidden="1" x14ac:dyDescent="0.65">
      <c r="A184">
        <v>182</v>
      </c>
      <c r="B184" t="s">
        <v>29</v>
      </c>
      <c r="C184" s="6">
        <v>1511734.432</v>
      </c>
      <c r="D184" s="6">
        <v>693982.07299999997</v>
      </c>
      <c r="E184" s="2" t="s">
        <v>35</v>
      </c>
      <c r="F184" s="1">
        <v>24</v>
      </c>
      <c r="G184" s="2" t="s">
        <v>31</v>
      </c>
      <c r="J184"/>
      <c r="K184" s="19"/>
      <c r="L184" s="21"/>
      <c r="M184" s="27"/>
      <c r="N184" s="19"/>
      <c r="O184" s="21"/>
      <c r="P184" s="7">
        <v>0.28999999999999998</v>
      </c>
      <c r="Q184" s="7">
        <f>Table2[[#This Row],[Elevation
PILE TOP]]-Table2[[#This Row],[LENGTH(m.)
(Actual)]]</f>
        <v>0.28999999999999998</v>
      </c>
      <c r="R184" s="2"/>
      <c r="S184" s="7">
        <f>Table2[[#This Row],[N]]+Table2[[#This Row],[Pile 
Deviation 
N (m)]]</f>
        <v>1511734.432</v>
      </c>
      <c r="T184" s="7">
        <f>Table2[[#This Row],[E]]+Table2[[#This Row],[Pile 
Deviation 
E (m)]]</f>
        <v>693982.07299999997</v>
      </c>
      <c r="W184" s="7">
        <v>0.28999999999999998</v>
      </c>
      <c r="X184" s="2" t="s">
        <v>40</v>
      </c>
      <c r="AA184" s="9">
        <v>46223</v>
      </c>
    </row>
    <row r="185" spans="1:27" ht="13.95" hidden="1" customHeight="1" x14ac:dyDescent="0.65">
      <c r="A185">
        <v>183</v>
      </c>
      <c r="B185" t="s">
        <v>29</v>
      </c>
      <c r="C185" s="6">
        <v>1511735.939</v>
      </c>
      <c r="D185" s="6">
        <v>693985.24100000004</v>
      </c>
      <c r="E185" s="2" t="s">
        <v>30</v>
      </c>
      <c r="F185" s="1">
        <v>24</v>
      </c>
      <c r="G185" s="2" t="s">
        <v>31</v>
      </c>
      <c r="J185"/>
      <c r="K185" s="19"/>
      <c r="L185" s="21"/>
      <c r="M185" s="27"/>
      <c r="N185" s="19"/>
      <c r="O185" s="21"/>
      <c r="P185" s="7">
        <v>-0.17499999999999999</v>
      </c>
      <c r="Q185" s="7">
        <f>Table2[[#This Row],[Elevation
PILE TOP]]-Table2[[#This Row],[LENGTH(m.)
(Actual)]]</f>
        <v>-0.17499999999999999</v>
      </c>
      <c r="R185" s="2"/>
      <c r="S185" s="7">
        <f>Table2[[#This Row],[N]]+Table2[[#This Row],[Pile 
Deviation 
N (m)]]</f>
        <v>1511735.939</v>
      </c>
      <c r="T185" s="7">
        <f>Table2[[#This Row],[E]]+Table2[[#This Row],[Pile 
Deviation 
E (m)]]</f>
        <v>693985.24100000004</v>
      </c>
      <c r="W185" s="7">
        <v>-0.67500000000000004</v>
      </c>
      <c r="X185" s="2" t="s">
        <v>37</v>
      </c>
      <c r="AA185" s="9">
        <v>46224</v>
      </c>
    </row>
    <row r="186" spans="1:27" hidden="1" x14ac:dyDescent="0.65">
      <c r="A186">
        <v>184</v>
      </c>
      <c r="B186" t="s">
        <v>29</v>
      </c>
      <c r="C186" s="6">
        <v>1511735.155</v>
      </c>
      <c r="D186" s="6">
        <v>693985.39899999998</v>
      </c>
      <c r="E186" s="2" t="s">
        <v>30</v>
      </c>
      <c r="F186" s="1">
        <v>24</v>
      </c>
      <c r="G186" s="2" t="s">
        <v>31</v>
      </c>
      <c r="J186"/>
      <c r="K186" s="19"/>
      <c r="L186" s="21"/>
      <c r="M186" s="27"/>
      <c r="N186" s="19"/>
      <c r="O186" s="21"/>
      <c r="P186" s="7">
        <v>-0.17499999999999999</v>
      </c>
      <c r="Q186" s="7">
        <f>Table2[[#This Row],[Elevation
PILE TOP]]-Table2[[#This Row],[LENGTH(m.)
(Actual)]]</f>
        <v>-0.17499999999999999</v>
      </c>
      <c r="R186" s="2"/>
      <c r="S186" s="7">
        <f>Table2[[#This Row],[N]]+Table2[[#This Row],[Pile 
Deviation 
N (m)]]</f>
        <v>1511735.155</v>
      </c>
      <c r="T186" s="7">
        <f>Table2[[#This Row],[E]]+Table2[[#This Row],[Pile 
Deviation 
E (m)]]</f>
        <v>693985.39899999998</v>
      </c>
      <c r="W186" s="7">
        <v>-0.67500000000000004</v>
      </c>
      <c r="X186" s="2" t="s">
        <v>37</v>
      </c>
      <c r="AA186" s="9">
        <v>46224</v>
      </c>
    </row>
    <row r="187" spans="1:27" ht="13.95" hidden="1" customHeight="1" x14ac:dyDescent="0.65">
      <c r="A187">
        <v>185</v>
      </c>
      <c r="B187" t="s">
        <v>29</v>
      </c>
      <c r="C187" s="6">
        <v>1511736.1610000001</v>
      </c>
      <c r="D187" s="6">
        <v>693986.21600000001</v>
      </c>
      <c r="E187" s="2" t="s">
        <v>30</v>
      </c>
      <c r="F187" s="1">
        <v>24</v>
      </c>
      <c r="G187" s="2" t="s">
        <v>31</v>
      </c>
      <c r="J187"/>
      <c r="K187" s="19"/>
      <c r="L187" s="21"/>
      <c r="M187" s="27"/>
      <c r="N187" s="19"/>
      <c r="O187" s="21"/>
      <c r="P187" s="7">
        <v>-0.17499999999999999</v>
      </c>
      <c r="Q187" s="7">
        <f>Table2[[#This Row],[Elevation
PILE TOP]]-Table2[[#This Row],[LENGTH(m.)
(Actual)]]</f>
        <v>-0.17499999999999999</v>
      </c>
      <c r="R187" s="2"/>
      <c r="S187" s="7">
        <f>Table2[[#This Row],[N]]+Table2[[#This Row],[Pile 
Deviation 
N (m)]]</f>
        <v>1511736.1610000001</v>
      </c>
      <c r="T187" s="7">
        <f>Table2[[#This Row],[E]]+Table2[[#This Row],[Pile 
Deviation 
E (m)]]</f>
        <v>693986.21600000001</v>
      </c>
      <c r="W187" s="7">
        <v>-0.67500000000000004</v>
      </c>
      <c r="X187" s="2" t="s">
        <v>37</v>
      </c>
      <c r="AA187" s="9">
        <v>46224</v>
      </c>
    </row>
    <row r="188" spans="1:27" hidden="1" x14ac:dyDescent="0.65">
      <c r="A188">
        <v>186</v>
      </c>
      <c r="B188" t="s">
        <v>29</v>
      </c>
      <c r="C188" s="6">
        <v>1511735.3770000001</v>
      </c>
      <c r="D188" s="6">
        <v>693986.37399999995</v>
      </c>
      <c r="E188" s="2" t="s">
        <v>30</v>
      </c>
      <c r="F188" s="1">
        <v>24</v>
      </c>
      <c r="G188" s="2" t="s">
        <v>31</v>
      </c>
      <c r="J188"/>
      <c r="K188" s="19"/>
      <c r="L188" s="21"/>
      <c r="M188" s="27"/>
      <c r="N188" s="19"/>
      <c r="O188" s="21"/>
      <c r="P188" s="7">
        <v>-0.17499999999999999</v>
      </c>
      <c r="Q188" s="7">
        <f>Table2[[#This Row],[Elevation
PILE TOP]]-Table2[[#This Row],[LENGTH(m.)
(Actual)]]</f>
        <v>-0.17499999999999999</v>
      </c>
      <c r="R188" s="2"/>
      <c r="S188" s="7">
        <f>Table2[[#This Row],[N]]+Table2[[#This Row],[Pile 
Deviation 
N (m)]]</f>
        <v>1511735.3770000001</v>
      </c>
      <c r="T188" s="7">
        <f>Table2[[#This Row],[E]]+Table2[[#This Row],[Pile 
Deviation 
E (m)]]</f>
        <v>693986.37399999995</v>
      </c>
      <c r="W188" s="7">
        <v>-0.67500000000000004</v>
      </c>
      <c r="X188" s="2" t="s">
        <v>37</v>
      </c>
      <c r="AA188" s="9">
        <v>46224</v>
      </c>
    </row>
    <row r="189" spans="1:27" ht="13.95" hidden="1" customHeight="1" x14ac:dyDescent="0.65">
      <c r="A189">
        <v>187</v>
      </c>
      <c r="B189" t="s">
        <v>29</v>
      </c>
      <c r="C189" s="6">
        <v>1511735.62</v>
      </c>
      <c r="D189" s="6">
        <v>693987.95499999996</v>
      </c>
      <c r="E189" s="2" t="s">
        <v>35</v>
      </c>
      <c r="F189" s="1">
        <v>24</v>
      </c>
      <c r="G189" s="2" t="s">
        <v>31</v>
      </c>
      <c r="J189"/>
      <c r="K189" s="19"/>
      <c r="L189" s="21"/>
      <c r="M189" s="27"/>
      <c r="N189" s="19"/>
      <c r="O189" s="21"/>
      <c r="P189" s="7">
        <v>0.28999999999999998</v>
      </c>
      <c r="Q189" s="7">
        <f>Table2[[#This Row],[Elevation
PILE TOP]]-Table2[[#This Row],[LENGTH(m.)
(Actual)]]</f>
        <v>0.28999999999999998</v>
      </c>
      <c r="R189" s="2"/>
      <c r="S189" s="7">
        <f>Table2[[#This Row],[N]]+Table2[[#This Row],[Pile 
Deviation 
N (m)]]</f>
        <v>1511735.62</v>
      </c>
      <c r="T189" s="7">
        <f>Table2[[#This Row],[E]]+Table2[[#This Row],[Pile 
Deviation 
E (m)]]</f>
        <v>693987.95499999996</v>
      </c>
      <c r="W189" s="7">
        <v>0.28999999999999998</v>
      </c>
      <c r="X189" s="2" t="s">
        <v>40</v>
      </c>
      <c r="AA189" s="9">
        <v>46224</v>
      </c>
    </row>
    <row r="190" spans="1:27" hidden="1" x14ac:dyDescent="0.65">
      <c r="A190">
        <v>188</v>
      </c>
      <c r="B190" t="s">
        <v>29</v>
      </c>
      <c r="C190" s="6">
        <v>1511736.7239999999</v>
      </c>
      <c r="D190" s="6">
        <v>693991.14800000004</v>
      </c>
      <c r="E190" s="2" t="s">
        <v>30</v>
      </c>
      <c r="F190" s="1">
        <v>24</v>
      </c>
      <c r="G190" s="2" t="s">
        <v>31</v>
      </c>
      <c r="J190"/>
      <c r="K190" s="19"/>
      <c r="L190" s="21"/>
      <c r="M190" s="27"/>
      <c r="N190" s="19"/>
      <c r="O190" s="21"/>
      <c r="P190" s="7">
        <v>-0.17499999999999999</v>
      </c>
      <c r="Q190" s="7">
        <f>Table2[[#This Row],[Elevation
PILE TOP]]-Table2[[#This Row],[LENGTH(m.)
(Actual)]]</f>
        <v>-0.17499999999999999</v>
      </c>
      <c r="R190" s="2"/>
      <c r="S190" s="7">
        <f>Table2[[#This Row],[N]]+Table2[[#This Row],[Pile 
Deviation 
N (m)]]</f>
        <v>1511736.7239999999</v>
      </c>
      <c r="T190" s="7">
        <f>Table2[[#This Row],[E]]+Table2[[#This Row],[Pile 
Deviation 
E (m)]]</f>
        <v>693991.14800000004</v>
      </c>
      <c r="W190" s="7">
        <v>-0.67500000000000004</v>
      </c>
      <c r="X190" s="2" t="s">
        <v>37</v>
      </c>
      <c r="AA190" s="9">
        <v>46224</v>
      </c>
    </row>
    <row r="191" spans="1:27" ht="13.95" hidden="1" customHeight="1" x14ac:dyDescent="0.65">
      <c r="A191">
        <v>189</v>
      </c>
      <c r="B191" t="s">
        <v>29</v>
      </c>
      <c r="C191" s="6">
        <v>1511736.882</v>
      </c>
      <c r="D191" s="6">
        <v>693991.93200000003</v>
      </c>
      <c r="E191" s="2" t="s">
        <v>30</v>
      </c>
      <c r="F191" s="1">
        <v>24</v>
      </c>
      <c r="G191" s="2" t="s">
        <v>31</v>
      </c>
      <c r="J191"/>
      <c r="K191" s="19"/>
      <c r="L191" s="21"/>
      <c r="M191" s="27"/>
      <c r="N191" s="19"/>
      <c r="O191" s="21"/>
      <c r="P191" s="7">
        <v>-0.17499999999999999</v>
      </c>
      <c r="Q191" s="7">
        <f>Table2[[#This Row],[Elevation
PILE TOP]]-Table2[[#This Row],[LENGTH(m.)
(Actual)]]</f>
        <v>-0.17499999999999999</v>
      </c>
      <c r="R191" s="2"/>
      <c r="S191" s="7">
        <f>Table2[[#This Row],[N]]+Table2[[#This Row],[Pile 
Deviation 
N (m)]]</f>
        <v>1511736.882</v>
      </c>
      <c r="T191" s="7">
        <f>Table2[[#This Row],[E]]+Table2[[#This Row],[Pile 
Deviation 
E (m)]]</f>
        <v>693991.93200000003</v>
      </c>
      <c r="W191" s="7">
        <v>-0.67500000000000004</v>
      </c>
      <c r="X191" s="2" t="s">
        <v>37</v>
      </c>
      <c r="AA191" s="9">
        <v>46224</v>
      </c>
    </row>
    <row r="192" spans="1:27" hidden="1" x14ac:dyDescent="0.65">
      <c r="A192">
        <v>190</v>
      </c>
      <c r="B192" t="s">
        <v>29</v>
      </c>
      <c r="C192" s="6">
        <v>1511736.8870000001</v>
      </c>
      <c r="D192" s="6">
        <v>693994.228</v>
      </c>
      <c r="E192" s="2" t="s">
        <v>35</v>
      </c>
      <c r="F192" s="1">
        <v>24</v>
      </c>
      <c r="G192" s="2" t="s">
        <v>31</v>
      </c>
      <c r="J192"/>
      <c r="K192" s="19"/>
      <c r="L192" s="21"/>
      <c r="M192" s="27"/>
      <c r="N192" s="19"/>
      <c r="O192" s="21"/>
      <c r="P192" s="7">
        <v>0.28999999999999998</v>
      </c>
      <c r="Q192" s="7">
        <f>Table2[[#This Row],[Elevation
PILE TOP]]-Table2[[#This Row],[LENGTH(m.)
(Actual)]]</f>
        <v>0.28999999999999998</v>
      </c>
      <c r="R192" s="2"/>
      <c r="S192" s="7">
        <f>Table2[[#This Row],[N]]+Table2[[#This Row],[Pile 
Deviation 
N (m)]]</f>
        <v>1511736.8870000001</v>
      </c>
      <c r="T192" s="7">
        <f>Table2[[#This Row],[E]]+Table2[[#This Row],[Pile 
Deviation 
E (m)]]</f>
        <v>693994.228</v>
      </c>
      <c r="W192" s="7">
        <v>0.28999999999999998</v>
      </c>
      <c r="X192" s="2" t="s">
        <v>40</v>
      </c>
      <c r="AA192" s="9">
        <v>46225</v>
      </c>
    </row>
    <row r="193" spans="1:28" ht="13.95" hidden="1" customHeight="1" x14ac:dyDescent="0.65">
      <c r="A193">
        <v>191</v>
      </c>
      <c r="B193" t="s">
        <v>29</v>
      </c>
      <c r="C193" s="6">
        <v>1511737.773</v>
      </c>
      <c r="D193" s="6">
        <v>693996.34400000004</v>
      </c>
      <c r="E193" s="2" t="s">
        <v>30</v>
      </c>
      <c r="F193" s="1">
        <v>24</v>
      </c>
      <c r="G193" s="2" t="s">
        <v>31</v>
      </c>
      <c r="J193"/>
      <c r="K193" s="19"/>
      <c r="L193" s="21"/>
      <c r="M193" s="27"/>
      <c r="N193" s="19"/>
      <c r="O193" s="21"/>
      <c r="P193" s="7">
        <v>-0.17499999999999999</v>
      </c>
      <c r="Q193" s="7">
        <f>Table2[[#This Row],[Elevation
PILE TOP]]-Table2[[#This Row],[LENGTH(m.)
(Actual)]]</f>
        <v>-0.17499999999999999</v>
      </c>
      <c r="R193" s="2"/>
      <c r="S193" s="7">
        <f>Table2[[#This Row],[N]]+Table2[[#This Row],[Pile 
Deviation 
N (m)]]</f>
        <v>1511737.773</v>
      </c>
      <c r="T193" s="7">
        <f>Table2[[#This Row],[E]]+Table2[[#This Row],[Pile 
Deviation 
E (m)]]</f>
        <v>693996.34400000004</v>
      </c>
      <c r="W193" s="7">
        <v>-0.67500000000000004</v>
      </c>
      <c r="X193" s="2" t="s">
        <v>37</v>
      </c>
      <c r="AA193" s="9">
        <v>46225</v>
      </c>
    </row>
    <row r="194" spans="1:28" hidden="1" x14ac:dyDescent="0.65">
      <c r="A194">
        <v>192</v>
      </c>
      <c r="B194" t="s">
        <v>29</v>
      </c>
      <c r="C194" s="6">
        <v>1511737.9310000001</v>
      </c>
      <c r="D194" s="6">
        <v>693997.12800000003</v>
      </c>
      <c r="E194" s="2" t="s">
        <v>30</v>
      </c>
      <c r="F194" s="1">
        <v>24</v>
      </c>
      <c r="G194" s="2" t="s">
        <v>31</v>
      </c>
      <c r="J194"/>
      <c r="K194" s="19"/>
      <c r="L194" s="21"/>
      <c r="M194" s="27"/>
      <c r="N194" s="19"/>
      <c r="O194" s="21"/>
      <c r="P194" s="7">
        <v>-0.17499999999999999</v>
      </c>
      <c r="Q194" s="7">
        <f>Table2[[#This Row],[Elevation
PILE TOP]]-Table2[[#This Row],[LENGTH(m.)
(Actual)]]</f>
        <v>-0.17499999999999999</v>
      </c>
      <c r="R194" s="2"/>
      <c r="S194" s="7">
        <f>Table2[[#This Row],[N]]+Table2[[#This Row],[Pile 
Deviation 
N (m)]]</f>
        <v>1511737.9310000001</v>
      </c>
      <c r="T194" s="7">
        <f>Table2[[#This Row],[E]]+Table2[[#This Row],[Pile 
Deviation 
E (m)]]</f>
        <v>693997.12800000003</v>
      </c>
      <c r="W194" s="7">
        <v>-0.67500000000000004</v>
      </c>
      <c r="X194" s="2" t="s">
        <v>37</v>
      </c>
      <c r="AA194" s="9">
        <v>46225</v>
      </c>
    </row>
    <row r="195" spans="1:28" ht="13.95" hidden="1" customHeight="1" x14ac:dyDescent="0.65">
      <c r="A195">
        <v>193</v>
      </c>
      <c r="B195" t="s">
        <v>29</v>
      </c>
      <c r="C195" s="6">
        <v>1511738.2919999999</v>
      </c>
      <c r="D195" s="6">
        <v>694001.18700000003</v>
      </c>
      <c r="E195" s="2" t="s">
        <v>35</v>
      </c>
      <c r="F195" s="1">
        <v>24</v>
      </c>
      <c r="G195" s="2" t="s">
        <v>31</v>
      </c>
      <c r="J195"/>
      <c r="K195" s="19"/>
      <c r="L195" s="21"/>
      <c r="M195" s="27"/>
      <c r="N195" s="19"/>
      <c r="O195" s="21"/>
      <c r="P195" s="7">
        <v>0.28999999999999998</v>
      </c>
      <c r="Q195" s="7">
        <f>Table2[[#This Row],[Elevation
PILE TOP]]-Table2[[#This Row],[LENGTH(m.)
(Actual)]]</f>
        <v>0.28999999999999998</v>
      </c>
      <c r="R195" s="2"/>
      <c r="S195" s="7">
        <f>Table2[[#This Row],[N]]+Table2[[#This Row],[Pile 
Deviation 
N (m)]]</f>
        <v>1511738.2919999999</v>
      </c>
      <c r="T195" s="7">
        <f>Table2[[#This Row],[E]]+Table2[[#This Row],[Pile 
Deviation 
E (m)]]</f>
        <v>694001.18700000003</v>
      </c>
      <c r="W195" s="7">
        <v>0.28999999999999998</v>
      </c>
      <c r="X195" s="2" t="s">
        <v>40</v>
      </c>
      <c r="AA195" s="9">
        <v>46225</v>
      </c>
    </row>
    <row r="196" spans="1:28" hidden="1" x14ac:dyDescent="0.65">
      <c r="A196">
        <v>194</v>
      </c>
      <c r="B196" t="s">
        <v>29</v>
      </c>
      <c r="C196" s="6">
        <v>1511739.284</v>
      </c>
      <c r="D196" s="6">
        <v>694001.80299999996</v>
      </c>
      <c r="E196" s="2" t="s">
        <v>30</v>
      </c>
      <c r="F196" s="1">
        <v>24</v>
      </c>
      <c r="G196" s="2" t="s">
        <v>31</v>
      </c>
      <c r="J196"/>
      <c r="K196" s="19"/>
      <c r="L196" s="21"/>
      <c r="M196" s="27"/>
      <c r="N196" s="19"/>
      <c r="O196" s="21"/>
      <c r="P196" s="7">
        <v>-0.17499999999999999</v>
      </c>
      <c r="Q196" s="7">
        <f>Table2[[#This Row],[Elevation
PILE TOP]]-Table2[[#This Row],[LENGTH(m.)
(Actual)]]</f>
        <v>-0.17499999999999999</v>
      </c>
      <c r="R196" s="2"/>
      <c r="S196" s="7">
        <f>Table2[[#This Row],[N]]+Table2[[#This Row],[Pile 
Deviation 
N (m)]]</f>
        <v>1511739.284</v>
      </c>
      <c r="T196" s="7">
        <f>Table2[[#This Row],[E]]+Table2[[#This Row],[Pile 
Deviation 
E (m)]]</f>
        <v>694001.80299999996</v>
      </c>
      <c r="W196" s="7">
        <v>-0.67500000000000004</v>
      </c>
      <c r="X196" s="2" t="s">
        <v>33</v>
      </c>
      <c r="AA196" s="9">
        <v>46218</v>
      </c>
    </row>
    <row r="197" spans="1:28" ht="13.95" hidden="1" customHeight="1" x14ac:dyDescent="0.65">
      <c r="A197">
        <v>195</v>
      </c>
      <c r="B197" t="s">
        <v>29</v>
      </c>
      <c r="C197" s="6">
        <v>1511739.4620000001</v>
      </c>
      <c r="D197" s="6">
        <v>694002.68599999999</v>
      </c>
      <c r="E197" s="2" t="s">
        <v>30</v>
      </c>
      <c r="F197" s="1">
        <v>24</v>
      </c>
      <c r="G197" s="2" t="s">
        <v>31</v>
      </c>
      <c r="J197"/>
      <c r="K197" s="19"/>
      <c r="L197" s="21"/>
      <c r="M197" s="27"/>
      <c r="N197" s="19"/>
      <c r="O197" s="21"/>
      <c r="P197" s="7">
        <v>-0.17499999999999999</v>
      </c>
      <c r="Q197" s="7">
        <f>Table2[[#This Row],[Elevation
PILE TOP]]-Table2[[#This Row],[LENGTH(m.)
(Actual)]]</f>
        <v>-0.17499999999999999</v>
      </c>
      <c r="R197" s="2"/>
      <c r="S197" s="7">
        <f>Table2[[#This Row],[N]]+Table2[[#This Row],[Pile 
Deviation 
N (m)]]</f>
        <v>1511739.4620000001</v>
      </c>
      <c r="T197" s="7">
        <f>Table2[[#This Row],[E]]+Table2[[#This Row],[Pile 
Deviation 
E (m)]]</f>
        <v>694002.68599999999</v>
      </c>
      <c r="W197" s="7">
        <v>-0.67500000000000004</v>
      </c>
      <c r="X197" s="2" t="s">
        <v>33</v>
      </c>
      <c r="AA197" s="9">
        <v>46218</v>
      </c>
    </row>
    <row r="198" spans="1:28" hidden="1" x14ac:dyDescent="0.65">
      <c r="A198">
        <v>196</v>
      </c>
      <c r="B198" t="s">
        <v>29</v>
      </c>
      <c r="C198" s="6">
        <v>1511738.4990000001</v>
      </c>
      <c r="D198" s="6">
        <v>694001.96200000006</v>
      </c>
      <c r="E198" s="2" t="s">
        <v>30</v>
      </c>
      <c r="F198" s="1">
        <v>24</v>
      </c>
      <c r="G198" s="2" t="s">
        <v>31</v>
      </c>
      <c r="J198"/>
      <c r="K198" s="19"/>
      <c r="L198" s="21"/>
      <c r="M198" s="27"/>
      <c r="N198" s="19"/>
      <c r="O198" s="21"/>
      <c r="P198" s="7">
        <v>-0.17499999999999999</v>
      </c>
      <c r="Q198" s="7">
        <f>Table2[[#This Row],[Elevation
PILE TOP]]-Table2[[#This Row],[LENGTH(m.)
(Actual)]]</f>
        <v>-0.17499999999999999</v>
      </c>
      <c r="R198" s="2"/>
      <c r="S198" s="7">
        <f>Table2[[#This Row],[N]]+Table2[[#This Row],[Pile 
Deviation 
N (m)]]</f>
        <v>1511738.4990000001</v>
      </c>
      <c r="T198" s="7">
        <f>Table2[[#This Row],[E]]+Table2[[#This Row],[Pile 
Deviation 
E (m)]]</f>
        <v>694001.96200000006</v>
      </c>
      <c r="W198" s="7">
        <v>-0.67500000000000004</v>
      </c>
      <c r="X198" s="2" t="s">
        <v>33</v>
      </c>
      <c r="AA198" s="9">
        <v>46218</v>
      </c>
    </row>
    <row r="199" spans="1:28" ht="13.95" hidden="1" customHeight="1" x14ac:dyDescent="0.65">
      <c r="A199">
        <v>197</v>
      </c>
      <c r="B199" t="s">
        <v>29</v>
      </c>
      <c r="C199" s="6">
        <v>1511738.6769999999</v>
      </c>
      <c r="D199" s="6">
        <v>694002.84400000004</v>
      </c>
      <c r="E199" s="2" t="s">
        <v>30</v>
      </c>
      <c r="F199" s="1">
        <v>24</v>
      </c>
      <c r="G199" s="2" t="s">
        <v>31</v>
      </c>
      <c r="J199"/>
      <c r="K199" s="19"/>
      <c r="L199" s="21"/>
      <c r="M199" s="27"/>
      <c r="N199" s="19"/>
      <c r="O199" s="21"/>
      <c r="P199" s="7">
        <v>-0.17499999999999999</v>
      </c>
      <c r="Q199" s="7">
        <f>Table2[[#This Row],[Elevation
PILE TOP]]-Table2[[#This Row],[LENGTH(m.)
(Actual)]]</f>
        <v>-0.17499999999999999</v>
      </c>
      <c r="R199" s="2"/>
      <c r="S199" s="7">
        <f>Table2[[#This Row],[N]]+Table2[[#This Row],[Pile 
Deviation 
N (m)]]</f>
        <v>1511738.6769999999</v>
      </c>
      <c r="T199" s="7">
        <f>Table2[[#This Row],[E]]+Table2[[#This Row],[Pile 
Deviation 
E (m)]]</f>
        <v>694002.84400000004</v>
      </c>
      <c r="W199" s="7">
        <v>-0.67500000000000004</v>
      </c>
      <c r="X199" s="2" t="s">
        <v>33</v>
      </c>
      <c r="AA199" s="9">
        <v>46218</v>
      </c>
    </row>
    <row r="200" spans="1:28" hidden="1" x14ac:dyDescent="0.65">
      <c r="A200">
        <v>198</v>
      </c>
      <c r="B200" t="s">
        <v>29</v>
      </c>
      <c r="C200" s="6">
        <v>1511727.73</v>
      </c>
      <c r="D200" s="6">
        <v>693964.04299999995</v>
      </c>
      <c r="E200" s="2" t="s">
        <v>30</v>
      </c>
      <c r="F200" s="1">
        <v>24</v>
      </c>
      <c r="G200" s="2" t="s">
        <v>31</v>
      </c>
      <c r="J200"/>
      <c r="K200" s="19"/>
      <c r="L200" s="21"/>
      <c r="M200" s="27"/>
      <c r="N200" s="19"/>
      <c r="O200" s="21"/>
      <c r="P200" s="7">
        <v>-0.17499999999999999</v>
      </c>
      <c r="Q200" s="7">
        <f>Table2[[#This Row],[Elevation
PILE TOP]]-Table2[[#This Row],[LENGTH(m.)
(Actual)]]</f>
        <v>-0.17499999999999999</v>
      </c>
      <c r="R200" s="2"/>
      <c r="S200" s="7">
        <f>Table2[[#This Row],[N]]+Table2[[#This Row],[Pile 
Deviation 
N (m)]]</f>
        <v>1511727.73</v>
      </c>
      <c r="T200" s="7">
        <f>Table2[[#This Row],[E]]+Table2[[#This Row],[Pile 
Deviation 
E (m)]]</f>
        <v>693964.04299999995</v>
      </c>
      <c r="W200" s="7">
        <v>-0.67500000000000004</v>
      </c>
      <c r="X200" s="2" t="s">
        <v>33</v>
      </c>
      <c r="AA200" s="9">
        <v>46226</v>
      </c>
    </row>
    <row r="201" spans="1:28" ht="13.95" hidden="1" customHeight="1" x14ac:dyDescent="0.65">
      <c r="A201">
        <v>199</v>
      </c>
      <c r="B201" t="s">
        <v>29</v>
      </c>
      <c r="C201" s="6">
        <v>1511727.9080000001</v>
      </c>
      <c r="D201" s="6">
        <v>693964.92500000005</v>
      </c>
      <c r="E201" s="2" t="s">
        <v>30</v>
      </c>
      <c r="F201" s="1">
        <v>24</v>
      </c>
      <c r="G201" s="2" t="s">
        <v>31</v>
      </c>
      <c r="J201"/>
      <c r="K201" s="19"/>
      <c r="L201" s="21"/>
      <c r="M201" s="27"/>
      <c r="N201" s="19"/>
      <c r="O201" s="21"/>
      <c r="P201" s="7">
        <v>-0.17499999999999999</v>
      </c>
      <c r="Q201" s="7">
        <f>Table2[[#This Row],[Elevation
PILE TOP]]-Table2[[#This Row],[LENGTH(m.)
(Actual)]]</f>
        <v>-0.17499999999999999</v>
      </c>
      <c r="R201" s="2"/>
      <c r="S201" s="7">
        <f>Table2[[#This Row],[N]]+Table2[[#This Row],[Pile 
Deviation 
N (m)]]</f>
        <v>1511727.9080000001</v>
      </c>
      <c r="T201" s="7">
        <f>Table2[[#This Row],[E]]+Table2[[#This Row],[Pile 
Deviation 
E (m)]]</f>
        <v>693964.92500000005</v>
      </c>
      <c r="W201" s="7">
        <v>-0.67500000000000004</v>
      </c>
      <c r="X201" s="2" t="s">
        <v>33</v>
      </c>
      <c r="AA201" s="9">
        <v>46226</v>
      </c>
    </row>
    <row r="202" spans="1:28" hidden="1" x14ac:dyDescent="0.65">
      <c r="A202">
        <v>200</v>
      </c>
      <c r="B202" t="s">
        <v>29</v>
      </c>
      <c r="C202" s="6">
        <v>1511726.946</v>
      </c>
      <c r="D202" s="6">
        <v>693964.201</v>
      </c>
      <c r="E202" s="2" t="s">
        <v>30</v>
      </c>
      <c r="F202" s="1">
        <v>24</v>
      </c>
      <c r="G202" s="2" t="s">
        <v>31</v>
      </c>
      <c r="J202"/>
      <c r="K202" s="19"/>
      <c r="L202" s="21"/>
      <c r="M202" s="27"/>
      <c r="N202" s="19"/>
      <c r="O202" s="21"/>
      <c r="P202" s="7">
        <v>-0.17499999999999999</v>
      </c>
      <c r="Q202" s="7">
        <f>Table2[[#This Row],[Elevation
PILE TOP]]-Table2[[#This Row],[LENGTH(m.)
(Actual)]]</f>
        <v>-0.17499999999999999</v>
      </c>
      <c r="R202" s="2"/>
      <c r="S202" s="7">
        <f>Table2[[#This Row],[N]]+Table2[[#This Row],[Pile 
Deviation 
N (m)]]</f>
        <v>1511726.946</v>
      </c>
      <c r="T202" s="7">
        <f>Table2[[#This Row],[E]]+Table2[[#This Row],[Pile 
Deviation 
E (m)]]</f>
        <v>693964.201</v>
      </c>
      <c r="W202" s="7">
        <v>-0.67500000000000004</v>
      </c>
      <c r="X202" s="2" t="s">
        <v>33</v>
      </c>
      <c r="AA202" s="9">
        <v>46226</v>
      </c>
    </row>
    <row r="203" spans="1:28" ht="13.95" hidden="1" customHeight="1" x14ac:dyDescent="0.65">
      <c r="A203">
        <v>201</v>
      </c>
      <c r="B203" t="s">
        <v>29</v>
      </c>
      <c r="C203" s="6">
        <v>1511727.1240000001</v>
      </c>
      <c r="D203" s="6">
        <v>693965.08400000003</v>
      </c>
      <c r="E203" s="2" t="s">
        <v>30</v>
      </c>
      <c r="F203" s="1">
        <v>24</v>
      </c>
      <c r="G203" s="2" t="s">
        <v>31</v>
      </c>
      <c r="J203"/>
      <c r="K203" s="19"/>
      <c r="L203" s="21"/>
      <c r="M203" s="27"/>
      <c r="N203" s="19"/>
      <c r="O203" s="21"/>
      <c r="P203" s="7">
        <v>-0.17499999999999999</v>
      </c>
      <c r="Q203" s="7">
        <f>Table2[[#This Row],[Elevation
PILE TOP]]-Table2[[#This Row],[LENGTH(m.)
(Actual)]]</f>
        <v>-0.17499999999999999</v>
      </c>
      <c r="R203" s="2"/>
      <c r="S203" s="7">
        <f>Table2[[#This Row],[N]]+Table2[[#This Row],[Pile 
Deviation 
N (m)]]</f>
        <v>1511727.1240000001</v>
      </c>
      <c r="T203" s="7">
        <f>Table2[[#This Row],[E]]+Table2[[#This Row],[Pile 
Deviation 
E (m)]]</f>
        <v>693965.08400000003</v>
      </c>
      <c r="W203" s="7">
        <v>-0.67500000000000004</v>
      </c>
      <c r="X203" s="2" t="s">
        <v>33</v>
      </c>
      <c r="AA203" s="9">
        <v>46226</v>
      </c>
    </row>
    <row r="204" spans="1:28" hidden="1" x14ac:dyDescent="0.65">
      <c r="A204">
        <v>202</v>
      </c>
      <c r="B204" t="s">
        <v>29</v>
      </c>
      <c r="C204" s="6">
        <v>1511727.675</v>
      </c>
      <c r="D204" s="6">
        <v>693965.78899999999</v>
      </c>
      <c r="E204" s="2" t="s">
        <v>35</v>
      </c>
      <c r="F204" s="1">
        <v>24</v>
      </c>
      <c r="G204" s="2" t="s">
        <v>31</v>
      </c>
      <c r="J204"/>
      <c r="K204" s="19"/>
      <c r="L204" s="21"/>
      <c r="M204" s="27"/>
      <c r="N204" s="19"/>
      <c r="O204" s="21"/>
      <c r="P204" s="7">
        <v>0.28999999999999998</v>
      </c>
      <c r="Q204" s="7">
        <f>Table2[[#This Row],[Elevation
PILE TOP]]-Table2[[#This Row],[LENGTH(m.)
(Actual)]]</f>
        <v>0.28999999999999998</v>
      </c>
      <c r="R204" s="2"/>
      <c r="S204" s="7">
        <f>Table2[[#This Row],[N]]+Table2[[#This Row],[Pile 
Deviation 
N (m)]]</f>
        <v>1511727.675</v>
      </c>
      <c r="T204" s="7">
        <f>Table2[[#This Row],[E]]+Table2[[#This Row],[Pile 
Deviation 
E (m)]]</f>
        <v>693965.78899999999</v>
      </c>
      <c r="W204" s="7">
        <v>0.28999999999999998</v>
      </c>
      <c r="X204" s="2" t="s">
        <v>40</v>
      </c>
      <c r="AA204" s="9">
        <v>46226</v>
      </c>
    </row>
    <row r="205" spans="1:28" ht="13.95" customHeight="1" x14ac:dyDescent="0.65">
      <c r="A205">
        <v>203</v>
      </c>
      <c r="B205" t="s">
        <v>29</v>
      </c>
      <c r="C205" s="6">
        <v>1511728.9680000001</v>
      </c>
      <c r="D205" s="6">
        <v>693966.37800000003</v>
      </c>
      <c r="E205" s="2" t="s">
        <v>41</v>
      </c>
      <c r="F205" s="1">
        <v>26</v>
      </c>
      <c r="G205" s="2" t="s">
        <v>31</v>
      </c>
      <c r="J205">
        <v>5</v>
      </c>
      <c r="K205" s="19"/>
      <c r="L205" s="21">
        <v>0.40416666666666662</v>
      </c>
      <c r="M205" s="27" t="s">
        <v>32</v>
      </c>
      <c r="N205" s="19"/>
      <c r="O205" s="21">
        <v>0.47222222222222227</v>
      </c>
      <c r="P205" s="7">
        <v>0.72499999999999998</v>
      </c>
      <c r="Q205" s="7">
        <f>Table2[[#This Row],[Elevation
PILE TOP]]-Table2[[#This Row],[LENGTH(m.)
(Actual)]]</f>
        <v>-25.274999999999999</v>
      </c>
      <c r="R205" s="2">
        <v>26</v>
      </c>
      <c r="S205" s="7">
        <f>Table2[[#This Row],[N]]+Table2[[#This Row],[Pile 
Deviation 
N (m)]]</f>
        <v>1511728.9680000001</v>
      </c>
      <c r="T205" s="7">
        <f>Table2[[#This Row],[E]]+Table2[[#This Row],[Pile 
Deviation 
E (m)]]</f>
        <v>693966.37800000003</v>
      </c>
      <c r="W205" s="7">
        <v>-0.15</v>
      </c>
      <c r="X205" s="2" t="s">
        <v>42</v>
      </c>
      <c r="Y205" t="s">
        <v>43</v>
      </c>
      <c r="Z205" s="9">
        <v>46195</v>
      </c>
      <c r="AA205" s="9">
        <v>46195</v>
      </c>
      <c r="AB205">
        <v>1</v>
      </c>
    </row>
    <row r="206" spans="1:28" x14ac:dyDescent="0.65">
      <c r="A206">
        <v>204</v>
      </c>
      <c r="B206" t="s">
        <v>29</v>
      </c>
      <c r="C206" s="6">
        <v>1511730.8810000001</v>
      </c>
      <c r="D206" s="6">
        <v>693967.64800000004</v>
      </c>
      <c r="E206" s="2" t="s">
        <v>41</v>
      </c>
      <c r="F206" s="1">
        <v>26</v>
      </c>
      <c r="G206" s="2" t="s">
        <v>31</v>
      </c>
      <c r="J206"/>
      <c r="K206" s="19"/>
      <c r="L206" s="21"/>
      <c r="M206" s="27"/>
      <c r="N206" s="19"/>
      <c r="O206" s="21"/>
      <c r="P206" s="7">
        <v>0.35</v>
      </c>
      <c r="Q206" s="7">
        <f>Table2[[#This Row],[Elevation
PILE TOP]]-Table2[[#This Row],[LENGTH(m.)
(Actual)]]</f>
        <v>0.35</v>
      </c>
      <c r="R206" s="2"/>
      <c r="S206" s="7">
        <f>Table2[[#This Row],[N]]+Table2[[#This Row],[Pile 
Deviation 
N (m)]]</f>
        <v>1511730.8810000001</v>
      </c>
      <c r="T206" s="7">
        <f>Table2[[#This Row],[E]]+Table2[[#This Row],[Pile 
Deviation 
E (m)]]</f>
        <v>693967.64800000004</v>
      </c>
      <c r="W206" s="7">
        <v>-0.15</v>
      </c>
      <c r="X206" s="2" t="s">
        <v>42</v>
      </c>
      <c r="AA206" s="9">
        <v>46195</v>
      </c>
    </row>
    <row r="207" spans="1:28" ht="13.95" customHeight="1" x14ac:dyDescent="0.65">
      <c r="A207">
        <v>205</v>
      </c>
      <c r="B207" t="s">
        <v>29</v>
      </c>
      <c r="C207" s="6">
        <v>1511731.3359999999</v>
      </c>
      <c r="D207" s="6">
        <v>693969.89899999998</v>
      </c>
      <c r="E207" s="2" t="s">
        <v>41</v>
      </c>
      <c r="F207" s="1">
        <v>26</v>
      </c>
      <c r="G207" s="2" t="s">
        <v>31</v>
      </c>
      <c r="J207"/>
      <c r="K207" s="19"/>
      <c r="L207" s="21"/>
      <c r="M207" s="27"/>
      <c r="N207" s="19"/>
      <c r="O207" s="21"/>
      <c r="P207" s="7">
        <v>0.35</v>
      </c>
      <c r="Q207" s="7">
        <f>Table2[[#This Row],[Elevation
PILE TOP]]-Table2[[#This Row],[LENGTH(m.)
(Actual)]]</f>
        <v>0.35</v>
      </c>
      <c r="R207" s="2"/>
      <c r="S207" s="7">
        <f>Table2[[#This Row],[N]]+Table2[[#This Row],[Pile 
Deviation 
N (m)]]</f>
        <v>1511731.3359999999</v>
      </c>
      <c r="T207" s="7">
        <f>Table2[[#This Row],[E]]+Table2[[#This Row],[Pile 
Deviation 
E (m)]]</f>
        <v>693969.89899999998</v>
      </c>
      <c r="W207" s="7">
        <v>-0.15</v>
      </c>
      <c r="X207" s="2" t="s">
        <v>42</v>
      </c>
      <c r="AA207" s="9">
        <v>46196</v>
      </c>
    </row>
    <row r="208" spans="1:28" x14ac:dyDescent="0.65">
      <c r="A208">
        <v>206</v>
      </c>
      <c r="B208" t="s">
        <v>29</v>
      </c>
      <c r="C208" s="6">
        <v>1511730.0660000001</v>
      </c>
      <c r="D208" s="6">
        <v>693971.81099999999</v>
      </c>
      <c r="E208" s="2" t="s">
        <v>41</v>
      </c>
      <c r="F208" s="1">
        <v>26</v>
      </c>
      <c r="G208" s="2" t="s">
        <v>31</v>
      </c>
      <c r="J208"/>
      <c r="K208" s="19"/>
      <c r="L208" s="21"/>
      <c r="M208" s="27"/>
      <c r="N208" s="19"/>
      <c r="O208" s="21"/>
      <c r="P208" s="7">
        <v>0.35</v>
      </c>
      <c r="Q208" s="7">
        <f>Table2[[#This Row],[Elevation
PILE TOP]]-Table2[[#This Row],[LENGTH(m.)
(Actual)]]</f>
        <v>0.35</v>
      </c>
      <c r="R208" s="2"/>
      <c r="S208" s="7">
        <f>Table2[[#This Row],[N]]+Table2[[#This Row],[Pile 
Deviation 
N (m)]]</f>
        <v>1511730.0660000001</v>
      </c>
      <c r="T208" s="7">
        <f>Table2[[#This Row],[E]]+Table2[[#This Row],[Pile 
Deviation 
E (m)]]</f>
        <v>693971.81099999999</v>
      </c>
      <c r="W208" s="7">
        <v>-0.15</v>
      </c>
      <c r="X208" s="2" t="s">
        <v>42</v>
      </c>
      <c r="AA208" s="9">
        <v>46196</v>
      </c>
    </row>
    <row r="209" spans="1:28" ht="13.95" customHeight="1" x14ac:dyDescent="0.65">
      <c r="A209">
        <v>207</v>
      </c>
      <c r="B209" t="s">
        <v>29</v>
      </c>
      <c r="C209" s="6">
        <v>1511727.8149999999</v>
      </c>
      <c r="D209" s="6">
        <v>693972.26599999995</v>
      </c>
      <c r="E209" s="2" t="s">
        <v>41</v>
      </c>
      <c r="F209" s="1">
        <v>26</v>
      </c>
      <c r="G209" s="2" t="s">
        <v>31</v>
      </c>
      <c r="J209">
        <v>5</v>
      </c>
      <c r="K209" s="19"/>
      <c r="L209" s="21">
        <v>0.48888888888888887</v>
      </c>
      <c r="M209" s="27" t="s">
        <v>32</v>
      </c>
      <c r="N209" s="19"/>
      <c r="O209" s="21">
        <v>0.56666666666666665</v>
      </c>
      <c r="P209" s="7">
        <v>0.72599999999999998</v>
      </c>
      <c r="Q209" s="7">
        <f>Table2[[#This Row],[Elevation
PILE TOP]]-Table2[[#This Row],[LENGTH(m.)
(Actual)]]</f>
        <v>-25.274000000000001</v>
      </c>
      <c r="R209" s="2">
        <v>26</v>
      </c>
      <c r="S209" s="7">
        <f>Table2[[#This Row],[N]]+Table2[[#This Row],[Pile 
Deviation 
N (m)]]</f>
        <v>1511727.8149999999</v>
      </c>
      <c r="T209" s="7">
        <f>Table2[[#This Row],[E]]+Table2[[#This Row],[Pile 
Deviation 
E (m)]]</f>
        <v>693972.26599999995</v>
      </c>
      <c r="W209" s="7">
        <v>-0.15</v>
      </c>
      <c r="X209" s="2" t="s">
        <v>42</v>
      </c>
      <c r="Y209" t="s">
        <v>43</v>
      </c>
      <c r="Z209" s="9">
        <v>46195</v>
      </c>
      <c r="AA209" s="9">
        <v>46196</v>
      </c>
      <c r="AB209">
        <v>2</v>
      </c>
    </row>
    <row r="210" spans="1:28" x14ac:dyDescent="0.65">
      <c r="A210">
        <v>208</v>
      </c>
      <c r="B210" t="s">
        <v>29</v>
      </c>
      <c r="C210" s="6">
        <v>1511725.902</v>
      </c>
      <c r="D210" s="6">
        <v>693970.99600000004</v>
      </c>
      <c r="E210" s="2" t="s">
        <v>41</v>
      </c>
      <c r="F210" s="1">
        <v>26</v>
      </c>
      <c r="G210" s="2" t="s">
        <v>31</v>
      </c>
      <c r="J210"/>
      <c r="K210" s="19"/>
      <c r="L210" s="21"/>
      <c r="M210" s="27"/>
      <c r="N210" s="19"/>
      <c r="O210" s="21"/>
      <c r="P210" s="7">
        <v>0.35</v>
      </c>
      <c r="Q210" s="7">
        <f>Table2[[#This Row],[Elevation
PILE TOP]]-Table2[[#This Row],[LENGTH(m.)
(Actual)]]</f>
        <v>0.35</v>
      </c>
      <c r="R210" s="2"/>
      <c r="S210" s="7">
        <f>Table2[[#This Row],[N]]+Table2[[#This Row],[Pile 
Deviation 
N (m)]]</f>
        <v>1511725.902</v>
      </c>
      <c r="T210" s="7">
        <f>Table2[[#This Row],[E]]+Table2[[#This Row],[Pile 
Deviation 
E (m)]]</f>
        <v>693970.99600000004</v>
      </c>
      <c r="W210" s="7">
        <v>-0.15</v>
      </c>
      <c r="X210" s="2" t="s">
        <v>42</v>
      </c>
      <c r="AA210" s="9">
        <v>46196</v>
      </c>
    </row>
    <row r="211" spans="1:28" ht="13.95" customHeight="1" x14ac:dyDescent="0.65">
      <c r="A211">
        <v>209</v>
      </c>
      <c r="B211" t="s">
        <v>29</v>
      </c>
      <c r="C211" s="6">
        <v>1511725.4480000001</v>
      </c>
      <c r="D211" s="6">
        <v>693968.745</v>
      </c>
      <c r="E211" s="2" t="s">
        <v>41</v>
      </c>
      <c r="F211" s="1">
        <v>26</v>
      </c>
      <c r="G211" s="2" t="s">
        <v>31</v>
      </c>
      <c r="J211"/>
      <c r="K211" s="19"/>
      <c r="L211" s="21"/>
      <c r="M211" s="27"/>
      <c r="N211" s="19"/>
      <c r="O211" s="21"/>
      <c r="P211" s="7">
        <v>0.35</v>
      </c>
      <c r="Q211" s="7">
        <f>Table2[[#This Row],[Elevation
PILE TOP]]-Table2[[#This Row],[LENGTH(m.)
(Actual)]]</f>
        <v>0.35</v>
      </c>
      <c r="R211" s="2"/>
      <c r="S211" s="7">
        <f>Table2[[#This Row],[N]]+Table2[[#This Row],[Pile 
Deviation 
N (m)]]</f>
        <v>1511725.4480000001</v>
      </c>
      <c r="T211" s="7">
        <f>Table2[[#This Row],[E]]+Table2[[#This Row],[Pile 
Deviation 
E (m)]]</f>
        <v>693968.745</v>
      </c>
      <c r="W211" s="7">
        <v>-0.15</v>
      </c>
      <c r="X211" s="2" t="s">
        <v>42</v>
      </c>
      <c r="AA211" s="9">
        <v>46195</v>
      </c>
    </row>
    <row r="212" spans="1:28" x14ac:dyDescent="0.65">
      <c r="A212">
        <v>210</v>
      </c>
      <c r="B212" t="s">
        <v>29</v>
      </c>
      <c r="C212" s="6">
        <v>1511726.7180000001</v>
      </c>
      <c r="D212" s="6">
        <v>693966.83200000005</v>
      </c>
      <c r="E212" s="2" t="s">
        <v>41</v>
      </c>
      <c r="F212" s="1">
        <v>26</v>
      </c>
      <c r="G212" s="2" t="s">
        <v>31</v>
      </c>
      <c r="J212">
        <v>5</v>
      </c>
      <c r="K212" s="19"/>
      <c r="L212" s="21">
        <v>0.58333333333333337</v>
      </c>
      <c r="M212" s="27" t="s">
        <v>32</v>
      </c>
      <c r="N212" s="19"/>
      <c r="O212" s="21">
        <v>0.65902777777777777</v>
      </c>
      <c r="P212" s="7">
        <v>1.298</v>
      </c>
      <c r="Q212" s="7">
        <f>Table2[[#This Row],[Elevation
PILE TOP]]-Table2[[#This Row],[LENGTH(m.)
(Actual)]]</f>
        <v>-24.701999999999998</v>
      </c>
      <c r="R212" s="2">
        <v>26</v>
      </c>
      <c r="S212" s="7">
        <f>Table2[[#This Row],[N]]+Table2[[#This Row],[Pile 
Deviation 
N (m)]]</f>
        <v>1511726.7180000001</v>
      </c>
      <c r="T212" s="7">
        <f>Table2[[#This Row],[E]]+Table2[[#This Row],[Pile 
Deviation 
E (m)]]</f>
        <v>693966.83200000005</v>
      </c>
      <c r="W212" s="7">
        <v>-0.15</v>
      </c>
      <c r="X212" s="2" t="s">
        <v>42</v>
      </c>
      <c r="Y212" t="s">
        <v>43</v>
      </c>
      <c r="Z212" s="9">
        <v>46195</v>
      </c>
      <c r="AA212" s="9">
        <v>46195</v>
      </c>
      <c r="AB212">
        <v>3</v>
      </c>
    </row>
    <row r="213" spans="1:28" ht="13.95" customHeight="1" x14ac:dyDescent="0.65">
      <c r="A213">
        <v>211</v>
      </c>
      <c r="B213" t="s">
        <v>29</v>
      </c>
      <c r="C213" s="6">
        <v>1511728.4069999999</v>
      </c>
      <c r="D213" s="6">
        <v>693969.41599999997</v>
      </c>
      <c r="E213" s="2" t="s">
        <v>35</v>
      </c>
      <c r="F213" s="1">
        <v>24</v>
      </c>
      <c r="G213" s="2" t="s">
        <v>31</v>
      </c>
      <c r="J213"/>
      <c r="K213" s="19"/>
      <c r="L213" s="21"/>
      <c r="M213" s="27"/>
      <c r="N213" s="19"/>
      <c r="O213" s="21"/>
      <c r="P213" s="7">
        <v>0.28999999999999998</v>
      </c>
      <c r="Q213" s="7">
        <f>Table2[[#This Row],[Elevation
PILE TOP]]-Table2[[#This Row],[LENGTH(m.)
(Actual)]]</f>
        <v>0.28999999999999998</v>
      </c>
      <c r="R213" s="2"/>
      <c r="S213" s="7">
        <f>Table2[[#This Row],[N]]+Table2[[#This Row],[Pile 
Deviation 
N (m)]]</f>
        <v>1511728.4069999999</v>
      </c>
      <c r="T213" s="7">
        <f>Table2[[#This Row],[E]]+Table2[[#This Row],[Pile 
Deviation 
E (m)]]</f>
        <v>693969.41599999997</v>
      </c>
      <c r="W213" s="7">
        <v>0.28999999999999998</v>
      </c>
      <c r="X213" s="2" t="s">
        <v>40</v>
      </c>
      <c r="AA213" s="9">
        <v>46195</v>
      </c>
    </row>
    <row r="214" spans="1:28" x14ac:dyDescent="0.65">
      <c r="A214">
        <v>212</v>
      </c>
      <c r="B214" t="s">
        <v>29</v>
      </c>
      <c r="C214" s="6">
        <v>1511729.08</v>
      </c>
      <c r="D214" s="6">
        <v>693972.74800000002</v>
      </c>
      <c r="E214" s="2" t="s">
        <v>35</v>
      </c>
      <c r="F214" s="1">
        <v>24</v>
      </c>
      <c r="G214" s="2" t="s">
        <v>31</v>
      </c>
      <c r="J214"/>
      <c r="K214" s="19"/>
      <c r="L214" s="21"/>
      <c r="M214" s="27"/>
      <c r="N214" s="19"/>
      <c r="O214" s="21"/>
      <c r="P214" s="7">
        <v>0.28999999999999998</v>
      </c>
      <c r="Q214" s="7">
        <f>Table2[[#This Row],[Elevation
PILE TOP]]-Table2[[#This Row],[LENGTH(m.)
(Actual)]]</f>
        <v>0.28999999999999998</v>
      </c>
      <c r="R214" s="2"/>
      <c r="S214" s="7">
        <f>Table2[[#This Row],[N]]+Table2[[#This Row],[Pile 
Deviation 
N (m)]]</f>
        <v>1511729.08</v>
      </c>
      <c r="T214" s="7">
        <f>Table2[[#This Row],[E]]+Table2[[#This Row],[Pile 
Deviation 
E (m)]]</f>
        <v>693972.74800000002</v>
      </c>
      <c r="W214" s="7">
        <v>0.28999999999999998</v>
      </c>
      <c r="X214" s="2" t="s">
        <v>40</v>
      </c>
      <c r="AA214" s="9">
        <v>46196</v>
      </c>
    </row>
    <row r="215" spans="1:28" ht="13.95" customHeight="1" x14ac:dyDescent="0.65">
      <c r="A215">
        <v>213</v>
      </c>
      <c r="B215" t="s">
        <v>29</v>
      </c>
      <c r="C215" s="6">
        <v>1511730.3149999999</v>
      </c>
      <c r="D215" s="6">
        <v>693973.04700000002</v>
      </c>
      <c r="E215" s="2" t="s">
        <v>41</v>
      </c>
      <c r="F215" s="1">
        <v>26</v>
      </c>
      <c r="G215" s="2" t="s">
        <v>31</v>
      </c>
      <c r="J215"/>
      <c r="K215" s="19"/>
      <c r="L215" s="21"/>
      <c r="M215" s="27"/>
      <c r="N215" s="19"/>
      <c r="O215" s="21"/>
      <c r="P215" s="7">
        <v>0.35</v>
      </c>
      <c r="Q215" s="7">
        <f>Table2[[#This Row],[Elevation
PILE TOP]]-Table2[[#This Row],[LENGTH(m.)
(Actual)]]</f>
        <v>0.35</v>
      </c>
      <c r="R215" s="2"/>
      <c r="S215" s="7">
        <f>Table2[[#This Row],[N]]+Table2[[#This Row],[Pile 
Deviation 
N (m)]]</f>
        <v>1511730.3149999999</v>
      </c>
      <c r="T215" s="7">
        <f>Table2[[#This Row],[E]]+Table2[[#This Row],[Pile 
Deviation 
E (m)]]</f>
        <v>693973.04700000002</v>
      </c>
      <c r="W215" s="7">
        <v>-0.15</v>
      </c>
      <c r="X215" s="2" t="s">
        <v>42</v>
      </c>
      <c r="AA215" s="9">
        <v>46196</v>
      </c>
    </row>
    <row r="216" spans="1:28" x14ac:dyDescent="0.65">
      <c r="A216">
        <v>214</v>
      </c>
      <c r="B216" t="s">
        <v>29</v>
      </c>
      <c r="C216" s="6">
        <v>1511732.2279999999</v>
      </c>
      <c r="D216" s="6">
        <v>693974.31700000004</v>
      </c>
      <c r="E216" s="2" t="s">
        <v>41</v>
      </c>
      <c r="F216" s="1">
        <v>26</v>
      </c>
      <c r="G216" s="2" t="s">
        <v>31</v>
      </c>
      <c r="J216"/>
      <c r="K216" s="19"/>
      <c r="L216" s="21"/>
      <c r="M216" s="27"/>
      <c r="N216" s="19"/>
      <c r="O216" s="21"/>
      <c r="P216" s="7">
        <v>0.35</v>
      </c>
      <c r="Q216" s="7">
        <f>Table2[[#This Row],[Elevation
PILE TOP]]-Table2[[#This Row],[LENGTH(m.)
(Actual)]]</f>
        <v>0.35</v>
      </c>
      <c r="R216" s="2"/>
      <c r="S216" s="7">
        <f>Table2[[#This Row],[N]]+Table2[[#This Row],[Pile 
Deviation 
N (m)]]</f>
        <v>1511732.2279999999</v>
      </c>
      <c r="T216" s="7">
        <f>Table2[[#This Row],[E]]+Table2[[#This Row],[Pile 
Deviation 
E (m)]]</f>
        <v>693974.31700000004</v>
      </c>
      <c r="W216" s="7">
        <v>-0.15</v>
      </c>
      <c r="X216" s="2" t="s">
        <v>42</v>
      </c>
      <c r="AA216" s="9">
        <v>46196</v>
      </c>
    </row>
    <row r="217" spans="1:28" ht="13.95" customHeight="1" x14ac:dyDescent="0.65">
      <c r="A217">
        <v>215</v>
      </c>
      <c r="B217" t="s">
        <v>29</v>
      </c>
      <c r="C217" s="6">
        <v>1511732.683</v>
      </c>
      <c r="D217" s="6">
        <v>693976.56799999997</v>
      </c>
      <c r="E217" s="2" t="s">
        <v>41</v>
      </c>
      <c r="F217" s="1">
        <v>26</v>
      </c>
      <c r="G217" s="2" t="s">
        <v>31</v>
      </c>
      <c r="J217"/>
      <c r="K217" s="19"/>
      <c r="L217" s="21"/>
      <c r="M217" s="27"/>
      <c r="N217" s="19"/>
      <c r="O217" s="21"/>
      <c r="P217" s="7">
        <v>0.35</v>
      </c>
      <c r="Q217" s="7">
        <f>Table2[[#This Row],[Elevation
PILE TOP]]-Table2[[#This Row],[LENGTH(m.)
(Actual)]]</f>
        <v>0.35</v>
      </c>
      <c r="R217" s="2"/>
      <c r="S217" s="7">
        <f>Table2[[#This Row],[N]]+Table2[[#This Row],[Pile 
Deviation 
N (m)]]</f>
        <v>1511732.683</v>
      </c>
      <c r="T217" s="7">
        <f>Table2[[#This Row],[E]]+Table2[[#This Row],[Pile 
Deviation 
E (m)]]</f>
        <v>693976.56799999997</v>
      </c>
      <c r="W217" s="7">
        <v>-0.15</v>
      </c>
      <c r="X217" s="2" t="s">
        <v>42</v>
      </c>
      <c r="AA217" s="9">
        <v>46197</v>
      </c>
    </row>
    <row r="218" spans="1:28" x14ac:dyDescent="0.65">
      <c r="A218">
        <v>216</v>
      </c>
      <c r="B218" t="s">
        <v>29</v>
      </c>
      <c r="C218" s="6">
        <v>1511731.4129999999</v>
      </c>
      <c r="D218" s="6">
        <v>693978.48100000003</v>
      </c>
      <c r="E218" s="2" t="s">
        <v>41</v>
      </c>
      <c r="F218" s="1">
        <v>26</v>
      </c>
      <c r="G218" s="2" t="s">
        <v>31</v>
      </c>
      <c r="J218"/>
      <c r="K218" s="19"/>
      <c r="L218" s="21"/>
      <c r="M218" s="27"/>
      <c r="N218" s="19"/>
      <c r="O218" s="21"/>
      <c r="P218" s="7">
        <v>0.35</v>
      </c>
      <c r="Q218" s="7">
        <f>Table2[[#This Row],[Elevation
PILE TOP]]-Table2[[#This Row],[LENGTH(m.)
(Actual)]]</f>
        <v>0.35</v>
      </c>
      <c r="R218" s="2"/>
      <c r="S218" s="7">
        <f>Table2[[#This Row],[N]]+Table2[[#This Row],[Pile 
Deviation 
N (m)]]</f>
        <v>1511731.4129999999</v>
      </c>
      <c r="T218" s="7">
        <f>Table2[[#This Row],[E]]+Table2[[#This Row],[Pile 
Deviation 
E (m)]]</f>
        <v>693978.48100000003</v>
      </c>
      <c r="W218" s="7">
        <v>-0.15</v>
      </c>
      <c r="X218" s="2" t="s">
        <v>42</v>
      </c>
      <c r="AA218" s="9">
        <v>46198</v>
      </c>
    </row>
    <row r="219" spans="1:28" ht="13.95" customHeight="1" x14ac:dyDescent="0.65">
      <c r="A219">
        <v>217</v>
      </c>
      <c r="B219" t="s">
        <v>29</v>
      </c>
      <c r="C219" s="6">
        <v>1511729.162</v>
      </c>
      <c r="D219" s="6">
        <v>693978.93599999999</v>
      </c>
      <c r="E219" s="2" t="s">
        <v>41</v>
      </c>
      <c r="F219" s="1">
        <v>26</v>
      </c>
      <c r="G219" s="2" t="s">
        <v>31</v>
      </c>
      <c r="J219"/>
      <c r="K219" s="19"/>
      <c r="L219" s="21"/>
      <c r="M219" s="27"/>
      <c r="N219" s="19"/>
      <c r="O219" s="21"/>
      <c r="P219" s="7">
        <v>0.35</v>
      </c>
      <c r="Q219" s="7">
        <f>Table2[[#This Row],[Elevation
PILE TOP]]-Table2[[#This Row],[LENGTH(m.)
(Actual)]]</f>
        <v>0.35</v>
      </c>
      <c r="R219" s="2"/>
      <c r="S219" s="7">
        <f>Table2[[#This Row],[N]]+Table2[[#This Row],[Pile 
Deviation 
N (m)]]</f>
        <v>1511729.162</v>
      </c>
      <c r="T219" s="7">
        <f>Table2[[#This Row],[E]]+Table2[[#This Row],[Pile 
Deviation 
E (m)]]</f>
        <v>693978.93599999999</v>
      </c>
      <c r="W219" s="7">
        <v>-0.15</v>
      </c>
      <c r="X219" s="2" t="s">
        <v>42</v>
      </c>
      <c r="AA219" s="9">
        <v>46198</v>
      </c>
    </row>
    <row r="220" spans="1:28" x14ac:dyDescent="0.65">
      <c r="A220">
        <v>218</v>
      </c>
      <c r="B220" t="s">
        <v>29</v>
      </c>
      <c r="C220" s="6">
        <v>1511727.2490000001</v>
      </c>
      <c r="D220" s="6">
        <v>693977.66500000004</v>
      </c>
      <c r="E220" s="2" t="s">
        <v>41</v>
      </c>
      <c r="F220" s="1">
        <v>26</v>
      </c>
      <c r="G220" s="2" t="s">
        <v>31</v>
      </c>
      <c r="J220"/>
      <c r="K220" s="19"/>
      <c r="L220" s="21"/>
      <c r="M220" s="27"/>
      <c r="N220" s="19"/>
      <c r="O220" s="21"/>
      <c r="P220" s="7">
        <v>0.35</v>
      </c>
      <c r="Q220" s="7">
        <f>Table2[[#This Row],[Elevation
PILE TOP]]-Table2[[#This Row],[LENGTH(m.)
(Actual)]]</f>
        <v>0.35</v>
      </c>
      <c r="R220" s="2"/>
      <c r="S220" s="7">
        <f>Table2[[#This Row],[N]]+Table2[[#This Row],[Pile 
Deviation 
N (m)]]</f>
        <v>1511727.2490000001</v>
      </c>
      <c r="T220" s="7">
        <f>Table2[[#This Row],[E]]+Table2[[#This Row],[Pile 
Deviation 
E (m)]]</f>
        <v>693977.66500000004</v>
      </c>
      <c r="W220" s="7">
        <v>-0.15</v>
      </c>
      <c r="X220" s="2" t="s">
        <v>42</v>
      </c>
      <c r="AA220" s="9">
        <v>46197</v>
      </c>
    </row>
    <row r="221" spans="1:28" ht="13.95" customHeight="1" x14ac:dyDescent="0.65">
      <c r="A221">
        <v>219</v>
      </c>
      <c r="B221" t="s">
        <v>29</v>
      </c>
      <c r="C221" s="6">
        <v>1511726.7949999999</v>
      </c>
      <c r="D221" s="6">
        <v>693975.41500000004</v>
      </c>
      <c r="E221" s="2" t="s">
        <v>41</v>
      </c>
      <c r="F221" s="1">
        <v>26</v>
      </c>
      <c r="G221" s="2" t="s">
        <v>31</v>
      </c>
      <c r="J221"/>
      <c r="K221" s="19"/>
      <c r="L221" s="21"/>
      <c r="M221" s="27"/>
      <c r="N221" s="19"/>
      <c r="O221" s="21"/>
      <c r="P221" s="7">
        <v>0.35</v>
      </c>
      <c r="Q221" s="7">
        <f>Table2[[#This Row],[Elevation
PILE TOP]]-Table2[[#This Row],[LENGTH(m.)
(Actual)]]</f>
        <v>0.35</v>
      </c>
      <c r="R221" s="2"/>
      <c r="S221" s="7">
        <f>Table2[[#This Row],[N]]+Table2[[#This Row],[Pile 
Deviation 
N (m)]]</f>
        <v>1511726.7949999999</v>
      </c>
      <c r="T221" s="7">
        <f>Table2[[#This Row],[E]]+Table2[[#This Row],[Pile 
Deviation 
E (m)]]</f>
        <v>693975.41500000004</v>
      </c>
      <c r="W221" s="7">
        <v>-0.15</v>
      </c>
      <c r="X221" s="2" t="s">
        <v>42</v>
      </c>
      <c r="AA221" s="9">
        <v>46197</v>
      </c>
    </row>
    <row r="222" spans="1:28" x14ac:dyDescent="0.65">
      <c r="A222">
        <v>220</v>
      </c>
      <c r="B222" t="s">
        <v>29</v>
      </c>
      <c r="C222" s="6">
        <v>1511728.0649999999</v>
      </c>
      <c r="D222" s="6">
        <v>693973.50199999998</v>
      </c>
      <c r="E222" s="2" t="s">
        <v>41</v>
      </c>
      <c r="F222" s="1">
        <v>26</v>
      </c>
      <c r="G222" s="2" t="s">
        <v>31</v>
      </c>
      <c r="J222"/>
      <c r="K222" s="19"/>
      <c r="L222" s="21"/>
      <c r="M222" s="27"/>
      <c r="N222" s="19"/>
      <c r="O222" s="21"/>
      <c r="P222" s="7">
        <v>0.35</v>
      </c>
      <c r="Q222" s="7">
        <f>Table2[[#This Row],[Elevation
PILE TOP]]-Table2[[#This Row],[LENGTH(m.)
(Actual)]]</f>
        <v>0.35</v>
      </c>
      <c r="R222" s="2"/>
      <c r="S222" s="7">
        <f>Table2[[#This Row],[N]]+Table2[[#This Row],[Pile 
Deviation 
N (m)]]</f>
        <v>1511728.0649999999</v>
      </c>
      <c r="T222" s="7">
        <f>Table2[[#This Row],[E]]+Table2[[#This Row],[Pile 
Deviation 
E (m)]]</f>
        <v>693973.50199999998</v>
      </c>
      <c r="W222" s="7">
        <v>-0.15</v>
      </c>
      <c r="X222" s="2" t="s">
        <v>42</v>
      </c>
      <c r="AA222" s="9">
        <v>46196</v>
      </c>
    </row>
    <row r="223" spans="1:28" ht="13.95" customHeight="1" x14ac:dyDescent="0.65">
      <c r="A223">
        <v>221</v>
      </c>
      <c r="B223" t="s">
        <v>29</v>
      </c>
      <c r="C223" s="6">
        <v>1511729.753</v>
      </c>
      <c r="D223" s="6">
        <v>693976.08100000001</v>
      </c>
      <c r="E223" s="2" t="s">
        <v>35</v>
      </c>
      <c r="F223" s="1">
        <v>24</v>
      </c>
      <c r="G223" s="2" t="s">
        <v>31</v>
      </c>
      <c r="J223"/>
      <c r="K223" s="19"/>
      <c r="L223" s="21"/>
      <c r="M223" s="27"/>
      <c r="N223" s="19"/>
      <c r="O223" s="21"/>
      <c r="P223" s="7">
        <v>0.28999999999999998</v>
      </c>
      <c r="Q223" s="7">
        <f>Table2[[#This Row],[Elevation
PILE TOP]]-Table2[[#This Row],[LENGTH(m.)
(Actual)]]</f>
        <v>0.28999999999999998</v>
      </c>
      <c r="R223" s="2"/>
      <c r="S223" s="7">
        <f>Table2[[#This Row],[N]]+Table2[[#This Row],[Pile 
Deviation 
N (m)]]</f>
        <v>1511729.753</v>
      </c>
      <c r="T223" s="7">
        <f>Table2[[#This Row],[E]]+Table2[[#This Row],[Pile 
Deviation 
E (m)]]</f>
        <v>693976.08100000001</v>
      </c>
      <c r="W223" s="7">
        <v>0.28999999999999998</v>
      </c>
      <c r="X223" s="2" t="s">
        <v>40</v>
      </c>
      <c r="AA223" s="9">
        <v>46197</v>
      </c>
    </row>
    <row r="224" spans="1:28" x14ac:dyDescent="0.65">
      <c r="A224">
        <v>222</v>
      </c>
      <c r="B224" t="s">
        <v>29</v>
      </c>
      <c r="C224" s="6">
        <v>1511730.426</v>
      </c>
      <c r="D224" s="6">
        <v>693979.41399999999</v>
      </c>
      <c r="E224" s="2" t="s">
        <v>35</v>
      </c>
      <c r="F224" s="1">
        <v>24</v>
      </c>
      <c r="G224" s="2" t="s">
        <v>31</v>
      </c>
      <c r="J224"/>
      <c r="K224" s="19"/>
      <c r="L224" s="21"/>
      <c r="M224" s="27"/>
      <c r="N224" s="19"/>
      <c r="O224" s="21"/>
      <c r="P224" s="7">
        <v>0.28999999999999998</v>
      </c>
      <c r="Q224" s="7">
        <f>Table2[[#This Row],[Elevation
PILE TOP]]-Table2[[#This Row],[LENGTH(m.)
(Actual)]]</f>
        <v>0.28999999999999998</v>
      </c>
      <c r="R224" s="2"/>
      <c r="S224" s="7">
        <f>Table2[[#This Row],[N]]+Table2[[#This Row],[Pile 
Deviation 
N (m)]]</f>
        <v>1511730.426</v>
      </c>
      <c r="T224" s="7">
        <f>Table2[[#This Row],[E]]+Table2[[#This Row],[Pile 
Deviation 
E (m)]]</f>
        <v>693979.41399999999</v>
      </c>
      <c r="W224" s="7">
        <v>0.28999999999999998</v>
      </c>
      <c r="X224" s="2" t="s">
        <v>40</v>
      </c>
      <c r="AA224" s="9">
        <v>46198</v>
      </c>
    </row>
    <row r="225" spans="1:27" ht="13.95" customHeight="1" x14ac:dyDescent="0.65">
      <c r="A225">
        <v>223</v>
      </c>
      <c r="B225" t="s">
        <v>29</v>
      </c>
      <c r="C225" s="6">
        <v>1511731.6610000001</v>
      </c>
      <c r="D225" s="6">
        <v>693979.71200000006</v>
      </c>
      <c r="E225" s="2" t="s">
        <v>41</v>
      </c>
      <c r="F225" s="1">
        <v>26</v>
      </c>
      <c r="G225" s="2" t="s">
        <v>31</v>
      </c>
      <c r="J225"/>
      <c r="K225" s="19"/>
      <c r="L225" s="21"/>
      <c r="M225" s="27"/>
      <c r="N225" s="19"/>
      <c r="O225" s="21"/>
      <c r="P225" s="7">
        <v>0.35</v>
      </c>
      <c r="Q225" s="7">
        <f>Table2[[#This Row],[Elevation
PILE TOP]]-Table2[[#This Row],[LENGTH(m.)
(Actual)]]</f>
        <v>0.35</v>
      </c>
      <c r="R225" s="2"/>
      <c r="S225" s="7">
        <f>Table2[[#This Row],[N]]+Table2[[#This Row],[Pile 
Deviation 
N (m)]]</f>
        <v>1511731.6610000001</v>
      </c>
      <c r="T225" s="7">
        <f>Table2[[#This Row],[E]]+Table2[[#This Row],[Pile 
Deviation 
E (m)]]</f>
        <v>693979.71200000006</v>
      </c>
      <c r="W225" s="7">
        <v>-0.15</v>
      </c>
      <c r="X225" s="2" t="s">
        <v>42</v>
      </c>
      <c r="AA225" s="9">
        <v>46198</v>
      </c>
    </row>
    <row r="226" spans="1:27" x14ac:dyDescent="0.65">
      <c r="A226">
        <v>224</v>
      </c>
      <c r="B226" t="s">
        <v>29</v>
      </c>
      <c r="C226" s="6">
        <v>1511733.574</v>
      </c>
      <c r="D226" s="6">
        <v>693980.98199999996</v>
      </c>
      <c r="E226" s="2" t="s">
        <v>41</v>
      </c>
      <c r="F226" s="1">
        <v>26</v>
      </c>
      <c r="G226" s="2" t="s">
        <v>31</v>
      </c>
      <c r="J226"/>
      <c r="K226" s="19"/>
      <c r="L226" s="21"/>
      <c r="M226" s="27"/>
      <c r="N226" s="19"/>
      <c r="O226" s="21"/>
      <c r="P226" s="7">
        <v>0.35</v>
      </c>
      <c r="Q226" s="7">
        <f>Table2[[#This Row],[Elevation
PILE TOP]]-Table2[[#This Row],[LENGTH(m.)
(Actual)]]</f>
        <v>0.35</v>
      </c>
      <c r="R226" s="2"/>
      <c r="S226" s="7">
        <f>Table2[[#This Row],[N]]+Table2[[#This Row],[Pile 
Deviation 
N (m)]]</f>
        <v>1511733.574</v>
      </c>
      <c r="T226" s="7">
        <f>Table2[[#This Row],[E]]+Table2[[#This Row],[Pile 
Deviation 
E (m)]]</f>
        <v>693980.98199999996</v>
      </c>
      <c r="W226" s="7">
        <v>-0.15</v>
      </c>
      <c r="X226" s="2" t="s">
        <v>42</v>
      </c>
      <c r="AA226" s="9">
        <v>46198</v>
      </c>
    </row>
    <row r="227" spans="1:27" ht="13.95" customHeight="1" x14ac:dyDescent="0.65">
      <c r="A227">
        <v>225</v>
      </c>
      <c r="B227" t="s">
        <v>29</v>
      </c>
      <c r="C227" s="6">
        <v>1511734.0290000001</v>
      </c>
      <c r="D227" s="6">
        <v>693983.23300000001</v>
      </c>
      <c r="E227" s="2" t="s">
        <v>41</v>
      </c>
      <c r="F227" s="1">
        <v>26</v>
      </c>
      <c r="G227" s="2" t="s">
        <v>31</v>
      </c>
      <c r="J227"/>
      <c r="K227" s="19"/>
      <c r="L227" s="21"/>
      <c r="M227" s="27"/>
      <c r="N227" s="19"/>
      <c r="O227" s="21"/>
      <c r="P227" s="7">
        <v>0.35</v>
      </c>
      <c r="Q227" s="7">
        <f>Table2[[#This Row],[Elevation
PILE TOP]]-Table2[[#This Row],[LENGTH(m.)
(Actual)]]</f>
        <v>0.35</v>
      </c>
      <c r="R227" s="2"/>
      <c r="S227" s="7">
        <f>Table2[[#This Row],[N]]+Table2[[#This Row],[Pile 
Deviation 
N (m)]]</f>
        <v>1511734.0290000001</v>
      </c>
      <c r="T227" s="7">
        <f>Table2[[#This Row],[E]]+Table2[[#This Row],[Pile 
Deviation 
E (m)]]</f>
        <v>693983.23300000001</v>
      </c>
      <c r="W227" s="7">
        <v>-0.15</v>
      </c>
      <c r="X227" s="2" t="s">
        <v>42</v>
      </c>
      <c r="AA227" s="9">
        <v>46199</v>
      </c>
    </row>
    <row r="228" spans="1:27" x14ac:dyDescent="0.65">
      <c r="A228">
        <v>226</v>
      </c>
      <c r="B228" t="s">
        <v>29</v>
      </c>
      <c r="C228" s="6">
        <v>1511732.7590000001</v>
      </c>
      <c r="D228" s="6">
        <v>693985.14500000002</v>
      </c>
      <c r="E228" s="2" t="s">
        <v>41</v>
      </c>
      <c r="F228" s="1">
        <v>26</v>
      </c>
      <c r="G228" s="2" t="s">
        <v>31</v>
      </c>
      <c r="J228"/>
      <c r="K228" s="19"/>
      <c r="L228" s="21"/>
      <c r="M228" s="27"/>
      <c r="N228" s="19"/>
      <c r="O228" s="21"/>
      <c r="P228" s="7">
        <v>0.35</v>
      </c>
      <c r="Q228" s="7">
        <f>Table2[[#This Row],[Elevation
PILE TOP]]-Table2[[#This Row],[LENGTH(m.)
(Actual)]]</f>
        <v>0.35</v>
      </c>
      <c r="R228" s="2"/>
      <c r="S228" s="7">
        <f>Table2[[#This Row],[N]]+Table2[[#This Row],[Pile 
Deviation 
N (m)]]</f>
        <v>1511732.7590000001</v>
      </c>
      <c r="T228" s="7">
        <f>Table2[[#This Row],[E]]+Table2[[#This Row],[Pile 
Deviation 
E (m)]]</f>
        <v>693985.14500000002</v>
      </c>
      <c r="W228" s="7">
        <v>-0.15</v>
      </c>
      <c r="X228" s="2" t="s">
        <v>42</v>
      </c>
      <c r="AA228" s="9">
        <v>46199</v>
      </c>
    </row>
    <row r="229" spans="1:27" ht="13.95" customHeight="1" x14ac:dyDescent="0.65">
      <c r="A229">
        <v>227</v>
      </c>
      <c r="B229" t="s">
        <v>29</v>
      </c>
      <c r="C229" s="6">
        <v>1511730.5079999999</v>
      </c>
      <c r="D229" s="6">
        <v>693985.6</v>
      </c>
      <c r="E229" s="2" t="s">
        <v>41</v>
      </c>
      <c r="F229" s="1">
        <v>26</v>
      </c>
      <c r="G229" s="2" t="s">
        <v>31</v>
      </c>
      <c r="J229"/>
      <c r="K229" s="19"/>
      <c r="L229" s="21"/>
      <c r="M229" s="27"/>
      <c r="N229" s="19"/>
      <c r="O229" s="21"/>
      <c r="P229" s="7">
        <v>0.35</v>
      </c>
      <c r="Q229" s="7">
        <f>Table2[[#This Row],[Elevation
PILE TOP]]-Table2[[#This Row],[LENGTH(m.)
(Actual)]]</f>
        <v>0.35</v>
      </c>
      <c r="R229" s="2"/>
      <c r="S229" s="7">
        <f>Table2[[#This Row],[N]]+Table2[[#This Row],[Pile 
Deviation 
N (m)]]</f>
        <v>1511730.5079999999</v>
      </c>
      <c r="T229" s="7">
        <f>Table2[[#This Row],[E]]+Table2[[#This Row],[Pile 
Deviation 
E (m)]]</f>
        <v>693985.6</v>
      </c>
      <c r="W229" s="7">
        <v>-0.15</v>
      </c>
      <c r="X229" s="2" t="s">
        <v>42</v>
      </c>
      <c r="AA229" s="9">
        <v>46199</v>
      </c>
    </row>
    <row r="230" spans="1:27" x14ac:dyDescent="0.65">
      <c r="A230">
        <v>228</v>
      </c>
      <c r="B230" t="s">
        <v>29</v>
      </c>
      <c r="C230" s="6">
        <v>1511728.595</v>
      </c>
      <c r="D230" s="6">
        <v>693984.33</v>
      </c>
      <c r="E230" s="2" t="s">
        <v>41</v>
      </c>
      <c r="F230" s="1">
        <v>26</v>
      </c>
      <c r="G230" s="2" t="s">
        <v>31</v>
      </c>
      <c r="J230"/>
      <c r="K230" s="19"/>
      <c r="L230" s="21"/>
      <c r="M230" s="27"/>
      <c r="N230" s="19"/>
      <c r="O230" s="21"/>
      <c r="P230" s="7">
        <v>0.35</v>
      </c>
      <c r="Q230" s="7">
        <f>Table2[[#This Row],[Elevation
PILE TOP]]-Table2[[#This Row],[LENGTH(m.)
(Actual)]]</f>
        <v>0.35</v>
      </c>
      <c r="R230" s="2"/>
      <c r="S230" s="7">
        <f>Table2[[#This Row],[N]]+Table2[[#This Row],[Pile 
Deviation 
N (m)]]</f>
        <v>1511728.595</v>
      </c>
      <c r="T230" s="7">
        <f>Table2[[#This Row],[E]]+Table2[[#This Row],[Pile 
Deviation 
E (m)]]</f>
        <v>693984.33</v>
      </c>
      <c r="W230" s="7">
        <v>-0.15</v>
      </c>
      <c r="X230" s="2" t="s">
        <v>42</v>
      </c>
      <c r="AA230" s="9">
        <v>46199</v>
      </c>
    </row>
    <row r="231" spans="1:27" ht="13.95" customHeight="1" x14ac:dyDescent="0.65">
      <c r="A231">
        <v>229</v>
      </c>
      <c r="B231" t="s">
        <v>29</v>
      </c>
      <c r="C231" s="6">
        <v>1511728.1410000001</v>
      </c>
      <c r="D231" s="6">
        <v>693982.07900000003</v>
      </c>
      <c r="E231" s="2" t="s">
        <v>41</v>
      </c>
      <c r="F231" s="1">
        <v>26</v>
      </c>
      <c r="G231" s="2" t="s">
        <v>31</v>
      </c>
      <c r="J231"/>
      <c r="K231" s="19"/>
      <c r="L231" s="21"/>
      <c r="M231" s="27"/>
      <c r="N231" s="19"/>
      <c r="O231" s="21"/>
      <c r="P231" s="7">
        <v>0.35</v>
      </c>
      <c r="Q231" s="7">
        <f>Table2[[#This Row],[Elevation
PILE TOP]]-Table2[[#This Row],[LENGTH(m.)
(Actual)]]</f>
        <v>0.35</v>
      </c>
      <c r="R231" s="2"/>
      <c r="S231" s="7">
        <f>Table2[[#This Row],[N]]+Table2[[#This Row],[Pile 
Deviation 
N (m)]]</f>
        <v>1511728.1410000001</v>
      </c>
      <c r="T231" s="7">
        <f>Table2[[#This Row],[E]]+Table2[[#This Row],[Pile 
Deviation 
E (m)]]</f>
        <v>693982.07900000003</v>
      </c>
      <c r="W231" s="7">
        <v>-0.15</v>
      </c>
      <c r="X231" s="2" t="s">
        <v>42</v>
      </c>
      <c r="AA231" s="9">
        <v>46198</v>
      </c>
    </row>
    <row r="232" spans="1:27" x14ac:dyDescent="0.65">
      <c r="A232">
        <v>230</v>
      </c>
      <c r="B232" t="s">
        <v>29</v>
      </c>
      <c r="C232" s="6">
        <v>1511729.4110000001</v>
      </c>
      <c r="D232" s="6">
        <v>693980.16599999997</v>
      </c>
      <c r="E232" s="2" t="s">
        <v>41</v>
      </c>
      <c r="F232" s="1">
        <v>26</v>
      </c>
      <c r="G232" s="2" t="s">
        <v>31</v>
      </c>
      <c r="J232"/>
      <c r="K232" s="19"/>
      <c r="L232" s="21"/>
      <c r="M232" s="27"/>
      <c r="N232" s="19"/>
      <c r="O232" s="21"/>
      <c r="P232" s="7">
        <v>0.35</v>
      </c>
      <c r="Q232" s="7">
        <f>Table2[[#This Row],[Elevation
PILE TOP]]-Table2[[#This Row],[LENGTH(m.)
(Actual)]]</f>
        <v>0.35</v>
      </c>
      <c r="R232" s="2"/>
      <c r="S232" s="7">
        <f>Table2[[#This Row],[N]]+Table2[[#This Row],[Pile 
Deviation 
N (m)]]</f>
        <v>1511729.4110000001</v>
      </c>
      <c r="T232" s="7">
        <f>Table2[[#This Row],[E]]+Table2[[#This Row],[Pile 
Deviation 
E (m)]]</f>
        <v>693980.16599999997</v>
      </c>
      <c r="W232" s="7">
        <v>-0.15</v>
      </c>
      <c r="X232" s="2" t="s">
        <v>42</v>
      </c>
      <c r="AA232" s="9">
        <v>46198</v>
      </c>
    </row>
    <row r="233" spans="1:27" ht="13.95" customHeight="1" x14ac:dyDescent="0.65">
      <c r="A233">
        <v>231</v>
      </c>
      <c r="B233" t="s">
        <v>29</v>
      </c>
      <c r="C233" s="6">
        <v>1511731.0989999999</v>
      </c>
      <c r="D233" s="6">
        <v>693982.74600000004</v>
      </c>
      <c r="E233" s="2" t="s">
        <v>35</v>
      </c>
      <c r="F233" s="1">
        <v>24</v>
      </c>
      <c r="G233" s="2" t="s">
        <v>31</v>
      </c>
      <c r="J233"/>
      <c r="K233" s="19"/>
      <c r="L233" s="21"/>
      <c r="M233" s="27"/>
      <c r="N233" s="19"/>
      <c r="O233" s="21"/>
      <c r="P233" s="7">
        <v>0.28999999999999998</v>
      </c>
      <c r="Q233" s="7">
        <f>Table2[[#This Row],[Elevation
PILE TOP]]-Table2[[#This Row],[LENGTH(m.)
(Actual)]]</f>
        <v>0.28999999999999998</v>
      </c>
      <c r="R233" s="2"/>
      <c r="S233" s="7">
        <f>Table2[[#This Row],[N]]+Table2[[#This Row],[Pile 
Deviation 
N (m)]]</f>
        <v>1511731.0989999999</v>
      </c>
      <c r="T233" s="7">
        <f>Table2[[#This Row],[E]]+Table2[[#This Row],[Pile 
Deviation 
E (m)]]</f>
        <v>693982.74600000004</v>
      </c>
      <c r="W233" s="7">
        <v>0.28999999999999998</v>
      </c>
      <c r="X233" s="2" t="s">
        <v>40</v>
      </c>
      <c r="AA233" s="9">
        <v>46198</v>
      </c>
    </row>
    <row r="234" spans="1:27" x14ac:dyDescent="0.65">
      <c r="A234">
        <v>232</v>
      </c>
      <c r="B234" t="s">
        <v>29</v>
      </c>
      <c r="C234" s="6">
        <v>1511731.693</v>
      </c>
      <c r="D234" s="6">
        <v>693985.68700000003</v>
      </c>
      <c r="E234" s="2" t="s">
        <v>35</v>
      </c>
      <c r="F234" s="1">
        <v>24</v>
      </c>
      <c r="G234" s="2" t="s">
        <v>31</v>
      </c>
      <c r="J234"/>
      <c r="K234" s="19"/>
      <c r="L234" s="21"/>
      <c r="M234" s="27"/>
      <c r="N234" s="19"/>
      <c r="O234" s="21"/>
      <c r="P234" s="7">
        <v>0.28999999999999998</v>
      </c>
      <c r="Q234" s="7">
        <f>Table2[[#This Row],[Elevation
PILE TOP]]-Table2[[#This Row],[LENGTH(m.)
(Actual)]]</f>
        <v>0.28999999999999998</v>
      </c>
      <c r="R234" s="2"/>
      <c r="S234" s="7">
        <f>Table2[[#This Row],[N]]+Table2[[#This Row],[Pile 
Deviation 
N (m)]]</f>
        <v>1511731.693</v>
      </c>
      <c r="T234" s="7">
        <f>Table2[[#This Row],[E]]+Table2[[#This Row],[Pile 
Deviation 
E (m)]]</f>
        <v>693985.68700000003</v>
      </c>
      <c r="W234" s="7">
        <v>0.28999999999999998</v>
      </c>
      <c r="X234" s="2" t="s">
        <v>40</v>
      </c>
      <c r="AA234" s="9">
        <v>46198</v>
      </c>
    </row>
    <row r="235" spans="1:27" ht="13.95" customHeight="1" x14ac:dyDescent="0.65">
      <c r="A235">
        <v>233</v>
      </c>
      <c r="B235" t="s">
        <v>29</v>
      </c>
      <c r="C235" s="6">
        <v>1511732.3670000001</v>
      </c>
      <c r="D235" s="6">
        <v>693986.47199999995</v>
      </c>
      <c r="E235" s="2" t="s">
        <v>44</v>
      </c>
      <c r="F235" s="1">
        <v>24</v>
      </c>
      <c r="G235" s="2" t="s">
        <v>31</v>
      </c>
      <c r="J235"/>
      <c r="K235" s="19"/>
      <c r="L235" s="21"/>
      <c r="M235" s="27"/>
      <c r="N235" s="19"/>
      <c r="O235" s="21"/>
      <c r="P235" s="7">
        <v>-0.27500000000000002</v>
      </c>
      <c r="Q235" s="7">
        <f>Table2[[#This Row],[Elevation
PILE TOP]]-Table2[[#This Row],[LENGTH(m.)
(Actual)]]</f>
        <v>-0.27500000000000002</v>
      </c>
      <c r="R235" s="2"/>
      <c r="S235" s="7">
        <f>Table2[[#This Row],[N]]+Table2[[#This Row],[Pile 
Deviation 
N (m)]]</f>
        <v>1511732.3670000001</v>
      </c>
      <c r="T235" s="7">
        <f>Table2[[#This Row],[E]]+Table2[[#This Row],[Pile 
Deviation 
E (m)]]</f>
        <v>693986.47199999995</v>
      </c>
      <c r="W235" s="7">
        <v>-0.77500000000000002</v>
      </c>
      <c r="X235" s="2" t="s">
        <v>45</v>
      </c>
      <c r="AA235" s="9">
        <v>46200</v>
      </c>
    </row>
    <row r="236" spans="1:27" x14ac:dyDescent="0.65">
      <c r="A236">
        <v>234</v>
      </c>
      <c r="B236" t="s">
        <v>29</v>
      </c>
      <c r="C236" s="6">
        <v>1511732.5649999999</v>
      </c>
      <c r="D236" s="6">
        <v>693987.45200000005</v>
      </c>
      <c r="E236" s="2" t="s">
        <v>44</v>
      </c>
      <c r="F236" s="1">
        <v>24</v>
      </c>
      <c r="G236" s="2" t="s">
        <v>31</v>
      </c>
      <c r="J236"/>
      <c r="K236" s="19"/>
      <c r="L236" s="21"/>
      <c r="M236" s="27"/>
      <c r="N236" s="19"/>
      <c r="O236" s="21"/>
      <c r="P236" s="7">
        <v>-0.27500000000000002</v>
      </c>
      <c r="Q236" s="7">
        <f>Table2[[#This Row],[Elevation
PILE TOP]]-Table2[[#This Row],[LENGTH(m.)
(Actual)]]</f>
        <v>-0.27500000000000002</v>
      </c>
      <c r="R236" s="2"/>
      <c r="S236" s="7">
        <f>Table2[[#This Row],[N]]+Table2[[#This Row],[Pile 
Deviation 
N (m)]]</f>
        <v>1511732.5649999999</v>
      </c>
      <c r="T236" s="7">
        <f>Table2[[#This Row],[E]]+Table2[[#This Row],[Pile 
Deviation 
E (m)]]</f>
        <v>693987.45200000005</v>
      </c>
      <c r="W236" s="7">
        <v>-0.77500000000000002</v>
      </c>
      <c r="X236" s="2" t="s">
        <v>45</v>
      </c>
      <c r="AA236" s="9">
        <v>46200</v>
      </c>
    </row>
    <row r="237" spans="1:27" ht="13.95" customHeight="1" x14ac:dyDescent="0.65">
      <c r="A237">
        <v>235</v>
      </c>
      <c r="B237" t="s">
        <v>29</v>
      </c>
      <c r="C237" s="6">
        <v>1511731.3870000001</v>
      </c>
      <c r="D237" s="6">
        <v>693986.67</v>
      </c>
      <c r="E237" s="2" t="s">
        <v>44</v>
      </c>
      <c r="F237" s="1">
        <v>24</v>
      </c>
      <c r="G237" s="2" t="s">
        <v>31</v>
      </c>
      <c r="J237"/>
      <c r="K237" s="19"/>
      <c r="L237" s="21"/>
      <c r="M237" s="27"/>
      <c r="N237" s="19"/>
      <c r="O237" s="21"/>
      <c r="P237" s="7">
        <v>-0.27500000000000002</v>
      </c>
      <c r="Q237" s="7">
        <f>Table2[[#This Row],[Elevation
PILE TOP]]-Table2[[#This Row],[LENGTH(m.)
(Actual)]]</f>
        <v>-0.27500000000000002</v>
      </c>
      <c r="R237" s="2"/>
      <c r="S237" s="7">
        <f>Table2[[#This Row],[N]]+Table2[[#This Row],[Pile 
Deviation 
N (m)]]</f>
        <v>1511731.3870000001</v>
      </c>
      <c r="T237" s="7">
        <f>Table2[[#This Row],[E]]+Table2[[#This Row],[Pile 
Deviation 
E (m)]]</f>
        <v>693986.67</v>
      </c>
      <c r="W237" s="7">
        <v>-0.77500000000000002</v>
      </c>
      <c r="X237" s="2" t="s">
        <v>45</v>
      </c>
      <c r="AA237" s="9">
        <v>46200</v>
      </c>
    </row>
    <row r="238" spans="1:27" x14ac:dyDescent="0.65">
      <c r="A238">
        <v>236</v>
      </c>
      <c r="B238" t="s">
        <v>29</v>
      </c>
      <c r="C238" s="6">
        <v>1511731.585</v>
      </c>
      <c r="D238" s="6">
        <v>693987.65</v>
      </c>
      <c r="E238" s="2" t="s">
        <v>44</v>
      </c>
      <c r="F238" s="1">
        <v>24</v>
      </c>
      <c r="G238" s="2" t="s">
        <v>31</v>
      </c>
      <c r="J238"/>
      <c r="K238" s="19"/>
      <c r="L238" s="21"/>
      <c r="M238" s="27"/>
      <c r="N238" s="19"/>
      <c r="O238" s="21"/>
      <c r="P238" s="7">
        <v>-0.27500000000000002</v>
      </c>
      <c r="Q238" s="7">
        <f>Table2[[#This Row],[Elevation
PILE TOP]]-Table2[[#This Row],[LENGTH(m.)
(Actual)]]</f>
        <v>-0.27500000000000002</v>
      </c>
      <c r="R238" s="2"/>
      <c r="S238" s="7">
        <f>Table2[[#This Row],[N]]+Table2[[#This Row],[Pile 
Deviation 
N (m)]]</f>
        <v>1511731.585</v>
      </c>
      <c r="T238" s="7">
        <f>Table2[[#This Row],[E]]+Table2[[#This Row],[Pile 
Deviation 
E (m)]]</f>
        <v>693987.65</v>
      </c>
      <c r="W238" s="7">
        <v>-0.77500000000000002</v>
      </c>
      <c r="X238" s="2" t="s">
        <v>45</v>
      </c>
      <c r="AA238" s="9">
        <v>46200</v>
      </c>
    </row>
    <row r="239" spans="1:27" ht="13.95" customHeight="1" x14ac:dyDescent="0.65">
      <c r="A239">
        <v>237</v>
      </c>
      <c r="B239" t="s">
        <v>29</v>
      </c>
      <c r="C239" s="6">
        <v>1511732.287</v>
      </c>
      <c r="D239" s="6">
        <v>693988.62800000003</v>
      </c>
      <c r="E239" s="2" t="s">
        <v>35</v>
      </c>
      <c r="F239" s="1">
        <v>24</v>
      </c>
      <c r="G239" s="2" t="s">
        <v>31</v>
      </c>
      <c r="J239"/>
      <c r="K239" s="19"/>
      <c r="L239" s="21"/>
      <c r="M239" s="27"/>
      <c r="N239" s="19"/>
      <c r="O239" s="21"/>
      <c r="P239" s="7">
        <v>0.28999999999999998</v>
      </c>
      <c r="Q239" s="7">
        <f>Table2[[#This Row],[Elevation
PILE TOP]]-Table2[[#This Row],[LENGTH(m.)
(Actual)]]</f>
        <v>0.28999999999999998</v>
      </c>
      <c r="R239" s="2"/>
      <c r="S239" s="7">
        <f>Table2[[#This Row],[N]]+Table2[[#This Row],[Pile 
Deviation 
N (m)]]</f>
        <v>1511732.287</v>
      </c>
      <c r="T239" s="7">
        <f>Table2[[#This Row],[E]]+Table2[[#This Row],[Pile 
Deviation 
E (m)]]</f>
        <v>693988.62800000003</v>
      </c>
      <c r="W239" s="7">
        <v>0.28999999999999998</v>
      </c>
      <c r="X239" s="2" t="s">
        <v>40</v>
      </c>
      <c r="AA239" s="9">
        <v>46200</v>
      </c>
    </row>
    <row r="240" spans="1:27" x14ac:dyDescent="0.65">
      <c r="A240">
        <v>238</v>
      </c>
      <c r="B240" t="s">
        <v>29</v>
      </c>
      <c r="C240" s="6">
        <v>1511733.463</v>
      </c>
      <c r="D240" s="6">
        <v>693988.63199999998</v>
      </c>
      <c r="E240" s="2" t="s">
        <v>41</v>
      </c>
      <c r="F240" s="1">
        <v>26</v>
      </c>
      <c r="G240" s="2" t="s">
        <v>31</v>
      </c>
      <c r="J240"/>
      <c r="K240" s="19"/>
      <c r="L240" s="21"/>
      <c r="M240" s="27"/>
      <c r="N240" s="19"/>
      <c r="O240" s="21"/>
      <c r="P240" s="7">
        <v>0.35</v>
      </c>
      <c r="Q240" s="7">
        <f>Table2[[#This Row],[Elevation
PILE TOP]]-Table2[[#This Row],[LENGTH(m.)
(Actual)]]</f>
        <v>0.35</v>
      </c>
      <c r="R240" s="2"/>
      <c r="S240" s="7">
        <f>Table2[[#This Row],[N]]+Table2[[#This Row],[Pile 
Deviation 
N (m)]]</f>
        <v>1511733.463</v>
      </c>
      <c r="T240" s="7">
        <f>Table2[[#This Row],[E]]+Table2[[#This Row],[Pile 
Deviation 
E (m)]]</f>
        <v>693988.63199999998</v>
      </c>
      <c r="W240" s="7">
        <v>-0.15</v>
      </c>
      <c r="X240" s="2" t="s">
        <v>42</v>
      </c>
      <c r="AA240" s="9">
        <v>46200</v>
      </c>
    </row>
    <row r="241" spans="1:27" ht="13.95" customHeight="1" x14ac:dyDescent="0.65">
      <c r="A241">
        <v>239</v>
      </c>
      <c r="B241" t="s">
        <v>29</v>
      </c>
      <c r="C241" s="6">
        <v>1511735.3759999999</v>
      </c>
      <c r="D241" s="6">
        <v>693989.902</v>
      </c>
      <c r="E241" s="2" t="s">
        <v>41</v>
      </c>
      <c r="F241" s="1">
        <v>26</v>
      </c>
      <c r="G241" s="2" t="s">
        <v>31</v>
      </c>
      <c r="J241"/>
      <c r="K241" s="19"/>
      <c r="L241" s="21"/>
      <c r="M241" s="27"/>
      <c r="N241" s="19"/>
      <c r="O241" s="21"/>
      <c r="P241" s="7">
        <v>0.35</v>
      </c>
      <c r="Q241" s="7">
        <f>Table2[[#This Row],[Elevation
PILE TOP]]-Table2[[#This Row],[LENGTH(m.)
(Actual)]]</f>
        <v>0.35</v>
      </c>
      <c r="R241" s="2"/>
      <c r="S241" s="7">
        <f>Table2[[#This Row],[N]]+Table2[[#This Row],[Pile 
Deviation 
N (m)]]</f>
        <v>1511735.3759999999</v>
      </c>
      <c r="T241" s="7">
        <f>Table2[[#This Row],[E]]+Table2[[#This Row],[Pile 
Deviation 
E (m)]]</f>
        <v>693989.902</v>
      </c>
      <c r="W241" s="7">
        <v>-0.15</v>
      </c>
      <c r="X241" s="2" t="s">
        <v>42</v>
      </c>
      <c r="AA241" s="9">
        <v>46202</v>
      </c>
    </row>
    <row r="242" spans="1:27" x14ac:dyDescent="0.65">
      <c r="A242">
        <v>240</v>
      </c>
      <c r="B242" t="s">
        <v>29</v>
      </c>
      <c r="C242" s="6">
        <v>1511735.83</v>
      </c>
      <c r="D242" s="6">
        <v>693992.15300000005</v>
      </c>
      <c r="E242" s="2" t="s">
        <v>41</v>
      </c>
      <c r="F242" s="1">
        <v>26</v>
      </c>
      <c r="G242" s="2" t="s">
        <v>31</v>
      </c>
      <c r="J242"/>
      <c r="K242" s="19"/>
      <c r="L242" s="21"/>
      <c r="M242" s="27"/>
      <c r="N242" s="19"/>
      <c r="O242" s="21"/>
      <c r="P242" s="7">
        <v>0.35</v>
      </c>
      <c r="Q242" s="7">
        <f>Table2[[#This Row],[Elevation
PILE TOP]]-Table2[[#This Row],[LENGTH(m.)
(Actual)]]</f>
        <v>0.35</v>
      </c>
      <c r="R242" s="2"/>
      <c r="S242" s="7">
        <f>Table2[[#This Row],[N]]+Table2[[#This Row],[Pile 
Deviation 
N (m)]]</f>
        <v>1511735.83</v>
      </c>
      <c r="T242" s="7">
        <f>Table2[[#This Row],[E]]+Table2[[#This Row],[Pile 
Deviation 
E (m)]]</f>
        <v>693992.15300000005</v>
      </c>
      <c r="W242" s="7">
        <v>-0.15</v>
      </c>
      <c r="X242" s="2" t="s">
        <v>42</v>
      </c>
      <c r="AA242" s="9">
        <v>46202</v>
      </c>
    </row>
    <row r="243" spans="1:27" ht="13.95" customHeight="1" x14ac:dyDescent="0.65">
      <c r="A243">
        <v>241</v>
      </c>
      <c r="B243" t="s">
        <v>29</v>
      </c>
      <c r="C243" s="6">
        <v>1511734.56</v>
      </c>
      <c r="D243" s="6">
        <v>693994.06599999999</v>
      </c>
      <c r="E243" s="2" t="s">
        <v>41</v>
      </c>
      <c r="F243" s="1">
        <v>26</v>
      </c>
      <c r="G243" s="2" t="s">
        <v>31</v>
      </c>
      <c r="J243"/>
      <c r="K243" s="19"/>
      <c r="L243" s="21"/>
      <c r="M243" s="27"/>
      <c r="N243" s="19"/>
      <c r="O243" s="21"/>
      <c r="P243" s="7">
        <v>0.35</v>
      </c>
      <c r="Q243" s="7">
        <f>Table2[[#This Row],[Elevation
PILE TOP]]-Table2[[#This Row],[LENGTH(m.)
(Actual)]]</f>
        <v>0.35</v>
      </c>
      <c r="R243" s="2"/>
      <c r="S243" s="7">
        <f>Table2[[#This Row],[N]]+Table2[[#This Row],[Pile 
Deviation 
N (m)]]</f>
        <v>1511734.56</v>
      </c>
      <c r="T243" s="7">
        <f>Table2[[#This Row],[E]]+Table2[[#This Row],[Pile 
Deviation 
E (m)]]</f>
        <v>693994.06599999999</v>
      </c>
      <c r="W243" s="7">
        <v>-0.15</v>
      </c>
      <c r="X243" s="2" t="s">
        <v>42</v>
      </c>
      <c r="AA243" s="9">
        <v>46202</v>
      </c>
    </row>
    <row r="244" spans="1:27" x14ac:dyDescent="0.65">
      <c r="A244">
        <v>242</v>
      </c>
      <c r="B244" t="s">
        <v>29</v>
      </c>
      <c r="C244" s="6">
        <v>1511732.3089999999</v>
      </c>
      <c r="D244" s="6">
        <v>693994.52</v>
      </c>
      <c r="E244" s="2" t="s">
        <v>41</v>
      </c>
      <c r="F244" s="1">
        <v>26</v>
      </c>
      <c r="G244" s="2" t="s">
        <v>31</v>
      </c>
      <c r="J244"/>
      <c r="K244" s="19"/>
      <c r="L244" s="21"/>
      <c r="M244" s="27"/>
      <c r="N244" s="19"/>
      <c r="O244" s="21"/>
      <c r="P244" s="7">
        <v>0.35</v>
      </c>
      <c r="Q244" s="7">
        <f>Table2[[#This Row],[Elevation
PILE TOP]]-Table2[[#This Row],[LENGTH(m.)
(Actual)]]</f>
        <v>0.35</v>
      </c>
      <c r="R244" s="2"/>
      <c r="S244" s="7">
        <f>Table2[[#This Row],[N]]+Table2[[#This Row],[Pile 
Deviation 
N (m)]]</f>
        <v>1511732.3089999999</v>
      </c>
      <c r="T244" s="7">
        <f>Table2[[#This Row],[E]]+Table2[[#This Row],[Pile 
Deviation 
E (m)]]</f>
        <v>693994.52</v>
      </c>
      <c r="W244" s="7">
        <v>-0.15</v>
      </c>
      <c r="X244" s="2" t="s">
        <v>42</v>
      </c>
      <c r="AA244" s="9">
        <v>46202</v>
      </c>
    </row>
    <row r="245" spans="1:27" ht="13.95" customHeight="1" x14ac:dyDescent="0.65">
      <c r="A245">
        <v>243</v>
      </c>
      <c r="B245" t="s">
        <v>29</v>
      </c>
      <c r="C245" s="6">
        <v>1511730.3970000001</v>
      </c>
      <c r="D245" s="6">
        <v>693993.25</v>
      </c>
      <c r="E245" s="2" t="s">
        <v>41</v>
      </c>
      <c r="F245" s="1">
        <v>26</v>
      </c>
      <c r="G245" s="2" t="s">
        <v>31</v>
      </c>
      <c r="J245"/>
      <c r="K245" s="19"/>
      <c r="L245" s="21"/>
      <c r="M245" s="27"/>
      <c r="N245" s="19"/>
      <c r="O245" s="21"/>
      <c r="P245" s="7">
        <v>0.35</v>
      </c>
      <c r="Q245" s="7">
        <f>Table2[[#This Row],[Elevation
PILE TOP]]-Table2[[#This Row],[LENGTH(m.)
(Actual)]]</f>
        <v>0.35</v>
      </c>
      <c r="R245" s="2"/>
      <c r="S245" s="7">
        <f>Table2[[#This Row],[N]]+Table2[[#This Row],[Pile 
Deviation 
N (m)]]</f>
        <v>1511730.3970000001</v>
      </c>
      <c r="T245" s="7">
        <f>Table2[[#This Row],[E]]+Table2[[#This Row],[Pile 
Deviation 
E (m)]]</f>
        <v>693993.25</v>
      </c>
      <c r="W245" s="7">
        <v>-0.15</v>
      </c>
      <c r="X245" s="2" t="s">
        <v>42</v>
      </c>
      <c r="AA245" s="9">
        <v>46202</v>
      </c>
    </row>
    <row r="246" spans="1:27" x14ac:dyDescent="0.65">
      <c r="A246">
        <v>244</v>
      </c>
      <c r="B246" t="s">
        <v>29</v>
      </c>
      <c r="C246" s="6">
        <v>1511729.942</v>
      </c>
      <c r="D246" s="6">
        <v>693991</v>
      </c>
      <c r="E246" s="2" t="s">
        <v>41</v>
      </c>
      <c r="F246" s="1">
        <v>26</v>
      </c>
      <c r="G246" s="2" t="s">
        <v>31</v>
      </c>
      <c r="J246"/>
      <c r="K246" s="19"/>
      <c r="L246" s="21"/>
      <c r="M246" s="27"/>
      <c r="N246" s="19"/>
      <c r="O246" s="21"/>
      <c r="P246" s="7">
        <v>0.35</v>
      </c>
      <c r="Q246" s="7">
        <f>Table2[[#This Row],[Elevation
PILE TOP]]-Table2[[#This Row],[LENGTH(m.)
(Actual)]]</f>
        <v>0.35</v>
      </c>
      <c r="R246" s="2"/>
      <c r="S246" s="7">
        <f>Table2[[#This Row],[N]]+Table2[[#This Row],[Pile 
Deviation 
N (m)]]</f>
        <v>1511729.942</v>
      </c>
      <c r="T246" s="7">
        <f>Table2[[#This Row],[E]]+Table2[[#This Row],[Pile 
Deviation 
E (m)]]</f>
        <v>693991</v>
      </c>
      <c r="W246" s="7">
        <v>-0.15</v>
      </c>
      <c r="X246" s="2" t="s">
        <v>42</v>
      </c>
      <c r="AA246" s="9">
        <v>46202</v>
      </c>
    </row>
    <row r="247" spans="1:27" ht="13.95" customHeight="1" x14ac:dyDescent="0.65">
      <c r="A247">
        <v>245</v>
      </c>
      <c r="B247" t="s">
        <v>29</v>
      </c>
      <c r="C247" s="6">
        <v>1511731.2120000001</v>
      </c>
      <c r="D247" s="6">
        <v>693989.08700000006</v>
      </c>
      <c r="E247" s="2" t="s">
        <v>41</v>
      </c>
      <c r="F247" s="1">
        <v>26</v>
      </c>
      <c r="G247" s="2" t="s">
        <v>31</v>
      </c>
      <c r="J247"/>
      <c r="K247" s="19"/>
      <c r="L247" s="21"/>
      <c r="M247" s="27"/>
      <c r="N247" s="19"/>
      <c r="O247" s="21"/>
      <c r="P247" s="7">
        <v>0.35</v>
      </c>
      <c r="Q247" s="7">
        <f>Table2[[#This Row],[Elevation
PILE TOP]]-Table2[[#This Row],[LENGTH(m.)
(Actual)]]</f>
        <v>0.35</v>
      </c>
      <c r="R247" s="2"/>
      <c r="S247" s="7">
        <f>Table2[[#This Row],[N]]+Table2[[#This Row],[Pile 
Deviation 
N (m)]]</f>
        <v>1511731.2120000001</v>
      </c>
      <c r="T247" s="7">
        <f>Table2[[#This Row],[E]]+Table2[[#This Row],[Pile 
Deviation 
E (m)]]</f>
        <v>693989.08700000006</v>
      </c>
      <c r="W247" s="7">
        <v>-0.15</v>
      </c>
      <c r="X247" s="2" t="s">
        <v>42</v>
      </c>
      <c r="AA247" s="9">
        <v>46200</v>
      </c>
    </row>
    <row r="248" spans="1:27" x14ac:dyDescent="0.65">
      <c r="A248">
        <v>246</v>
      </c>
      <c r="B248" t="s">
        <v>29</v>
      </c>
      <c r="C248" s="6">
        <v>1511732.8810000001</v>
      </c>
      <c r="D248" s="6">
        <v>693991.56799999997</v>
      </c>
      <c r="E248" s="2" t="s">
        <v>35</v>
      </c>
      <c r="F248" s="1">
        <v>24</v>
      </c>
      <c r="G248" s="2" t="s">
        <v>31</v>
      </c>
      <c r="J248"/>
      <c r="K248" s="19"/>
      <c r="L248" s="21"/>
      <c r="M248" s="27"/>
      <c r="N248" s="19"/>
      <c r="O248" s="21"/>
      <c r="P248" s="7">
        <v>0.28999999999999998</v>
      </c>
      <c r="Q248" s="7">
        <f>Table2[[#This Row],[Elevation
PILE TOP]]-Table2[[#This Row],[LENGTH(m.)
(Actual)]]</f>
        <v>0.28999999999999998</v>
      </c>
      <c r="R248" s="2"/>
      <c r="S248" s="7">
        <f>Table2[[#This Row],[N]]+Table2[[#This Row],[Pile 
Deviation 
N (m)]]</f>
        <v>1511732.8810000001</v>
      </c>
      <c r="T248" s="7">
        <f>Table2[[#This Row],[E]]+Table2[[#This Row],[Pile 
Deviation 
E (m)]]</f>
        <v>693991.56799999997</v>
      </c>
      <c r="W248" s="7">
        <v>0.28999999999999998</v>
      </c>
      <c r="X248" s="2" t="s">
        <v>40</v>
      </c>
      <c r="AA248" s="9">
        <v>46202</v>
      </c>
    </row>
    <row r="249" spans="1:27" ht="13.95" customHeight="1" x14ac:dyDescent="0.65">
      <c r="A249">
        <v>247</v>
      </c>
      <c r="B249" t="s">
        <v>29</v>
      </c>
      <c r="C249" s="6">
        <v>1511733.554</v>
      </c>
      <c r="D249" s="6">
        <v>693994.90099999995</v>
      </c>
      <c r="E249" s="2" t="s">
        <v>35</v>
      </c>
      <c r="F249" s="1">
        <v>24</v>
      </c>
      <c r="G249" s="2" t="s">
        <v>31</v>
      </c>
      <c r="J249"/>
      <c r="K249" s="19"/>
      <c r="L249" s="21"/>
      <c r="M249" s="27"/>
      <c r="N249" s="19"/>
      <c r="O249" s="21"/>
      <c r="P249" s="7">
        <v>0.28999999999999998</v>
      </c>
      <c r="Q249" s="7">
        <f>Table2[[#This Row],[Elevation
PILE TOP]]-Table2[[#This Row],[LENGTH(m.)
(Actual)]]</f>
        <v>0.28999999999999998</v>
      </c>
      <c r="R249" s="2"/>
      <c r="S249" s="7">
        <f>Table2[[#This Row],[N]]+Table2[[#This Row],[Pile 
Deviation 
N (m)]]</f>
        <v>1511733.554</v>
      </c>
      <c r="T249" s="7">
        <f>Table2[[#This Row],[E]]+Table2[[#This Row],[Pile 
Deviation 
E (m)]]</f>
        <v>693994.90099999995</v>
      </c>
      <c r="W249" s="7">
        <v>0.28999999999999998</v>
      </c>
      <c r="X249" s="2" t="s">
        <v>40</v>
      </c>
      <c r="AA249" s="9">
        <v>46199</v>
      </c>
    </row>
    <row r="250" spans="1:27" x14ac:dyDescent="0.65">
      <c r="A250">
        <v>248</v>
      </c>
      <c r="B250" t="s">
        <v>29</v>
      </c>
      <c r="C250" s="6">
        <v>1511734.8089999999</v>
      </c>
      <c r="D250" s="6">
        <v>693995.29700000002</v>
      </c>
      <c r="E250" s="2" t="s">
        <v>41</v>
      </c>
      <c r="F250" s="1">
        <v>26</v>
      </c>
      <c r="G250" s="2" t="s">
        <v>31</v>
      </c>
      <c r="J250"/>
      <c r="K250" s="19"/>
      <c r="L250" s="21"/>
      <c r="M250" s="27"/>
      <c r="N250" s="19"/>
      <c r="O250" s="21"/>
      <c r="P250" s="7">
        <v>0.35</v>
      </c>
      <c r="Q250" s="7">
        <f>Table2[[#This Row],[Elevation
PILE TOP]]-Table2[[#This Row],[LENGTH(m.)
(Actual)]]</f>
        <v>0.35</v>
      </c>
      <c r="R250" s="2"/>
      <c r="S250" s="7">
        <f>Table2[[#This Row],[N]]+Table2[[#This Row],[Pile 
Deviation 
N (m)]]</f>
        <v>1511734.8089999999</v>
      </c>
      <c r="T250" s="7">
        <f>Table2[[#This Row],[E]]+Table2[[#This Row],[Pile 
Deviation 
E (m)]]</f>
        <v>693995.29700000002</v>
      </c>
      <c r="W250" s="7">
        <v>-0.15</v>
      </c>
      <c r="X250" s="2" t="s">
        <v>42</v>
      </c>
      <c r="AA250" s="9">
        <v>46199</v>
      </c>
    </row>
    <row r="251" spans="1:27" ht="13.95" customHeight="1" x14ac:dyDescent="0.65">
      <c r="A251">
        <v>249</v>
      </c>
      <c r="B251" t="s">
        <v>29</v>
      </c>
      <c r="C251" s="6">
        <v>1511736.7209999999</v>
      </c>
      <c r="D251" s="6">
        <v>693996.56700000004</v>
      </c>
      <c r="E251" s="2" t="s">
        <v>41</v>
      </c>
      <c r="F251" s="1">
        <v>26</v>
      </c>
      <c r="G251" s="2" t="s">
        <v>31</v>
      </c>
      <c r="J251"/>
      <c r="K251" s="19"/>
      <c r="L251" s="21"/>
      <c r="M251" s="27"/>
      <c r="N251" s="19"/>
      <c r="O251" s="21"/>
      <c r="P251" s="7">
        <v>0.35</v>
      </c>
      <c r="Q251" s="7">
        <f>Table2[[#This Row],[Elevation
PILE TOP]]-Table2[[#This Row],[LENGTH(m.)
(Actual)]]</f>
        <v>0.35</v>
      </c>
      <c r="R251" s="2"/>
      <c r="S251" s="7">
        <f>Table2[[#This Row],[N]]+Table2[[#This Row],[Pile 
Deviation 
N (m)]]</f>
        <v>1511736.7209999999</v>
      </c>
      <c r="T251" s="7">
        <f>Table2[[#This Row],[E]]+Table2[[#This Row],[Pile 
Deviation 
E (m)]]</f>
        <v>693996.56700000004</v>
      </c>
      <c r="W251" s="7">
        <v>-0.15</v>
      </c>
      <c r="X251" s="2" t="s">
        <v>42</v>
      </c>
      <c r="AA251" s="9">
        <v>46199</v>
      </c>
    </row>
    <row r="252" spans="1:27" x14ac:dyDescent="0.65">
      <c r="A252">
        <v>250</v>
      </c>
      <c r="B252" t="s">
        <v>29</v>
      </c>
      <c r="C252" s="6">
        <v>1511737.176</v>
      </c>
      <c r="D252" s="6">
        <v>693998.81700000004</v>
      </c>
      <c r="E252" s="2" t="s">
        <v>41</v>
      </c>
      <c r="F252" s="1">
        <v>26</v>
      </c>
      <c r="G252" s="2" t="s">
        <v>31</v>
      </c>
      <c r="J252"/>
      <c r="K252" s="19"/>
      <c r="L252" s="21"/>
      <c r="M252" s="27"/>
      <c r="N252" s="19"/>
      <c r="O252" s="21"/>
      <c r="P252" s="7">
        <v>0.35</v>
      </c>
      <c r="Q252" s="7">
        <f>Table2[[#This Row],[Elevation
PILE TOP]]-Table2[[#This Row],[LENGTH(m.)
(Actual)]]</f>
        <v>0.35</v>
      </c>
      <c r="R252" s="2"/>
      <c r="S252" s="7">
        <f>Table2[[#This Row],[N]]+Table2[[#This Row],[Pile 
Deviation 
N (m)]]</f>
        <v>1511737.176</v>
      </c>
      <c r="T252" s="7">
        <f>Table2[[#This Row],[E]]+Table2[[#This Row],[Pile 
Deviation 
E (m)]]</f>
        <v>693998.81700000004</v>
      </c>
      <c r="W252" s="7">
        <v>-0.15</v>
      </c>
      <c r="X252" s="2" t="s">
        <v>42</v>
      </c>
      <c r="AA252" s="9">
        <v>46199</v>
      </c>
    </row>
    <row r="253" spans="1:27" ht="13.95" customHeight="1" x14ac:dyDescent="0.65">
      <c r="A253">
        <v>251</v>
      </c>
      <c r="B253" t="s">
        <v>29</v>
      </c>
      <c r="C253" s="6">
        <v>1511735.906</v>
      </c>
      <c r="D253" s="6">
        <v>694000.73</v>
      </c>
      <c r="E253" s="2" t="s">
        <v>41</v>
      </c>
      <c r="F253" s="1">
        <v>26</v>
      </c>
      <c r="G253" s="2" t="s">
        <v>31</v>
      </c>
      <c r="J253"/>
      <c r="K253" s="19"/>
      <c r="L253" s="21"/>
      <c r="M253" s="27"/>
      <c r="N253" s="19"/>
      <c r="O253" s="21"/>
      <c r="P253" s="7">
        <v>0.35</v>
      </c>
      <c r="Q253" s="7">
        <f>Table2[[#This Row],[Elevation
PILE TOP]]-Table2[[#This Row],[LENGTH(m.)
(Actual)]]</f>
        <v>0.35</v>
      </c>
      <c r="R253" s="2"/>
      <c r="S253" s="7">
        <f>Table2[[#This Row],[N]]+Table2[[#This Row],[Pile 
Deviation 
N (m)]]</f>
        <v>1511735.906</v>
      </c>
      <c r="T253" s="7">
        <f>Table2[[#This Row],[E]]+Table2[[#This Row],[Pile 
Deviation 
E (m)]]</f>
        <v>694000.73</v>
      </c>
      <c r="W253" s="7">
        <v>-0.15</v>
      </c>
      <c r="X253" s="2" t="s">
        <v>42</v>
      </c>
      <c r="AA253" s="9">
        <v>46199</v>
      </c>
    </row>
    <row r="254" spans="1:27" x14ac:dyDescent="0.65">
      <c r="A254">
        <v>252</v>
      </c>
      <c r="B254" t="s">
        <v>29</v>
      </c>
      <c r="C254" s="6">
        <v>1511733.655</v>
      </c>
      <c r="D254" s="6">
        <v>694001.18500000006</v>
      </c>
      <c r="E254" s="2" t="s">
        <v>41</v>
      </c>
      <c r="F254" s="1">
        <v>26</v>
      </c>
      <c r="G254" s="2" t="s">
        <v>31</v>
      </c>
      <c r="J254"/>
      <c r="K254" s="19"/>
      <c r="L254" s="21"/>
      <c r="M254" s="27"/>
      <c r="N254" s="19"/>
      <c r="O254" s="21"/>
      <c r="P254" s="7">
        <v>0.35</v>
      </c>
      <c r="Q254" s="7">
        <f>Table2[[#This Row],[Elevation
PILE TOP]]-Table2[[#This Row],[LENGTH(m.)
(Actual)]]</f>
        <v>0.35</v>
      </c>
      <c r="R254" s="2"/>
      <c r="S254" s="7">
        <f>Table2[[#This Row],[N]]+Table2[[#This Row],[Pile 
Deviation 
N (m)]]</f>
        <v>1511733.655</v>
      </c>
      <c r="T254" s="7">
        <f>Table2[[#This Row],[E]]+Table2[[#This Row],[Pile 
Deviation 
E (m)]]</f>
        <v>694001.18500000006</v>
      </c>
      <c r="W254" s="7">
        <v>-0.15</v>
      </c>
      <c r="X254" s="2" t="s">
        <v>42</v>
      </c>
      <c r="AA254" s="9">
        <v>46198</v>
      </c>
    </row>
    <row r="255" spans="1:27" ht="13.95" customHeight="1" x14ac:dyDescent="0.65">
      <c r="A255">
        <v>253</v>
      </c>
      <c r="B255" t="s">
        <v>29</v>
      </c>
      <c r="C255" s="6">
        <v>1511731.7420000001</v>
      </c>
      <c r="D255" s="6">
        <v>693999.91500000004</v>
      </c>
      <c r="E255" s="2" t="s">
        <v>41</v>
      </c>
      <c r="F255" s="1">
        <v>26</v>
      </c>
      <c r="G255" s="2" t="s">
        <v>31</v>
      </c>
      <c r="J255"/>
      <c r="K255" s="19"/>
      <c r="L255" s="21"/>
      <c r="M255" s="27"/>
      <c r="N255" s="19"/>
      <c r="O255" s="21"/>
      <c r="P255" s="7">
        <v>0.35</v>
      </c>
      <c r="Q255" s="7">
        <f>Table2[[#This Row],[Elevation
PILE TOP]]-Table2[[#This Row],[LENGTH(m.)
(Actual)]]</f>
        <v>0.35</v>
      </c>
      <c r="R255" s="2"/>
      <c r="S255" s="7">
        <f>Table2[[#This Row],[N]]+Table2[[#This Row],[Pile 
Deviation 
N (m)]]</f>
        <v>1511731.7420000001</v>
      </c>
      <c r="T255" s="7">
        <f>Table2[[#This Row],[E]]+Table2[[#This Row],[Pile 
Deviation 
E (m)]]</f>
        <v>693999.91500000004</v>
      </c>
      <c r="W255" s="7">
        <v>-0.15</v>
      </c>
      <c r="X255" s="2" t="s">
        <v>42</v>
      </c>
      <c r="AA255" s="9">
        <v>46198</v>
      </c>
    </row>
    <row r="256" spans="1:27" x14ac:dyDescent="0.65">
      <c r="A256">
        <v>254</v>
      </c>
      <c r="B256" t="s">
        <v>29</v>
      </c>
      <c r="C256" s="6">
        <v>1511731.2879999999</v>
      </c>
      <c r="D256" s="6">
        <v>693997.66399999999</v>
      </c>
      <c r="E256" s="2" t="s">
        <v>41</v>
      </c>
      <c r="F256" s="1">
        <v>26</v>
      </c>
      <c r="G256" s="2" t="s">
        <v>31</v>
      </c>
      <c r="J256"/>
      <c r="K256" s="19"/>
      <c r="L256" s="21"/>
      <c r="M256" s="27"/>
      <c r="N256" s="19"/>
      <c r="O256" s="21"/>
      <c r="P256" s="7">
        <v>0.35</v>
      </c>
      <c r="Q256" s="7">
        <f>Table2[[#This Row],[Elevation
PILE TOP]]-Table2[[#This Row],[LENGTH(m.)
(Actual)]]</f>
        <v>0.35</v>
      </c>
      <c r="R256" s="2"/>
      <c r="S256" s="7">
        <f>Table2[[#This Row],[N]]+Table2[[#This Row],[Pile 
Deviation 
N (m)]]</f>
        <v>1511731.2879999999</v>
      </c>
      <c r="T256" s="7">
        <f>Table2[[#This Row],[E]]+Table2[[#This Row],[Pile 
Deviation 
E (m)]]</f>
        <v>693997.66399999999</v>
      </c>
      <c r="W256" s="7">
        <v>-0.15</v>
      </c>
      <c r="X256" s="2" t="s">
        <v>42</v>
      </c>
      <c r="AA256" s="9">
        <v>46198</v>
      </c>
    </row>
    <row r="257" spans="1:27" ht="13.95" customHeight="1" x14ac:dyDescent="0.65">
      <c r="A257">
        <v>255</v>
      </c>
      <c r="B257" t="s">
        <v>29</v>
      </c>
      <c r="C257" s="6">
        <v>1511732.558</v>
      </c>
      <c r="D257" s="6">
        <v>693995.75100000005</v>
      </c>
      <c r="E257" s="2" t="s">
        <v>41</v>
      </c>
      <c r="F257" s="1">
        <v>26</v>
      </c>
      <c r="G257" s="2" t="s">
        <v>31</v>
      </c>
      <c r="J257"/>
      <c r="K257" s="19"/>
      <c r="L257" s="21"/>
      <c r="M257" s="27"/>
      <c r="N257" s="19"/>
      <c r="O257" s="21"/>
      <c r="P257" s="7">
        <v>0.35</v>
      </c>
      <c r="Q257" s="7">
        <f>Table2[[#This Row],[Elevation
PILE TOP]]-Table2[[#This Row],[LENGTH(m.)
(Actual)]]</f>
        <v>0.35</v>
      </c>
      <c r="R257" s="2"/>
      <c r="S257" s="7">
        <f>Table2[[#This Row],[N]]+Table2[[#This Row],[Pile 
Deviation 
N (m)]]</f>
        <v>1511732.558</v>
      </c>
      <c r="T257" s="7">
        <f>Table2[[#This Row],[E]]+Table2[[#This Row],[Pile 
Deviation 
E (m)]]</f>
        <v>693995.75100000005</v>
      </c>
      <c r="W257" s="7">
        <v>-0.15</v>
      </c>
      <c r="X257" s="2" t="s">
        <v>42</v>
      </c>
      <c r="AA257" s="9">
        <v>46198</v>
      </c>
    </row>
    <row r="258" spans="1:27" x14ac:dyDescent="0.65">
      <c r="A258">
        <v>256</v>
      </c>
      <c r="B258" t="s">
        <v>29</v>
      </c>
      <c r="C258" s="6">
        <v>1511734.227</v>
      </c>
      <c r="D258" s="6">
        <v>693998.23400000005</v>
      </c>
      <c r="E258" s="2" t="s">
        <v>35</v>
      </c>
      <c r="F258" s="1">
        <v>24</v>
      </c>
      <c r="G258" s="2" t="s">
        <v>31</v>
      </c>
      <c r="J258"/>
      <c r="K258" s="19"/>
      <c r="L258" s="21"/>
      <c r="M258" s="27"/>
      <c r="N258" s="19"/>
      <c r="O258" s="21"/>
      <c r="P258" s="7">
        <v>0.28999999999999998</v>
      </c>
      <c r="Q258" s="7">
        <f>Table2[[#This Row],[Elevation
PILE TOP]]-Table2[[#This Row],[LENGTH(m.)
(Actual)]]</f>
        <v>0.28999999999999998</v>
      </c>
      <c r="R258" s="2"/>
      <c r="S258" s="7">
        <f>Table2[[#This Row],[N]]+Table2[[#This Row],[Pile 
Deviation 
N (m)]]</f>
        <v>1511734.227</v>
      </c>
      <c r="T258" s="7">
        <f>Table2[[#This Row],[E]]+Table2[[#This Row],[Pile 
Deviation 
E (m)]]</f>
        <v>693998.23400000005</v>
      </c>
      <c r="W258" s="7">
        <v>0.28999999999999998</v>
      </c>
      <c r="X258" s="2" t="s">
        <v>40</v>
      </c>
      <c r="AA258" s="9">
        <v>46199</v>
      </c>
    </row>
    <row r="259" spans="1:27" ht="13.95" hidden="1" customHeight="1" x14ac:dyDescent="0.65">
      <c r="A259">
        <v>257</v>
      </c>
      <c r="B259" t="s">
        <v>29</v>
      </c>
      <c r="C259" s="6">
        <v>1511734.959</v>
      </c>
      <c r="D259" s="6">
        <v>694001.86100000003</v>
      </c>
      <c r="E259" s="2" t="s">
        <v>35</v>
      </c>
      <c r="F259" s="1">
        <v>24</v>
      </c>
      <c r="G259" s="2" t="s">
        <v>31</v>
      </c>
      <c r="J259"/>
      <c r="K259" s="19"/>
      <c r="L259" s="21"/>
      <c r="M259" s="27"/>
      <c r="N259" s="19"/>
      <c r="O259" s="21"/>
      <c r="P259" s="7">
        <v>0.28999999999999998</v>
      </c>
      <c r="Q259" s="7">
        <f>Table2[[#This Row],[Elevation
PILE TOP]]-Table2[[#This Row],[LENGTH(m.)
(Actual)]]</f>
        <v>0.28999999999999998</v>
      </c>
      <c r="R259" s="2"/>
      <c r="S259" s="7">
        <f>Table2[[#This Row],[N]]+Table2[[#This Row],[Pile 
Deviation 
N (m)]]</f>
        <v>1511734.959</v>
      </c>
      <c r="T259" s="7">
        <f>Table2[[#This Row],[E]]+Table2[[#This Row],[Pile 
Deviation 
E (m)]]</f>
        <v>694001.86100000003</v>
      </c>
      <c r="W259" s="7">
        <v>0.28999999999999998</v>
      </c>
      <c r="X259" s="2" t="s">
        <v>40</v>
      </c>
      <c r="AA259" s="9">
        <v>46212</v>
      </c>
    </row>
    <row r="260" spans="1:27" hidden="1" x14ac:dyDescent="0.65">
      <c r="A260">
        <v>258</v>
      </c>
      <c r="B260" t="s">
        <v>29</v>
      </c>
      <c r="C260" s="6">
        <v>1511735.51</v>
      </c>
      <c r="D260" s="6">
        <v>694002.56499999994</v>
      </c>
      <c r="E260" s="2" t="s">
        <v>30</v>
      </c>
      <c r="F260" s="1">
        <v>24</v>
      </c>
      <c r="G260" s="2" t="s">
        <v>31</v>
      </c>
      <c r="J260"/>
      <c r="K260" s="19"/>
      <c r="L260" s="21"/>
      <c r="M260" s="27"/>
      <c r="N260" s="19"/>
      <c r="O260" s="21"/>
      <c r="P260" s="7">
        <v>-0.17499999999999999</v>
      </c>
      <c r="Q260" s="7">
        <f>Table2[[#This Row],[Elevation
PILE TOP]]-Table2[[#This Row],[LENGTH(m.)
(Actual)]]</f>
        <v>-0.17499999999999999</v>
      </c>
      <c r="R260" s="2"/>
      <c r="S260" s="7">
        <f>Table2[[#This Row],[N]]+Table2[[#This Row],[Pile 
Deviation 
N (m)]]</f>
        <v>1511735.51</v>
      </c>
      <c r="T260" s="7">
        <f>Table2[[#This Row],[E]]+Table2[[#This Row],[Pile 
Deviation 
E (m)]]</f>
        <v>694002.56499999994</v>
      </c>
      <c r="W260" s="7">
        <v>-0.67500000000000004</v>
      </c>
      <c r="X260" s="2" t="s">
        <v>33</v>
      </c>
      <c r="AA260" s="9">
        <v>46212</v>
      </c>
    </row>
    <row r="261" spans="1:27" ht="13.95" hidden="1" customHeight="1" x14ac:dyDescent="0.65">
      <c r="A261">
        <v>259</v>
      </c>
      <c r="B261" t="s">
        <v>29</v>
      </c>
      <c r="C261" s="6">
        <v>1511735.6880000001</v>
      </c>
      <c r="D261" s="6">
        <v>694003.44799999997</v>
      </c>
      <c r="E261" s="2" t="s">
        <v>30</v>
      </c>
      <c r="F261" s="1">
        <v>24</v>
      </c>
      <c r="G261" s="2" t="s">
        <v>31</v>
      </c>
      <c r="J261"/>
      <c r="K261" s="19"/>
      <c r="L261" s="21"/>
      <c r="M261" s="27"/>
      <c r="N261" s="19"/>
      <c r="O261" s="21"/>
      <c r="P261" s="7">
        <v>-0.17499999999999999</v>
      </c>
      <c r="Q261" s="7">
        <f>Table2[[#This Row],[Elevation
PILE TOP]]-Table2[[#This Row],[LENGTH(m.)
(Actual)]]</f>
        <v>-0.17499999999999999</v>
      </c>
      <c r="R261" s="2"/>
      <c r="S261" s="7">
        <f>Table2[[#This Row],[N]]+Table2[[#This Row],[Pile 
Deviation 
N (m)]]</f>
        <v>1511735.6880000001</v>
      </c>
      <c r="T261" s="7">
        <f>Table2[[#This Row],[E]]+Table2[[#This Row],[Pile 
Deviation 
E (m)]]</f>
        <v>694003.44799999997</v>
      </c>
      <c r="W261" s="7">
        <v>-0.67500000000000004</v>
      </c>
      <c r="X261" s="2" t="s">
        <v>33</v>
      </c>
      <c r="AA261" s="9">
        <v>46212</v>
      </c>
    </row>
    <row r="262" spans="1:27" hidden="1" x14ac:dyDescent="0.65">
      <c r="A262">
        <v>260</v>
      </c>
      <c r="B262" t="s">
        <v>29</v>
      </c>
      <c r="C262" s="6">
        <v>1511734.726</v>
      </c>
      <c r="D262" s="6">
        <v>694002.72400000005</v>
      </c>
      <c r="E262" s="2" t="s">
        <v>30</v>
      </c>
      <c r="F262" s="1">
        <v>24</v>
      </c>
      <c r="G262" s="2" t="s">
        <v>31</v>
      </c>
      <c r="J262"/>
      <c r="K262" s="19"/>
      <c r="L262" s="21"/>
      <c r="M262" s="27"/>
      <c r="N262" s="19"/>
      <c r="O262" s="21"/>
      <c r="P262" s="7">
        <v>-0.17499999999999999</v>
      </c>
      <c r="Q262" s="7">
        <f>Table2[[#This Row],[Elevation
PILE TOP]]-Table2[[#This Row],[LENGTH(m.)
(Actual)]]</f>
        <v>-0.17499999999999999</v>
      </c>
      <c r="R262" s="2"/>
      <c r="S262" s="7">
        <f>Table2[[#This Row],[N]]+Table2[[#This Row],[Pile 
Deviation 
N (m)]]</f>
        <v>1511734.726</v>
      </c>
      <c r="T262" s="7">
        <f>Table2[[#This Row],[E]]+Table2[[#This Row],[Pile 
Deviation 
E (m)]]</f>
        <v>694002.72400000005</v>
      </c>
      <c r="W262" s="7">
        <v>-0.67500000000000004</v>
      </c>
      <c r="X262" s="2" t="s">
        <v>33</v>
      </c>
      <c r="AA262" s="9">
        <v>46212</v>
      </c>
    </row>
    <row r="263" spans="1:27" ht="13.95" hidden="1" customHeight="1" x14ac:dyDescent="0.65">
      <c r="A263">
        <v>261</v>
      </c>
      <c r="B263" t="s">
        <v>29</v>
      </c>
      <c r="C263" s="6">
        <v>1511734.9040000001</v>
      </c>
      <c r="D263" s="6">
        <v>694003.60600000003</v>
      </c>
      <c r="E263" s="2" t="s">
        <v>30</v>
      </c>
      <c r="F263" s="1">
        <v>24</v>
      </c>
      <c r="G263" s="2" t="s">
        <v>31</v>
      </c>
      <c r="J263"/>
      <c r="K263" s="19"/>
      <c r="L263" s="21"/>
      <c r="M263" s="27"/>
      <c r="N263" s="19"/>
      <c r="O263" s="21"/>
      <c r="P263" s="7">
        <v>-0.17499999999999999</v>
      </c>
      <c r="Q263" s="7">
        <f>Table2[[#This Row],[Elevation
PILE TOP]]-Table2[[#This Row],[LENGTH(m.)
(Actual)]]</f>
        <v>-0.17499999999999999</v>
      </c>
      <c r="R263" s="2"/>
      <c r="S263" s="7">
        <f>Table2[[#This Row],[N]]+Table2[[#This Row],[Pile 
Deviation 
N (m)]]</f>
        <v>1511734.9040000001</v>
      </c>
      <c r="T263" s="7">
        <f>Table2[[#This Row],[E]]+Table2[[#This Row],[Pile 
Deviation 
E (m)]]</f>
        <v>694003.60600000003</v>
      </c>
      <c r="W263" s="7">
        <v>-0.67500000000000004</v>
      </c>
      <c r="X263" s="2" t="s">
        <v>33</v>
      </c>
      <c r="AA263" s="9">
        <v>46212</v>
      </c>
    </row>
    <row r="264" spans="1:27" hidden="1" x14ac:dyDescent="0.65">
      <c r="A264">
        <v>262</v>
      </c>
      <c r="B264" t="s">
        <v>29</v>
      </c>
      <c r="C264" s="6">
        <v>1511724.3419999999</v>
      </c>
      <c r="D264" s="6">
        <v>693966.46200000006</v>
      </c>
      <c r="E264" s="2" t="s">
        <v>35</v>
      </c>
      <c r="F264" s="1">
        <v>24</v>
      </c>
      <c r="G264" s="2" t="s">
        <v>31</v>
      </c>
      <c r="J264"/>
      <c r="K264" s="19"/>
      <c r="L264" s="21"/>
      <c r="M264" s="27"/>
      <c r="N264" s="19"/>
      <c r="O264" s="21"/>
      <c r="P264" s="7">
        <v>0.28999999999999998</v>
      </c>
      <c r="Q264" s="7">
        <f>Table2[[#This Row],[Elevation
PILE TOP]]-Table2[[#This Row],[LENGTH(m.)
(Actual)]]</f>
        <v>0.28999999999999998</v>
      </c>
      <c r="R264" s="2"/>
      <c r="S264" s="7">
        <f>Table2[[#This Row],[N]]+Table2[[#This Row],[Pile 
Deviation 
N (m)]]</f>
        <v>1511724.3419999999</v>
      </c>
      <c r="T264" s="7">
        <f>Table2[[#This Row],[E]]+Table2[[#This Row],[Pile 
Deviation 
E (m)]]</f>
        <v>693966.46200000006</v>
      </c>
      <c r="W264" s="7">
        <v>0.28999999999999998</v>
      </c>
      <c r="X264" s="2" t="s">
        <v>40</v>
      </c>
      <c r="AA264" s="9">
        <v>46226</v>
      </c>
    </row>
    <row r="265" spans="1:27" ht="13.95" customHeight="1" x14ac:dyDescent="0.65">
      <c r="A265">
        <v>263</v>
      </c>
      <c r="B265" t="s">
        <v>29</v>
      </c>
      <c r="C265" s="6">
        <v>1511725.074</v>
      </c>
      <c r="D265" s="6">
        <v>693970.08900000004</v>
      </c>
      <c r="E265" s="2" t="s">
        <v>35</v>
      </c>
      <c r="F265" s="1">
        <v>24</v>
      </c>
      <c r="G265" s="2" t="s">
        <v>31</v>
      </c>
      <c r="J265"/>
      <c r="K265" s="19"/>
      <c r="L265" s="21"/>
      <c r="M265" s="27"/>
      <c r="N265" s="19"/>
      <c r="O265" s="21"/>
      <c r="P265" s="7">
        <v>0.28999999999999998</v>
      </c>
      <c r="Q265" s="7">
        <f>Table2[[#This Row],[Elevation
PILE TOP]]-Table2[[#This Row],[LENGTH(m.)
(Actual)]]</f>
        <v>0.28999999999999998</v>
      </c>
      <c r="R265" s="2"/>
      <c r="S265" s="7">
        <f>Table2[[#This Row],[N]]+Table2[[#This Row],[Pile 
Deviation 
N (m)]]</f>
        <v>1511725.074</v>
      </c>
      <c r="T265" s="7">
        <f>Table2[[#This Row],[E]]+Table2[[#This Row],[Pile 
Deviation 
E (m)]]</f>
        <v>693970.08900000004</v>
      </c>
      <c r="W265" s="7">
        <v>0.28999999999999998</v>
      </c>
      <c r="X265" s="2" t="s">
        <v>40</v>
      </c>
      <c r="AA265" s="9">
        <v>46195</v>
      </c>
    </row>
    <row r="266" spans="1:27" hidden="1" x14ac:dyDescent="0.65">
      <c r="A266">
        <v>264</v>
      </c>
      <c r="B266" t="s">
        <v>29</v>
      </c>
      <c r="C266" s="6">
        <v>1511725.747</v>
      </c>
      <c r="D266" s="6">
        <v>693973.42099999997</v>
      </c>
      <c r="E266" s="2" t="s">
        <v>35</v>
      </c>
      <c r="F266" s="1">
        <v>24</v>
      </c>
      <c r="G266" s="2" t="s">
        <v>31</v>
      </c>
      <c r="J266"/>
      <c r="K266" s="19"/>
      <c r="L266" s="21"/>
      <c r="M266" s="27"/>
      <c r="N266" s="19"/>
      <c r="O266" s="21"/>
      <c r="P266" s="7">
        <v>0.28999999999999998</v>
      </c>
      <c r="Q266" s="7">
        <f>Table2[[#This Row],[Elevation
PILE TOP]]-Table2[[#This Row],[LENGTH(m.)
(Actual)]]</f>
        <v>0.28999999999999998</v>
      </c>
      <c r="R266" s="2"/>
      <c r="S266" s="7">
        <f>Table2[[#This Row],[N]]+Table2[[#This Row],[Pile 
Deviation 
N (m)]]</f>
        <v>1511725.747</v>
      </c>
      <c r="T266" s="7">
        <f>Table2[[#This Row],[E]]+Table2[[#This Row],[Pile 
Deviation 
E (m)]]</f>
        <v>693973.42099999997</v>
      </c>
      <c r="W266" s="7">
        <v>0.28999999999999998</v>
      </c>
      <c r="X266" s="2" t="s">
        <v>40</v>
      </c>
      <c r="AA266" s="9">
        <v>46226</v>
      </c>
    </row>
    <row r="267" spans="1:27" ht="13.95" customHeight="1" x14ac:dyDescent="0.65">
      <c r="A267">
        <v>265</v>
      </c>
      <c r="B267" t="s">
        <v>29</v>
      </c>
      <c r="C267" s="6">
        <v>1511726.42</v>
      </c>
      <c r="D267" s="6">
        <v>693976.75399999996</v>
      </c>
      <c r="E267" s="2" t="s">
        <v>35</v>
      </c>
      <c r="F267" s="1">
        <v>24</v>
      </c>
      <c r="G267" s="2" t="s">
        <v>31</v>
      </c>
      <c r="J267"/>
      <c r="K267" s="19"/>
      <c r="L267" s="21"/>
      <c r="M267" s="27"/>
      <c r="N267" s="19"/>
      <c r="O267" s="21"/>
      <c r="P267" s="7">
        <v>0.28999999999999998</v>
      </c>
      <c r="Q267" s="7">
        <f>Table2[[#This Row],[Elevation
PILE TOP]]-Table2[[#This Row],[LENGTH(m.)
(Actual)]]</f>
        <v>0.28999999999999998</v>
      </c>
      <c r="R267" s="2"/>
      <c r="S267" s="7">
        <f>Table2[[#This Row],[N]]+Table2[[#This Row],[Pile 
Deviation 
N (m)]]</f>
        <v>1511726.42</v>
      </c>
      <c r="T267" s="7">
        <f>Table2[[#This Row],[E]]+Table2[[#This Row],[Pile 
Deviation 
E (m)]]</f>
        <v>693976.75399999996</v>
      </c>
      <c r="W267" s="7">
        <v>0.28999999999999998</v>
      </c>
      <c r="X267" s="2" t="s">
        <v>40</v>
      </c>
      <c r="AA267" s="9">
        <v>46197</v>
      </c>
    </row>
    <row r="268" spans="1:27" x14ac:dyDescent="0.65">
      <c r="A268">
        <v>266</v>
      </c>
      <c r="B268" t="s">
        <v>29</v>
      </c>
      <c r="C268" s="6">
        <v>1511727.0930000001</v>
      </c>
      <c r="D268" s="6">
        <v>693980.08700000006</v>
      </c>
      <c r="E268" s="2" t="s">
        <v>35</v>
      </c>
      <c r="F268" s="1">
        <v>24</v>
      </c>
      <c r="G268" s="2" t="s">
        <v>31</v>
      </c>
      <c r="J268"/>
      <c r="K268" s="19"/>
      <c r="L268" s="21"/>
      <c r="M268" s="27"/>
      <c r="N268" s="19"/>
      <c r="O268" s="21"/>
      <c r="P268" s="7">
        <v>0.28999999999999998</v>
      </c>
      <c r="Q268" s="7">
        <f>Table2[[#This Row],[Elevation
PILE TOP]]-Table2[[#This Row],[LENGTH(m.)
(Actual)]]</f>
        <v>0.28999999999999998</v>
      </c>
      <c r="R268" s="2"/>
      <c r="S268" s="7">
        <f>Table2[[#This Row],[N]]+Table2[[#This Row],[Pile 
Deviation 
N (m)]]</f>
        <v>1511727.0930000001</v>
      </c>
      <c r="T268" s="7">
        <f>Table2[[#This Row],[E]]+Table2[[#This Row],[Pile 
Deviation 
E (m)]]</f>
        <v>693980.08700000006</v>
      </c>
      <c r="W268" s="7">
        <v>0.28999999999999998</v>
      </c>
      <c r="X268" s="2" t="s">
        <v>40</v>
      </c>
      <c r="AA268" s="9">
        <v>46198</v>
      </c>
    </row>
    <row r="269" spans="1:27" ht="13.95" customHeight="1" x14ac:dyDescent="0.65">
      <c r="A269">
        <v>267</v>
      </c>
      <c r="B269" t="s">
        <v>29</v>
      </c>
      <c r="C269" s="6">
        <v>1511727.7660000001</v>
      </c>
      <c r="D269" s="6">
        <v>693983.41899999999</v>
      </c>
      <c r="E269" s="2" t="s">
        <v>35</v>
      </c>
      <c r="F269" s="1">
        <v>24</v>
      </c>
      <c r="G269" s="2" t="s">
        <v>31</v>
      </c>
      <c r="J269"/>
      <c r="K269" s="19"/>
      <c r="L269" s="21"/>
      <c r="M269" s="27"/>
      <c r="N269" s="19"/>
      <c r="O269" s="21"/>
      <c r="P269" s="7">
        <v>0.28999999999999998</v>
      </c>
      <c r="Q269" s="7">
        <f>Table2[[#This Row],[Elevation
PILE TOP]]-Table2[[#This Row],[LENGTH(m.)
(Actual)]]</f>
        <v>0.28999999999999998</v>
      </c>
      <c r="R269" s="2"/>
      <c r="S269" s="7">
        <f>Table2[[#This Row],[N]]+Table2[[#This Row],[Pile 
Deviation 
N (m)]]</f>
        <v>1511727.7660000001</v>
      </c>
      <c r="T269" s="7">
        <f>Table2[[#This Row],[E]]+Table2[[#This Row],[Pile 
Deviation 
E (m)]]</f>
        <v>693983.41899999999</v>
      </c>
      <c r="W269" s="7">
        <v>0.28999999999999998</v>
      </c>
      <c r="X269" s="2" t="s">
        <v>40</v>
      </c>
      <c r="AA269" s="9">
        <v>46199</v>
      </c>
    </row>
    <row r="270" spans="1:27" x14ac:dyDescent="0.65">
      <c r="A270">
        <v>268</v>
      </c>
      <c r="B270" t="s">
        <v>29</v>
      </c>
      <c r="C270" s="6">
        <v>1511728.36</v>
      </c>
      <c r="D270" s="6">
        <v>693986.36</v>
      </c>
      <c r="E270" s="2" t="s">
        <v>35</v>
      </c>
      <c r="F270" s="1">
        <v>24</v>
      </c>
      <c r="G270" s="2" t="s">
        <v>31</v>
      </c>
      <c r="J270"/>
      <c r="K270" s="19"/>
      <c r="L270" s="21"/>
      <c r="M270" s="27"/>
      <c r="N270" s="19"/>
      <c r="O270" s="21"/>
      <c r="P270" s="7">
        <v>0.28999999999999998</v>
      </c>
      <c r="Q270" s="7">
        <f>Table2[[#This Row],[Elevation
PILE TOP]]-Table2[[#This Row],[LENGTH(m.)
(Actual)]]</f>
        <v>0.28999999999999998</v>
      </c>
      <c r="R270" s="2"/>
      <c r="S270" s="7">
        <f>Table2[[#This Row],[N]]+Table2[[#This Row],[Pile 
Deviation 
N (m)]]</f>
        <v>1511728.36</v>
      </c>
      <c r="T270" s="7">
        <f>Table2[[#This Row],[E]]+Table2[[#This Row],[Pile 
Deviation 
E (m)]]</f>
        <v>693986.36</v>
      </c>
      <c r="W270" s="7">
        <v>0.28999999999999998</v>
      </c>
      <c r="X270" s="2" t="s">
        <v>40</v>
      </c>
      <c r="AA270" s="9">
        <v>46199</v>
      </c>
    </row>
    <row r="271" spans="1:27" ht="13.95" customHeight="1" x14ac:dyDescent="0.65">
      <c r="A271">
        <v>269</v>
      </c>
      <c r="B271" t="s">
        <v>29</v>
      </c>
      <c r="C271" s="6">
        <v>1511728.9539999999</v>
      </c>
      <c r="D271" s="6">
        <v>693989.30099999998</v>
      </c>
      <c r="E271" s="2" t="s">
        <v>35</v>
      </c>
      <c r="F271" s="1">
        <v>24</v>
      </c>
      <c r="G271" s="2" t="s">
        <v>31</v>
      </c>
      <c r="J271"/>
      <c r="K271" s="19"/>
      <c r="L271" s="21"/>
      <c r="M271" s="27"/>
      <c r="N271" s="19"/>
      <c r="O271" s="21"/>
      <c r="P271" s="7">
        <v>0.28999999999999998</v>
      </c>
      <c r="Q271" s="7">
        <f>Table2[[#This Row],[Elevation
PILE TOP]]-Table2[[#This Row],[LENGTH(m.)
(Actual)]]</f>
        <v>0.28999999999999998</v>
      </c>
      <c r="R271" s="2"/>
      <c r="S271" s="7">
        <f>Table2[[#This Row],[N]]+Table2[[#This Row],[Pile 
Deviation 
N (m)]]</f>
        <v>1511728.9539999999</v>
      </c>
      <c r="T271" s="7">
        <f>Table2[[#This Row],[E]]+Table2[[#This Row],[Pile 
Deviation 
E (m)]]</f>
        <v>693989.30099999998</v>
      </c>
      <c r="W271" s="7">
        <v>0.28999999999999998</v>
      </c>
      <c r="X271" s="2" t="s">
        <v>40</v>
      </c>
      <c r="AA271" s="9">
        <v>46200</v>
      </c>
    </row>
    <row r="272" spans="1:27" x14ac:dyDescent="0.65">
      <c r="A272">
        <v>270</v>
      </c>
      <c r="B272" t="s">
        <v>29</v>
      </c>
      <c r="C272" s="6">
        <v>1511729.548</v>
      </c>
      <c r="D272" s="6">
        <v>693992.24100000004</v>
      </c>
      <c r="E272" s="2" t="s">
        <v>35</v>
      </c>
      <c r="F272" s="1">
        <v>24</v>
      </c>
      <c r="G272" s="2" t="s">
        <v>31</v>
      </c>
      <c r="J272"/>
      <c r="K272" s="19"/>
      <c r="L272" s="21"/>
      <c r="M272" s="27"/>
      <c r="N272" s="19"/>
      <c r="O272" s="21"/>
      <c r="P272" s="7">
        <v>0.28999999999999998</v>
      </c>
      <c r="Q272" s="7">
        <f>Table2[[#This Row],[Elevation
PILE TOP]]-Table2[[#This Row],[LENGTH(m.)
(Actual)]]</f>
        <v>0.28999999999999998</v>
      </c>
      <c r="R272" s="2"/>
      <c r="S272" s="7">
        <f>Table2[[#This Row],[N]]+Table2[[#This Row],[Pile 
Deviation 
N (m)]]</f>
        <v>1511729.548</v>
      </c>
      <c r="T272" s="7">
        <f>Table2[[#This Row],[E]]+Table2[[#This Row],[Pile 
Deviation 
E (m)]]</f>
        <v>693992.24100000004</v>
      </c>
      <c r="W272" s="7">
        <v>0.28999999999999998</v>
      </c>
      <c r="X272" s="2" t="s">
        <v>40</v>
      </c>
      <c r="AA272" s="9">
        <v>46202</v>
      </c>
    </row>
    <row r="273" spans="1:27" ht="13.95" customHeight="1" x14ac:dyDescent="0.65">
      <c r="A273">
        <v>271</v>
      </c>
      <c r="B273" t="s">
        <v>29</v>
      </c>
      <c r="C273" s="6">
        <v>1511730.2209999999</v>
      </c>
      <c r="D273" s="6">
        <v>693995.57400000002</v>
      </c>
      <c r="E273" s="2" t="s">
        <v>35</v>
      </c>
      <c r="F273" s="1">
        <v>24</v>
      </c>
      <c r="G273" s="2" t="s">
        <v>31</v>
      </c>
      <c r="J273"/>
      <c r="K273" s="19"/>
      <c r="L273" s="21"/>
      <c r="M273" s="27"/>
      <c r="N273" s="19"/>
      <c r="O273" s="21"/>
      <c r="P273" s="7">
        <v>0.28999999999999998</v>
      </c>
      <c r="Q273" s="7">
        <f>Table2[[#This Row],[Elevation
PILE TOP]]-Table2[[#This Row],[LENGTH(m.)
(Actual)]]</f>
        <v>0.28999999999999998</v>
      </c>
      <c r="R273" s="2"/>
      <c r="S273" s="7">
        <f>Table2[[#This Row],[N]]+Table2[[#This Row],[Pile 
Deviation 
N (m)]]</f>
        <v>1511730.2209999999</v>
      </c>
      <c r="T273" s="7">
        <f>Table2[[#This Row],[E]]+Table2[[#This Row],[Pile 
Deviation 
E (m)]]</f>
        <v>693995.57400000002</v>
      </c>
      <c r="W273" s="7">
        <v>0.28999999999999998</v>
      </c>
      <c r="X273" s="2" t="s">
        <v>40</v>
      </c>
      <c r="AA273" s="9">
        <v>46198</v>
      </c>
    </row>
    <row r="274" spans="1:27" x14ac:dyDescent="0.65">
      <c r="A274">
        <v>272</v>
      </c>
      <c r="B274" t="s">
        <v>29</v>
      </c>
      <c r="C274" s="6">
        <v>1511730.8940000001</v>
      </c>
      <c r="D274" s="6">
        <v>693998.90700000001</v>
      </c>
      <c r="E274" s="2" t="s">
        <v>35</v>
      </c>
      <c r="F274" s="1">
        <v>24</v>
      </c>
      <c r="G274" s="2" t="s">
        <v>31</v>
      </c>
      <c r="J274"/>
      <c r="K274" s="19"/>
      <c r="L274" s="21"/>
      <c r="M274" s="27"/>
      <c r="N274" s="19"/>
      <c r="O274" s="21"/>
      <c r="P274" s="7">
        <v>0.28999999999999998</v>
      </c>
      <c r="Q274" s="7">
        <f>Table2[[#This Row],[Elevation
PILE TOP]]-Table2[[#This Row],[LENGTH(m.)
(Actual)]]</f>
        <v>0.28999999999999998</v>
      </c>
      <c r="R274" s="2"/>
      <c r="S274" s="7">
        <f>Table2[[#This Row],[N]]+Table2[[#This Row],[Pile 
Deviation 
N (m)]]</f>
        <v>1511730.8940000001</v>
      </c>
      <c r="T274" s="7">
        <f>Table2[[#This Row],[E]]+Table2[[#This Row],[Pile 
Deviation 
E (m)]]</f>
        <v>693998.90700000001</v>
      </c>
      <c r="W274" s="7">
        <v>0.28999999999999998</v>
      </c>
      <c r="X274" s="2" t="s">
        <v>40</v>
      </c>
      <c r="AA274" s="9">
        <v>46198</v>
      </c>
    </row>
    <row r="275" spans="1:27" ht="13.95" hidden="1" customHeight="1" x14ac:dyDescent="0.65">
      <c r="A275">
        <v>273</v>
      </c>
      <c r="B275" t="s">
        <v>29</v>
      </c>
      <c r="C275" s="6">
        <v>1511731.6270000001</v>
      </c>
      <c r="D275" s="6">
        <v>694002.53399999999</v>
      </c>
      <c r="E275" s="2" t="s">
        <v>35</v>
      </c>
      <c r="F275" s="1">
        <v>24</v>
      </c>
      <c r="G275" s="2" t="s">
        <v>31</v>
      </c>
      <c r="J275"/>
      <c r="K275" s="19"/>
      <c r="L275" s="21"/>
      <c r="M275" s="27"/>
      <c r="N275" s="19"/>
      <c r="O275" s="21"/>
      <c r="P275" s="7">
        <v>0.28999999999999998</v>
      </c>
      <c r="Q275" s="7">
        <f>Table2[[#This Row],[Elevation
PILE TOP]]-Table2[[#This Row],[LENGTH(m.)
(Actual)]]</f>
        <v>0.28999999999999998</v>
      </c>
      <c r="R275" s="2"/>
      <c r="S275" s="7">
        <f>Table2[[#This Row],[N]]+Table2[[#This Row],[Pile 
Deviation 
N (m)]]</f>
        <v>1511731.6270000001</v>
      </c>
      <c r="T275" s="7">
        <f>Table2[[#This Row],[E]]+Table2[[#This Row],[Pile 
Deviation 
E (m)]]</f>
        <v>694002.53399999999</v>
      </c>
      <c r="W275" s="7">
        <v>0.28999999999999998</v>
      </c>
      <c r="X275" s="2" t="s">
        <v>40</v>
      </c>
      <c r="AA275" s="9">
        <v>46212</v>
      </c>
    </row>
    <row r="276" spans="1:27" hidden="1" x14ac:dyDescent="0.65">
      <c r="A276">
        <v>274</v>
      </c>
      <c r="B276" t="s">
        <v>29</v>
      </c>
      <c r="C276" s="6">
        <v>1511721.8489999999</v>
      </c>
      <c r="D276" s="6">
        <v>693965.23100000003</v>
      </c>
      <c r="E276" s="2" t="s">
        <v>30</v>
      </c>
      <c r="F276" s="1">
        <v>24</v>
      </c>
      <c r="G276" s="2" t="s">
        <v>31</v>
      </c>
      <c r="J276"/>
      <c r="K276" s="19"/>
      <c r="L276" s="21"/>
      <c r="M276" s="27"/>
      <c r="N276" s="19"/>
      <c r="O276" s="21"/>
      <c r="P276" s="7">
        <v>-0.17499999999999999</v>
      </c>
      <c r="Q276" s="7">
        <f>Table2[[#This Row],[Elevation
PILE TOP]]-Table2[[#This Row],[LENGTH(m.)
(Actual)]]</f>
        <v>-0.17499999999999999</v>
      </c>
      <c r="R276" s="2"/>
      <c r="S276" s="7">
        <f>Table2[[#This Row],[N]]+Table2[[#This Row],[Pile 
Deviation 
N (m)]]</f>
        <v>1511721.8489999999</v>
      </c>
      <c r="T276" s="7">
        <f>Table2[[#This Row],[E]]+Table2[[#This Row],[Pile 
Deviation 
E (m)]]</f>
        <v>693965.23100000003</v>
      </c>
      <c r="W276" s="7">
        <v>-0.67500000000000004</v>
      </c>
      <c r="X276" s="2" t="s">
        <v>33</v>
      </c>
      <c r="AA276" s="9">
        <v>46227</v>
      </c>
    </row>
    <row r="277" spans="1:27" ht="13.95" hidden="1" customHeight="1" x14ac:dyDescent="0.65">
      <c r="A277">
        <v>275</v>
      </c>
      <c r="B277" t="s">
        <v>29</v>
      </c>
      <c r="C277" s="6">
        <v>1511722.027</v>
      </c>
      <c r="D277" s="6">
        <v>693966.11300000001</v>
      </c>
      <c r="E277" s="2" t="s">
        <v>30</v>
      </c>
      <c r="F277" s="1">
        <v>24</v>
      </c>
      <c r="G277" s="2" t="s">
        <v>31</v>
      </c>
      <c r="J277"/>
      <c r="K277" s="19"/>
      <c r="L277" s="21"/>
      <c r="M277" s="27"/>
      <c r="N277" s="19"/>
      <c r="O277" s="21"/>
      <c r="P277" s="7">
        <v>-0.17499999999999999</v>
      </c>
      <c r="Q277" s="7">
        <f>Table2[[#This Row],[Elevation
PILE TOP]]-Table2[[#This Row],[LENGTH(m.)
(Actual)]]</f>
        <v>-0.17499999999999999</v>
      </c>
      <c r="R277" s="2"/>
      <c r="S277" s="7">
        <f>Table2[[#This Row],[N]]+Table2[[#This Row],[Pile 
Deviation 
N (m)]]</f>
        <v>1511722.027</v>
      </c>
      <c r="T277" s="7">
        <f>Table2[[#This Row],[E]]+Table2[[#This Row],[Pile 
Deviation 
E (m)]]</f>
        <v>693966.11300000001</v>
      </c>
      <c r="W277" s="7">
        <v>-0.67500000000000004</v>
      </c>
      <c r="X277" s="2" t="s">
        <v>33</v>
      </c>
      <c r="AA277" s="9">
        <v>46227</v>
      </c>
    </row>
    <row r="278" spans="1:27" hidden="1" x14ac:dyDescent="0.65">
      <c r="A278">
        <v>276</v>
      </c>
      <c r="B278" t="s">
        <v>29</v>
      </c>
      <c r="C278" s="6">
        <v>1511721.0649999999</v>
      </c>
      <c r="D278" s="6">
        <v>693965.38899999997</v>
      </c>
      <c r="E278" s="2" t="s">
        <v>30</v>
      </c>
      <c r="F278" s="1">
        <v>24</v>
      </c>
      <c r="G278" s="2" t="s">
        <v>31</v>
      </c>
      <c r="J278"/>
      <c r="K278" s="19"/>
      <c r="L278" s="21"/>
      <c r="M278" s="27"/>
      <c r="N278" s="19"/>
      <c r="O278" s="21"/>
      <c r="P278" s="7">
        <v>-0.17499999999999999</v>
      </c>
      <c r="Q278" s="7">
        <f>Table2[[#This Row],[Elevation
PILE TOP]]-Table2[[#This Row],[LENGTH(m.)
(Actual)]]</f>
        <v>-0.17499999999999999</v>
      </c>
      <c r="R278" s="2"/>
      <c r="S278" s="7">
        <f>Table2[[#This Row],[N]]+Table2[[#This Row],[Pile 
Deviation 
N (m)]]</f>
        <v>1511721.0649999999</v>
      </c>
      <c r="T278" s="7">
        <f>Table2[[#This Row],[E]]+Table2[[#This Row],[Pile 
Deviation 
E (m)]]</f>
        <v>693965.38899999997</v>
      </c>
      <c r="W278" s="7">
        <v>-0.67500000000000004</v>
      </c>
      <c r="X278" s="2" t="s">
        <v>33</v>
      </c>
      <c r="AA278" s="9">
        <v>46227</v>
      </c>
    </row>
    <row r="279" spans="1:27" ht="13.95" hidden="1" customHeight="1" x14ac:dyDescent="0.65">
      <c r="A279">
        <v>277</v>
      </c>
      <c r="B279" t="s">
        <v>29</v>
      </c>
      <c r="C279" s="6">
        <v>1511721.243</v>
      </c>
      <c r="D279" s="6">
        <v>693966.27099999995</v>
      </c>
      <c r="E279" s="2" t="s">
        <v>30</v>
      </c>
      <c r="F279" s="1">
        <v>24</v>
      </c>
      <c r="G279" s="2" t="s">
        <v>31</v>
      </c>
      <c r="J279"/>
      <c r="K279" s="19"/>
      <c r="L279" s="21"/>
      <c r="M279" s="27"/>
      <c r="N279" s="19"/>
      <c r="O279" s="21"/>
      <c r="P279" s="7">
        <v>-0.17499999999999999</v>
      </c>
      <c r="Q279" s="7">
        <f>Table2[[#This Row],[Elevation
PILE TOP]]-Table2[[#This Row],[LENGTH(m.)
(Actual)]]</f>
        <v>-0.17499999999999999</v>
      </c>
      <c r="R279" s="2"/>
      <c r="S279" s="7">
        <f>Table2[[#This Row],[N]]+Table2[[#This Row],[Pile 
Deviation 
N (m)]]</f>
        <v>1511721.243</v>
      </c>
      <c r="T279" s="7">
        <f>Table2[[#This Row],[E]]+Table2[[#This Row],[Pile 
Deviation 
E (m)]]</f>
        <v>693966.27099999995</v>
      </c>
      <c r="W279" s="7">
        <v>-0.67500000000000004</v>
      </c>
      <c r="X279" s="2" t="s">
        <v>33</v>
      </c>
      <c r="AA279" s="9">
        <v>46227</v>
      </c>
    </row>
    <row r="280" spans="1:27" hidden="1" x14ac:dyDescent="0.65">
      <c r="A280">
        <v>278</v>
      </c>
      <c r="B280" t="s">
        <v>29</v>
      </c>
      <c r="C280" s="6">
        <v>1511721.0090000001</v>
      </c>
      <c r="D280" s="6">
        <v>693967.13500000001</v>
      </c>
      <c r="E280" s="2" t="s">
        <v>35</v>
      </c>
      <c r="F280" s="1">
        <v>24</v>
      </c>
      <c r="G280" s="2" t="s">
        <v>31</v>
      </c>
      <c r="J280"/>
      <c r="K280" s="19"/>
      <c r="L280" s="21"/>
      <c r="M280" s="27"/>
      <c r="N280" s="19"/>
      <c r="O280" s="21"/>
      <c r="P280" s="7">
        <v>0.28999999999999998</v>
      </c>
      <c r="Q280" s="7">
        <f>Table2[[#This Row],[Elevation
PILE TOP]]-Table2[[#This Row],[LENGTH(m.)
(Actual)]]</f>
        <v>0.28999999999999998</v>
      </c>
      <c r="R280" s="2"/>
      <c r="S280" s="7">
        <f>Table2[[#This Row],[N]]+Table2[[#This Row],[Pile 
Deviation 
N (m)]]</f>
        <v>1511721.0090000001</v>
      </c>
      <c r="T280" s="7">
        <f>Table2[[#This Row],[E]]+Table2[[#This Row],[Pile 
Deviation 
E (m)]]</f>
        <v>693967.13500000001</v>
      </c>
      <c r="W280" s="7">
        <v>0.28999999999999998</v>
      </c>
      <c r="X280" s="2" t="s">
        <v>40</v>
      </c>
      <c r="AA280" s="9">
        <v>46227</v>
      </c>
    </row>
    <row r="281" spans="1:27" ht="13.95" hidden="1" customHeight="1" x14ac:dyDescent="0.65">
      <c r="A281">
        <v>279</v>
      </c>
      <c r="B281" t="s">
        <v>29</v>
      </c>
      <c r="C281" s="6">
        <v>1511722.304</v>
      </c>
      <c r="D281" s="6">
        <v>693967.72400000005</v>
      </c>
      <c r="E281" s="2" t="s">
        <v>41</v>
      </c>
      <c r="F281" s="1">
        <v>26</v>
      </c>
      <c r="G281" s="2" t="s">
        <v>31</v>
      </c>
      <c r="J281"/>
      <c r="K281" s="19"/>
      <c r="L281" s="21"/>
      <c r="M281" s="27"/>
      <c r="N281" s="19"/>
      <c r="O281" s="21"/>
      <c r="P281" s="7">
        <v>0.35</v>
      </c>
      <c r="Q281" s="7">
        <f>Table2[[#This Row],[Elevation
PILE TOP]]-Table2[[#This Row],[LENGTH(m.)
(Actual)]]</f>
        <v>0.35</v>
      </c>
      <c r="R281" s="2"/>
      <c r="S281" s="7">
        <f>Table2[[#This Row],[N]]+Table2[[#This Row],[Pile 
Deviation 
N (m)]]</f>
        <v>1511722.304</v>
      </c>
      <c r="T281" s="7">
        <f>Table2[[#This Row],[E]]+Table2[[#This Row],[Pile 
Deviation 
E (m)]]</f>
        <v>693967.72400000005</v>
      </c>
      <c r="W281" s="7">
        <v>-0.15</v>
      </c>
      <c r="X281" s="2" t="s">
        <v>42</v>
      </c>
      <c r="AA281" s="9">
        <v>46210</v>
      </c>
    </row>
    <row r="282" spans="1:27" hidden="1" x14ac:dyDescent="0.65">
      <c r="A282">
        <v>280</v>
      </c>
      <c r="B282" t="s">
        <v>29</v>
      </c>
      <c r="C282" s="6">
        <v>1511724.2169999999</v>
      </c>
      <c r="D282" s="6">
        <v>693968.99399999995</v>
      </c>
      <c r="E282" s="2" t="s">
        <v>41</v>
      </c>
      <c r="F282" s="1">
        <v>26</v>
      </c>
      <c r="G282" s="2" t="s">
        <v>31</v>
      </c>
      <c r="J282"/>
      <c r="K282" s="19"/>
      <c r="L282" s="21"/>
      <c r="M282" s="27"/>
      <c r="N282" s="19"/>
      <c r="O282" s="21"/>
      <c r="P282" s="7">
        <v>0.35</v>
      </c>
      <c r="Q282" s="7">
        <f>Table2[[#This Row],[Elevation
PILE TOP]]-Table2[[#This Row],[LENGTH(m.)
(Actual)]]</f>
        <v>0.35</v>
      </c>
      <c r="R282" s="2"/>
      <c r="S282" s="7">
        <f>Table2[[#This Row],[N]]+Table2[[#This Row],[Pile 
Deviation 
N (m)]]</f>
        <v>1511724.2169999999</v>
      </c>
      <c r="T282" s="7">
        <f>Table2[[#This Row],[E]]+Table2[[#This Row],[Pile 
Deviation 
E (m)]]</f>
        <v>693968.99399999995</v>
      </c>
      <c r="W282" s="7">
        <v>-0.15</v>
      </c>
      <c r="X282" s="2" t="s">
        <v>42</v>
      </c>
      <c r="AA282" s="9">
        <v>46210</v>
      </c>
    </row>
    <row r="283" spans="1:27" ht="13.95" hidden="1" customHeight="1" x14ac:dyDescent="0.65">
      <c r="A283">
        <v>281</v>
      </c>
      <c r="B283" t="s">
        <v>29</v>
      </c>
      <c r="C283" s="6">
        <v>1511724.6710000001</v>
      </c>
      <c r="D283" s="6">
        <v>693971.24399999995</v>
      </c>
      <c r="E283" s="2" t="s">
        <v>41</v>
      </c>
      <c r="F283" s="1">
        <v>26</v>
      </c>
      <c r="G283" s="2" t="s">
        <v>31</v>
      </c>
      <c r="J283"/>
      <c r="K283" s="19"/>
      <c r="L283" s="21"/>
      <c r="M283" s="27"/>
      <c r="N283" s="19"/>
      <c r="O283" s="21"/>
      <c r="P283" s="7">
        <v>0.35</v>
      </c>
      <c r="Q283" s="7">
        <f>Table2[[#This Row],[Elevation
PILE TOP]]-Table2[[#This Row],[LENGTH(m.)
(Actual)]]</f>
        <v>0.35</v>
      </c>
      <c r="R283" s="2"/>
      <c r="S283" s="7">
        <f>Table2[[#This Row],[N]]+Table2[[#This Row],[Pile 
Deviation 
N (m)]]</f>
        <v>1511724.6710000001</v>
      </c>
      <c r="T283" s="7">
        <f>Table2[[#This Row],[E]]+Table2[[#This Row],[Pile 
Deviation 
E (m)]]</f>
        <v>693971.24399999995</v>
      </c>
      <c r="W283" s="7">
        <v>-0.15</v>
      </c>
      <c r="X283" s="2" t="s">
        <v>42</v>
      </c>
      <c r="AA283" s="9">
        <v>46209</v>
      </c>
    </row>
    <row r="284" spans="1:27" hidden="1" x14ac:dyDescent="0.65">
      <c r="A284">
        <v>282</v>
      </c>
      <c r="B284" t="s">
        <v>29</v>
      </c>
      <c r="C284" s="6">
        <v>1511723.4010000001</v>
      </c>
      <c r="D284" s="6">
        <v>693973.15700000001</v>
      </c>
      <c r="E284" s="2" t="s">
        <v>41</v>
      </c>
      <c r="F284" s="1">
        <v>26</v>
      </c>
      <c r="G284" s="2" t="s">
        <v>31</v>
      </c>
      <c r="J284"/>
      <c r="K284" s="19"/>
      <c r="L284" s="21"/>
      <c r="M284" s="27"/>
      <c r="N284" s="19"/>
      <c r="O284" s="21"/>
      <c r="P284" s="7">
        <v>0.35</v>
      </c>
      <c r="Q284" s="7">
        <f>Table2[[#This Row],[Elevation
PILE TOP]]-Table2[[#This Row],[LENGTH(m.)
(Actual)]]</f>
        <v>0.35</v>
      </c>
      <c r="R284" s="2"/>
      <c r="S284" s="7">
        <f>Table2[[#This Row],[N]]+Table2[[#This Row],[Pile 
Deviation 
N (m)]]</f>
        <v>1511723.4010000001</v>
      </c>
      <c r="T284" s="7">
        <f>Table2[[#This Row],[E]]+Table2[[#This Row],[Pile 
Deviation 
E (m)]]</f>
        <v>693973.15700000001</v>
      </c>
      <c r="W284" s="7">
        <v>-0.15</v>
      </c>
      <c r="X284" s="2" t="s">
        <v>42</v>
      </c>
      <c r="AA284" s="9">
        <v>46209</v>
      </c>
    </row>
    <row r="285" spans="1:27" ht="13.95" hidden="1" customHeight="1" x14ac:dyDescent="0.65">
      <c r="A285">
        <v>283</v>
      </c>
      <c r="B285" t="s">
        <v>29</v>
      </c>
      <c r="C285" s="6">
        <v>1511721.1510000001</v>
      </c>
      <c r="D285" s="6">
        <v>693973.61199999996</v>
      </c>
      <c r="E285" s="2" t="s">
        <v>41</v>
      </c>
      <c r="F285" s="1">
        <v>26</v>
      </c>
      <c r="G285" s="2" t="s">
        <v>31</v>
      </c>
      <c r="J285"/>
      <c r="K285" s="19"/>
      <c r="L285" s="21"/>
      <c r="M285" s="27"/>
      <c r="N285" s="19"/>
      <c r="O285" s="21"/>
      <c r="P285" s="7">
        <v>0.35</v>
      </c>
      <c r="Q285" s="7">
        <f>Table2[[#This Row],[Elevation
PILE TOP]]-Table2[[#This Row],[LENGTH(m.)
(Actual)]]</f>
        <v>0.35</v>
      </c>
      <c r="R285" s="2"/>
      <c r="S285" s="7">
        <f>Table2[[#This Row],[N]]+Table2[[#This Row],[Pile 
Deviation 
N (m)]]</f>
        <v>1511721.1510000001</v>
      </c>
      <c r="T285" s="7">
        <f>Table2[[#This Row],[E]]+Table2[[#This Row],[Pile 
Deviation 
E (m)]]</f>
        <v>693973.61199999996</v>
      </c>
      <c r="W285" s="7">
        <v>-0.15</v>
      </c>
      <c r="X285" s="2" t="s">
        <v>42</v>
      </c>
      <c r="AA285" s="9">
        <v>46209</v>
      </c>
    </row>
    <row r="286" spans="1:27" hidden="1" x14ac:dyDescent="0.65">
      <c r="A286">
        <v>284</v>
      </c>
      <c r="B286" t="s">
        <v>29</v>
      </c>
      <c r="C286" s="6">
        <v>1511719.2379999999</v>
      </c>
      <c r="D286" s="6">
        <v>693972.34199999995</v>
      </c>
      <c r="E286" s="2" t="s">
        <v>41</v>
      </c>
      <c r="F286" s="1">
        <v>26</v>
      </c>
      <c r="G286" s="2" t="s">
        <v>31</v>
      </c>
      <c r="J286"/>
      <c r="K286" s="19"/>
      <c r="L286" s="21"/>
      <c r="M286" s="27"/>
      <c r="N286" s="19"/>
      <c r="O286" s="21"/>
      <c r="P286" s="7">
        <v>0.35</v>
      </c>
      <c r="Q286" s="7">
        <f>Table2[[#This Row],[Elevation
PILE TOP]]-Table2[[#This Row],[LENGTH(m.)
(Actual)]]</f>
        <v>0.35</v>
      </c>
      <c r="R286" s="2"/>
      <c r="S286" s="7">
        <f>Table2[[#This Row],[N]]+Table2[[#This Row],[Pile 
Deviation 
N (m)]]</f>
        <v>1511719.2379999999</v>
      </c>
      <c r="T286" s="7">
        <f>Table2[[#This Row],[E]]+Table2[[#This Row],[Pile 
Deviation 
E (m)]]</f>
        <v>693972.34199999995</v>
      </c>
      <c r="W286" s="7">
        <v>-0.15</v>
      </c>
      <c r="X286" s="2" t="s">
        <v>42</v>
      </c>
      <c r="AA286" s="9">
        <v>46209</v>
      </c>
    </row>
    <row r="287" spans="1:27" ht="13.95" hidden="1" customHeight="1" x14ac:dyDescent="0.65">
      <c r="A287">
        <v>285</v>
      </c>
      <c r="B287" t="s">
        <v>29</v>
      </c>
      <c r="C287" s="6">
        <v>1511718.7830000001</v>
      </c>
      <c r="D287" s="6">
        <v>693970.09100000001</v>
      </c>
      <c r="E287" s="2" t="s">
        <v>41</v>
      </c>
      <c r="F287" s="1">
        <v>26</v>
      </c>
      <c r="G287" s="2" t="s">
        <v>31</v>
      </c>
      <c r="J287"/>
      <c r="K287" s="19"/>
      <c r="L287" s="21"/>
      <c r="M287" s="27"/>
      <c r="N287" s="19"/>
      <c r="O287" s="21"/>
      <c r="P287" s="7">
        <v>0.35</v>
      </c>
      <c r="Q287" s="7">
        <f>Table2[[#This Row],[Elevation
PILE TOP]]-Table2[[#This Row],[LENGTH(m.)
(Actual)]]</f>
        <v>0.35</v>
      </c>
      <c r="R287" s="2"/>
      <c r="S287" s="7">
        <f>Table2[[#This Row],[N]]+Table2[[#This Row],[Pile 
Deviation 
N (m)]]</f>
        <v>1511718.7830000001</v>
      </c>
      <c r="T287" s="7">
        <f>Table2[[#This Row],[E]]+Table2[[#This Row],[Pile 
Deviation 
E (m)]]</f>
        <v>693970.09100000001</v>
      </c>
      <c r="W287" s="7">
        <v>-0.15</v>
      </c>
      <c r="X287" s="2" t="s">
        <v>42</v>
      </c>
      <c r="AA287" s="9">
        <v>46210</v>
      </c>
    </row>
    <row r="288" spans="1:27" hidden="1" x14ac:dyDescent="0.65">
      <c r="A288">
        <v>286</v>
      </c>
      <c r="B288" t="s">
        <v>29</v>
      </c>
      <c r="C288" s="6">
        <v>1511720.0530000001</v>
      </c>
      <c r="D288" s="6">
        <v>693968.17799999996</v>
      </c>
      <c r="E288" s="2" t="s">
        <v>41</v>
      </c>
      <c r="F288" s="1">
        <v>26</v>
      </c>
      <c r="G288" s="2" t="s">
        <v>31</v>
      </c>
      <c r="J288"/>
      <c r="K288" s="19"/>
      <c r="L288" s="21"/>
      <c r="M288" s="27"/>
      <c r="N288" s="19"/>
      <c r="O288" s="21"/>
      <c r="P288" s="7">
        <v>0.35</v>
      </c>
      <c r="Q288" s="7">
        <f>Table2[[#This Row],[Elevation
PILE TOP]]-Table2[[#This Row],[LENGTH(m.)
(Actual)]]</f>
        <v>0.35</v>
      </c>
      <c r="R288" s="2"/>
      <c r="S288" s="7">
        <f>Table2[[#This Row],[N]]+Table2[[#This Row],[Pile 
Deviation 
N (m)]]</f>
        <v>1511720.0530000001</v>
      </c>
      <c r="T288" s="7">
        <f>Table2[[#This Row],[E]]+Table2[[#This Row],[Pile 
Deviation 
E (m)]]</f>
        <v>693968.17799999996</v>
      </c>
      <c r="W288" s="7">
        <v>-0.15</v>
      </c>
      <c r="X288" s="2" t="s">
        <v>42</v>
      </c>
      <c r="AA288" s="9">
        <v>46210</v>
      </c>
    </row>
    <row r="289" spans="1:27" ht="13.95" hidden="1" customHeight="1" x14ac:dyDescent="0.65">
      <c r="A289">
        <v>287</v>
      </c>
      <c r="B289" t="s">
        <v>29</v>
      </c>
      <c r="C289" s="6">
        <v>1511721.7420000001</v>
      </c>
      <c r="D289" s="6">
        <v>693970.76199999999</v>
      </c>
      <c r="E289" s="2" t="s">
        <v>35</v>
      </c>
      <c r="F289" s="1">
        <v>24</v>
      </c>
      <c r="G289" s="2" t="s">
        <v>31</v>
      </c>
      <c r="J289"/>
      <c r="K289" s="19"/>
      <c r="L289" s="21"/>
      <c r="M289" s="27"/>
      <c r="N289" s="19"/>
      <c r="O289" s="21"/>
      <c r="P289" s="7">
        <v>0.28999999999999998</v>
      </c>
      <c r="Q289" s="7">
        <f>Table2[[#This Row],[Elevation
PILE TOP]]-Table2[[#This Row],[LENGTH(m.)
(Actual)]]</f>
        <v>0.28999999999999998</v>
      </c>
      <c r="R289" s="2"/>
      <c r="S289" s="7">
        <f>Table2[[#This Row],[N]]+Table2[[#This Row],[Pile 
Deviation 
N (m)]]</f>
        <v>1511721.7420000001</v>
      </c>
      <c r="T289" s="7">
        <f>Table2[[#This Row],[E]]+Table2[[#This Row],[Pile 
Deviation 
E (m)]]</f>
        <v>693970.76199999999</v>
      </c>
      <c r="W289" s="7">
        <v>0.28999999999999998</v>
      </c>
      <c r="X289" s="2" t="s">
        <v>40</v>
      </c>
      <c r="AA289" s="9">
        <v>46210</v>
      </c>
    </row>
    <row r="290" spans="1:27" hidden="1" x14ac:dyDescent="0.65">
      <c r="A290">
        <v>288</v>
      </c>
      <c r="B290" t="s">
        <v>29</v>
      </c>
      <c r="C290" s="6">
        <v>1511722.415</v>
      </c>
      <c r="D290" s="6">
        <v>693974.09400000004</v>
      </c>
      <c r="E290" s="2" t="s">
        <v>35</v>
      </c>
      <c r="F290" s="1">
        <v>24</v>
      </c>
      <c r="G290" s="2" t="s">
        <v>31</v>
      </c>
      <c r="J290"/>
      <c r="K290" s="19"/>
      <c r="L290" s="21"/>
      <c r="M290" s="27"/>
      <c r="N290" s="19"/>
      <c r="O290" s="21"/>
      <c r="P290" s="7">
        <v>0.28999999999999998</v>
      </c>
      <c r="Q290" s="7">
        <f>Table2[[#This Row],[Elevation
PILE TOP]]-Table2[[#This Row],[LENGTH(m.)
(Actual)]]</f>
        <v>0.28999999999999998</v>
      </c>
      <c r="R290" s="2"/>
      <c r="S290" s="7">
        <f>Table2[[#This Row],[N]]+Table2[[#This Row],[Pile 
Deviation 
N (m)]]</f>
        <v>1511722.415</v>
      </c>
      <c r="T290" s="7">
        <f>Table2[[#This Row],[E]]+Table2[[#This Row],[Pile 
Deviation 
E (m)]]</f>
        <v>693974.09400000004</v>
      </c>
      <c r="W290" s="7">
        <v>0.28999999999999998</v>
      </c>
      <c r="X290" s="2" t="s">
        <v>40</v>
      </c>
      <c r="AA290" s="9">
        <v>46209</v>
      </c>
    </row>
    <row r="291" spans="1:27" ht="13.95" hidden="1" customHeight="1" x14ac:dyDescent="0.65">
      <c r="A291">
        <v>289</v>
      </c>
      <c r="B291" t="s">
        <v>29</v>
      </c>
      <c r="C291" s="6">
        <v>1511723.6510000001</v>
      </c>
      <c r="D291" s="6">
        <v>693974.39300000004</v>
      </c>
      <c r="E291" s="2" t="s">
        <v>41</v>
      </c>
      <c r="F291" s="1">
        <v>26</v>
      </c>
      <c r="G291" s="2" t="s">
        <v>31</v>
      </c>
      <c r="J291"/>
      <c r="K291" s="19"/>
      <c r="L291" s="21"/>
      <c r="M291" s="27"/>
      <c r="N291" s="19"/>
      <c r="O291" s="21"/>
      <c r="P291" s="7">
        <v>0.35</v>
      </c>
      <c r="Q291" s="7">
        <f>Table2[[#This Row],[Elevation
PILE TOP]]-Table2[[#This Row],[LENGTH(m.)
(Actual)]]</f>
        <v>0.35</v>
      </c>
      <c r="R291" s="2"/>
      <c r="S291" s="7">
        <f>Table2[[#This Row],[N]]+Table2[[#This Row],[Pile 
Deviation 
N (m)]]</f>
        <v>1511723.6510000001</v>
      </c>
      <c r="T291" s="7">
        <f>Table2[[#This Row],[E]]+Table2[[#This Row],[Pile 
Deviation 
E (m)]]</f>
        <v>693974.39300000004</v>
      </c>
      <c r="W291" s="7">
        <v>-0.15</v>
      </c>
      <c r="X291" s="2" t="s">
        <v>42</v>
      </c>
      <c r="AA291" s="9">
        <v>46209</v>
      </c>
    </row>
    <row r="292" spans="1:27" hidden="1" x14ac:dyDescent="0.65">
      <c r="A292">
        <v>290</v>
      </c>
      <c r="B292" t="s">
        <v>29</v>
      </c>
      <c r="C292" s="6">
        <v>1511725.564</v>
      </c>
      <c r="D292" s="6">
        <v>693975.66299999994</v>
      </c>
      <c r="E292" s="2" t="s">
        <v>41</v>
      </c>
      <c r="F292" s="1">
        <v>26</v>
      </c>
      <c r="G292" s="2" t="s">
        <v>31</v>
      </c>
      <c r="J292"/>
      <c r="K292" s="19"/>
      <c r="L292" s="21"/>
      <c r="M292" s="27"/>
      <c r="N292" s="19"/>
      <c r="O292" s="21"/>
      <c r="P292" s="7">
        <v>0.35</v>
      </c>
      <c r="Q292" s="7">
        <f>Table2[[#This Row],[Elevation
PILE TOP]]-Table2[[#This Row],[LENGTH(m.)
(Actual)]]</f>
        <v>0.35</v>
      </c>
      <c r="R292" s="2"/>
      <c r="S292" s="7">
        <f>Table2[[#This Row],[N]]+Table2[[#This Row],[Pile 
Deviation 
N (m)]]</f>
        <v>1511725.564</v>
      </c>
      <c r="T292" s="7">
        <f>Table2[[#This Row],[E]]+Table2[[#This Row],[Pile 
Deviation 
E (m)]]</f>
        <v>693975.66299999994</v>
      </c>
      <c r="W292" s="7">
        <v>-0.15</v>
      </c>
      <c r="X292" s="2" t="s">
        <v>42</v>
      </c>
      <c r="AA292" s="9">
        <v>46207</v>
      </c>
    </row>
    <row r="293" spans="1:27" ht="13.95" hidden="1" customHeight="1" x14ac:dyDescent="0.65">
      <c r="A293">
        <v>291</v>
      </c>
      <c r="B293" t="s">
        <v>29</v>
      </c>
      <c r="C293" s="6">
        <v>1511726.0179999999</v>
      </c>
      <c r="D293" s="6">
        <v>693977.91399999999</v>
      </c>
      <c r="E293" s="2" t="s">
        <v>41</v>
      </c>
      <c r="F293" s="1">
        <v>26</v>
      </c>
      <c r="G293" s="2" t="s">
        <v>31</v>
      </c>
      <c r="J293"/>
      <c r="K293" s="19"/>
      <c r="L293" s="21"/>
      <c r="M293" s="27"/>
      <c r="N293" s="19"/>
      <c r="O293" s="21"/>
      <c r="P293" s="7">
        <v>0.35</v>
      </c>
      <c r="Q293" s="7">
        <f>Table2[[#This Row],[Elevation
PILE TOP]]-Table2[[#This Row],[LENGTH(m.)
(Actual)]]</f>
        <v>0.35</v>
      </c>
      <c r="R293" s="2"/>
      <c r="S293" s="7">
        <f>Table2[[#This Row],[N]]+Table2[[#This Row],[Pile 
Deviation 
N (m)]]</f>
        <v>1511726.0179999999</v>
      </c>
      <c r="T293" s="7">
        <f>Table2[[#This Row],[E]]+Table2[[#This Row],[Pile 
Deviation 
E (m)]]</f>
        <v>693977.91399999999</v>
      </c>
      <c r="W293" s="7">
        <v>-0.15</v>
      </c>
      <c r="X293" s="2" t="s">
        <v>42</v>
      </c>
      <c r="AA293" s="9">
        <v>46207</v>
      </c>
    </row>
    <row r="294" spans="1:27" hidden="1" x14ac:dyDescent="0.65">
      <c r="A294">
        <v>292</v>
      </c>
      <c r="B294" t="s">
        <v>29</v>
      </c>
      <c r="C294" s="6">
        <v>1511724.7479999999</v>
      </c>
      <c r="D294" s="6">
        <v>693979.82700000005</v>
      </c>
      <c r="E294" s="2" t="s">
        <v>41</v>
      </c>
      <c r="F294" s="1">
        <v>26</v>
      </c>
      <c r="G294" s="2" t="s">
        <v>31</v>
      </c>
      <c r="J294"/>
      <c r="K294" s="19"/>
      <c r="L294" s="21"/>
      <c r="M294" s="27"/>
      <c r="N294" s="19"/>
      <c r="O294" s="21"/>
      <c r="P294" s="7">
        <v>0.35</v>
      </c>
      <c r="Q294" s="7">
        <f>Table2[[#This Row],[Elevation
PILE TOP]]-Table2[[#This Row],[LENGTH(m.)
(Actual)]]</f>
        <v>0.35</v>
      </c>
      <c r="R294" s="2"/>
      <c r="S294" s="7">
        <f>Table2[[#This Row],[N]]+Table2[[#This Row],[Pile 
Deviation 
N (m)]]</f>
        <v>1511724.7479999999</v>
      </c>
      <c r="T294" s="7">
        <f>Table2[[#This Row],[E]]+Table2[[#This Row],[Pile 
Deviation 
E (m)]]</f>
        <v>693979.82700000005</v>
      </c>
      <c r="W294" s="7">
        <v>-0.15</v>
      </c>
      <c r="X294" s="2" t="s">
        <v>42</v>
      </c>
      <c r="AA294" s="9">
        <v>46206</v>
      </c>
    </row>
    <row r="295" spans="1:27" ht="13.95" hidden="1" customHeight="1" x14ac:dyDescent="0.65">
      <c r="A295">
        <v>293</v>
      </c>
      <c r="B295" t="s">
        <v>29</v>
      </c>
      <c r="C295" s="6">
        <v>1511722.4979999999</v>
      </c>
      <c r="D295" s="6">
        <v>693980.28099999996</v>
      </c>
      <c r="E295" s="2" t="s">
        <v>41</v>
      </c>
      <c r="F295" s="1">
        <v>26</v>
      </c>
      <c r="G295" s="2" t="s">
        <v>31</v>
      </c>
      <c r="J295"/>
      <c r="K295" s="19"/>
      <c r="L295" s="21"/>
      <c r="M295" s="27"/>
      <c r="N295" s="19"/>
      <c r="O295" s="21"/>
      <c r="P295" s="7">
        <v>0.35</v>
      </c>
      <c r="Q295" s="7">
        <f>Table2[[#This Row],[Elevation
PILE TOP]]-Table2[[#This Row],[LENGTH(m.)
(Actual)]]</f>
        <v>0.35</v>
      </c>
      <c r="R295" s="2"/>
      <c r="S295" s="7">
        <f>Table2[[#This Row],[N]]+Table2[[#This Row],[Pile 
Deviation 
N (m)]]</f>
        <v>1511722.4979999999</v>
      </c>
      <c r="T295" s="7">
        <f>Table2[[#This Row],[E]]+Table2[[#This Row],[Pile 
Deviation 
E (m)]]</f>
        <v>693980.28099999996</v>
      </c>
      <c r="W295" s="7">
        <v>-0.15</v>
      </c>
      <c r="X295" s="2" t="s">
        <v>42</v>
      </c>
      <c r="AA295" s="9">
        <v>46206</v>
      </c>
    </row>
    <row r="296" spans="1:27" hidden="1" x14ac:dyDescent="0.65">
      <c r="A296">
        <v>294</v>
      </c>
      <c r="B296" t="s">
        <v>29</v>
      </c>
      <c r="C296" s="6">
        <v>1511720.585</v>
      </c>
      <c r="D296" s="6">
        <v>693979.01100000006</v>
      </c>
      <c r="E296" s="2" t="s">
        <v>41</v>
      </c>
      <c r="F296" s="1">
        <v>26</v>
      </c>
      <c r="G296" s="2" t="s">
        <v>31</v>
      </c>
      <c r="J296"/>
      <c r="K296" s="19"/>
      <c r="L296" s="21"/>
      <c r="M296" s="27"/>
      <c r="N296" s="19"/>
      <c r="O296" s="21"/>
      <c r="P296" s="7">
        <v>0.35</v>
      </c>
      <c r="Q296" s="7">
        <f>Table2[[#This Row],[Elevation
PILE TOP]]-Table2[[#This Row],[LENGTH(m.)
(Actual)]]</f>
        <v>0.35</v>
      </c>
      <c r="R296" s="2"/>
      <c r="S296" s="7">
        <f>Table2[[#This Row],[N]]+Table2[[#This Row],[Pile 
Deviation 
N (m)]]</f>
        <v>1511720.585</v>
      </c>
      <c r="T296" s="7">
        <f>Table2[[#This Row],[E]]+Table2[[#This Row],[Pile 
Deviation 
E (m)]]</f>
        <v>693979.01100000006</v>
      </c>
      <c r="W296" s="7">
        <v>-0.15</v>
      </c>
      <c r="X296" s="2" t="s">
        <v>42</v>
      </c>
      <c r="AA296" s="9">
        <v>46207</v>
      </c>
    </row>
    <row r="297" spans="1:27" ht="13.95" hidden="1" customHeight="1" x14ac:dyDescent="0.65">
      <c r="A297">
        <v>295</v>
      </c>
      <c r="B297" t="s">
        <v>29</v>
      </c>
      <c r="C297" s="6">
        <v>1511720.13</v>
      </c>
      <c r="D297" s="6">
        <v>693976.76100000006</v>
      </c>
      <c r="E297" s="2" t="s">
        <v>41</v>
      </c>
      <c r="F297" s="1">
        <v>26</v>
      </c>
      <c r="G297" s="2" t="s">
        <v>31</v>
      </c>
      <c r="J297"/>
      <c r="K297" s="19"/>
      <c r="L297" s="21"/>
      <c r="M297" s="27"/>
      <c r="N297" s="19"/>
      <c r="O297" s="21"/>
      <c r="P297" s="7">
        <v>0.35</v>
      </c>
      <c r="Q297" s="7">
        <f>Table2[[#This Row],[Elevation
PILE TOP]]-Table2[[#This Row],[LENGTH(m.)
(Actual)]]</f>
        <v>0.35</v>
      </c>
      <c r="R297" s="2"/>
      <c r="S297" s="7">
        <f>Table2[[#This Row],[N]]+Table2[[#This Row],[Pile 
Deviation 
N (m)]]</f>
        <v>1511720.13</v>
      </c>
      <c r="T297" s="7">
        <f>Table2[[#This Row],[E]]+Table2[[#This Row],[Pile 
Deviation 
E (m)]]</f>
        <v>693976.76100000006</v>
      </c>
      <c r="W297" s="7">
        <v>-0.15</v>
      </c>
      <c r="X297" s="2" t="s">
        <v>42</v>
      </c>
      <c r="AA297" s="9">
        <v>46207</v>
      </c>
    </row>
    <row r="298" spans="1:27" hidden="1" x14ac:dyDescent="0.65">
      <c r="A298">
        <v>296</v>
      </c>
      <c r="B298" t="s">
        <v>29</v>
      </c>
      <c r="C298" s="6">
        <v>1511721.4</v>
      </c>
      <c r="D298" s="6">
        <v>693974.848</v>
      </c>
      <c r="E298" s="2" t="s">
        <v>41</v>
      </c>
      <c r="F298" s="1">
        <v>26</v>
      </c>
      <c r="G298" s="2" t="s">
        <v>31</v>
      </c>
      <c r="J298"/>
      <c r="K298" s="19"/>
      <c r="L298" s="21"/>
      <c r="M298" s="27"/>
      <c r="N298" s="19"/>
      <c r="O298" s="21"/>
      <c r="P298" s="7">
        <v>0.35</v>
      </c>
      <c r="Q298" s="7">
        <f>Table2[[#This Row],[Elevation
PILE TOP]]-Table2[[#This Row],[LENGTH(m.)
(Actual)]]</f>
        <v>0.35</v>
      </c>
      <c r="R298" s="2"/>
      <c r="S298" s="7">
        <f>Table2[[#This Row],[N]]+Table2[[#This Row],[Pile 
Deviation 
N (m)]]</f>
        <v>1511721.4</v>
      </c>
      <c r="T298" s="7">
        <f>Table2[[#This Row],[E]]+Table2[[#This Row],[Pile 
Deviation 
E (m)]]</f>
        <v>693974.848</v>
      </c>
      <c r="W298" s="7">
        <v>-0.15</v>
      </c>
      <c r="X298" s="2" t="s">
        <v>42</v>
      </c>
      <c r="AA298" s="9">
        <v>46209</v>
      </c>
    </row>
    <row r="299" spans="1:27" ht="13.95" hidden="1" customHeight="1" x14ac:dyDescent="0.65">
      <c r="A299">
        <v>297</v>
      </c>
      <c r="B299" t="s">
        <v>29</v>
      </c>
      <c r="C299" s="6">
        <v>1511723.088</v>
      </c>
      <c r="D299" s="6">
        <v>693977.42700000003</v>
      </c>
      <c r="E299" s="2" t="s">
        <v>35</v>
      </c>
      <c r="F299" s="1">
        <v>24</v>
      </c>
      <c r="G299" s="2" t="s">
        <v>31</v>
      </c>
      <c r="J299"/>
      <c r="K299" s="19"/>
      <c r="L299" s="21"/>
      <c r="M299" s="27"/>
      <c r="N299" s="19"/>
      <c r="O299" s="21"/>
      <c r="P299" s="7">
        <v>0.28999999999999998</v>
      </c>
      <c r="Q299" s="7">
        <f>Table2[[#This Row],[Elevation
PILE TOP]]-Table2[[#This Row],[LENGTH(m.)
(Actual)]]</f>
        <v>0.28999999999999998</v>
      </c>
      <c r="R299" s="2"/>
      <c r="S299" s="7">
        <f>Table2[[#This Row],[N]]+Table2[[#This Row],[Pile 
Deviation 
N (m)]]</f>
        <v>1511723.088</v>
      </c>
      <c r="T299" s="7">
        <f>Table2[[#This Row],[E]]+Table2[[#This Row],[Pile 
Deviation 
E (m)]]</f>
        <v>693977.42700000003</v>
      </c>
      <c r="W299" s="7">
        <v>0.28999999999999998</v>
      </c>
      <c r="X299" s="2" t="s">
        <v>40</v>
      </c>
      <c r="AA299" s="9">
        <v>46207</v>
      </c>
    </row>
    <row r="300" spans="1:27" hidden="1" x14ac:dyDescent="0.65">
      <c r="A300">
        <v>298</v>
      </c>
      <c r="B300" t="s">
        <v>29</v>
      </c>
      <c r="C300" s="6">
        <v>1511723.7609999999</v>
      </c>
      <c r="D300" s="6">
        <v>693980.76</v>
      </c>
      <c r="E300" s="2" t="s">
        <v>35</v>
      </c>
      <c r="F300" s="1">
        <v>24</v>
      </c>
      <c r="G300" s="2" t="s">
        <v>31</v>
      </c>
      <c r="J300"/>
      <c r="K300" s="19"/>
      <c r="L300" s="21"/>
      <c r="M300" s="27"/>
      <c r="N300" s="19"/>
      <c r="O300" s="21"/>
      <c r="P300" s="7">
        <v>0.28999999999999998</v>
      </c>
      <c r="Q300" s="7">
        <f>Table2[[#This Row],[Elevation
PILE TOP]]-Table2[[#This Row],[LENGTH(m.)
(Actual)]]</f>
        <v>0.28999999999999998</v>
      </c>
      <c r="R300" s="2"/>
      <c r="S300" s="7">
        <f>Table2[[#This Row],[N]]+Table2[[#This Row],[Pile 
Deviation 
N (m)]]</f>
        <v>1511723.7609999999</v>
      </c>
      <c r="T300" s="7">
        <f>Table2[[#This Row],[E]]+Table2[[#This Row],[Pile 
Deviation 
E (m)]]</f>
        <v>693980.76</v>
      </c>
      <c r="W300" s="7">
        <v>0.28999999999999998</v>
      </c>
      <c r="X300" s="2" t="s">
        <v>40</v>
      </c>
      <c r="AA300" s="9">
        <v>46206</v>
      </c>
    </row>
    <row r="301" spans="1:27" ht="13.95" hidden="1" customHeight="1" x14ac:dyDescent="0.65">
      <c r="A301">
        <v>299</v>
      </c>
      <c r="B301" t="s">
        <v>29</v>
      </c>
      <c r="C301" s="6">
        <v>1511724.997</v>
      </c>
      <c r="D301" s="6">
        <v>693981.05799999996</v>
      </c>
      <c r="E301" s="2" t="s">
        <v>41</v>
      </c>
      <c r="F301" s="1">
        <v>26</v>
      </c>
      <c r="G301" s="2" t="s">
        <v>31</v>
      </c>
      <c r="J301"/>
      <c r="K301" s="19"/>
      <c r="L301" s="21"/>
      <c r="M301" s="27"/>
      <c r="N301" s="19"/>
      <c r="O301" s="21"/>
      <c r="P301" s="7">
        <v>0.35</v>
      </c>
      <c r="Q301" s="7">
        <f>Table2[[#This Row],[Elevation
PILE TOP]]-Table2[[#This Row],[LENGTH(m.)
(Actual)]]</f>
        <v>0.35</v>
      </c>
      <c r="R301" s="2"/>
      <c r="S301" s="7">
        <f>Table2[[#This Row],[N]]+Table2[[#This Row],[Pile 
Deviation 
N (m)]]</f>
        <v>1511724.997</v>
      </c>
      <c r="T301" s="7">
        <f>Table2[[#This Row],[E]]+Table2[[#This Row],[Pile 
Deviation 
E (m)]]</f>
        <v>693981.05799999996</v>
      </c>
      <c r="W301" s="7">
        <v>-0.15</v>
      </c>
      <c r="X301" s="2" t="s">
        <v>42</v>
      </c>
      <c r="AA301" s="9">
        <v>46206</v>
      </c>
    </row>
    <row r="302" spans="1:27" hidden="1" x14ac:dyDescent="0.65">
      <c r="A302">
        <v>300</v>
      </c>
      <c r="B302" t="s">
        <v>29</v>
      </c>
      <c r="C302" s="6">
        <v>1511726.91</v>
      </c>
      <c r="D302" s="6">
        <v>693982.32799999998</v>
      </c>
      <c r="E302" s="2" t="s">
        <v>41</v>
      </c>
      <c r="F302" s="1">
        <v>26</v>
      </c>
      <c r="G302" s="2" t="s">
        <v>31</v>
      </c>
      <c r="J302"/>
      <c r="K302" s="19"/>
      <c r="L302" s="21"/>
      <c r="M302" s="27"/>
      <c r="N302" s="19"/>
      <c r="O302" s="21"/>
      <c r="P302" s="7">
        <v>0.35</v>
      </c>
      <c r="Q302" s="7">
        <f>Table2[[#This Row],[Elevation
PILE TOP]]-Table2[[#This Row],[LENGTH(m.)
(Actual)]]</f>
        <v>0.35</v>
      </c>
      <c r="R302" s="2"/>
      <c r="S302" s="7">
        <f>Table2[[#This Row],[N]]+Table2[[#This Row],[Pile 
Deviation 
N (m)]]</f>
        <v>1511726.91</v>
      </c>
      <c r="T302" s="7">
        <f>Table2[[#This Row],[E]]+Table2[[#This Row],[Pile 
Deviation 
E (m)]]</f>
        <v>693982.32799999998</v>
      </c>
      <c r="W302" s="7">
        <v>-0.15</v>
      </c>
      <c r="X302" s="2" t="s">
        <v>42</v>
      </c>
      <c r="AA302" s="9">
        <v>46206</v>
      </c>
    </row>
    <row r="303" spans="1:27" ht="13.95" hidden="1" customHeight="1" x14ac:dyDescent="0.65">
      <c r="A303">
        <v>301</v>
      </c>
      <c r="B303" t="s">
        <v>29</v>
      </c>
      <c r="C303" s="6">
        <v>1511727.3640000001</v>
      </c>
      <c r="D303" s="6">
        <v>693984.57799999998</v>
      </c>
      <c r="E303" s="2" t="s">
        <v>41</v>
      </c>
      <c r="F303" s="1">
        <v>26</v>
      </c>
      <c r="G303" s="2" t="s">
        <v>31</v>
      </c>
      <c r="J303"/>
      <c r="K303" s="19"/>
      <c r="L303" s="21"/>
      <c r="M303" s="27"/>
      <c r="N303" s="19"/>
      <c r="O303" s="21"/>
      <c r="P303" s="7">
        <v>0.35</v>
      </c>
      <c r="Q303" s="7">
        <f>Table2[[#This Row],[Elevation
PILE TOP]]-Table2[[#This Row],[LENGTH(m.)
(Actual)]]</f>
        <v>0.35</v>
      </c>
      <c r="R303" s="2"/>
      <c r="S303" s="7">
        <f>Table2[[#This Row],[N]]+Table2[[#This Row],[Pile 
Deviation 
N (m)]]</f>
        <v>1511727.3640000001</v>
      </c>
      <c r="T303" s="7">
        <f>Table2[[#This Row],[E]]+Table2[[#This Row],[Pile 
Deviation 
E (m)]]</f>
        <v>693984.57799999998</v>
      </c>
      <c r="W303" s="7">
        <v>-0.15</v>
      </c>
      <c r="X303" s="2" t="s">
        <v>42</v>
      </c>
      <c r="AA303" s="9">
        <v>46205</v>
      </c>
    </row>
    <row r="304" spans="1:27" hidden="1" x14ac:dyDescent="0.65">
      <c r="A304">
        <v>302</v>
      </c>
      <c r="B304" t="s">
        <v>29</v>
      </c>
      <c r="C304" s="6">
        <v>1511726.094</v>
      </c>
      <c r="D304" s="6">
        <v>693986.49100000004</v>
      </c>
      <c r="E304" s="2" t="s">
        <v>41</v>
      </c>
      <c r="F304" s="1">
        <v>26</v>
      </c>
      <c r="G304" s="2" t="s">
        <v>31</v>
      </c>
      <c r="J304"/>
      <c r="K304" s="19"/>
      <c r="L304" s="21"/>
      <c r="M304" s="27"/>
      <c r="N304" s="19"/>
      <c r="O304" s="21"/>
      <c r="P304" s="7">
        <v>0.35</v>
      </c>
      <c r="Q304" s="7">
        <f>Table2[[#This Row],[Elevation
PILE TOP]]-Table2[[#This Row],[LENGTH(m.)
(Actual)]]</f>
        <v>0.35</v>
      </c>
      <c r="R304" s="2"/>
      <c r="S304" s="7">
        <f>Table2[[#This Row],[N]]+Table2[[#This Row],[Pile 
Deviation 
N (m)]]</f>
        <v>1511726.094</v>
      </c>
      <c r="T304" s="7">
        <f>Table2[[#This Row],[E]]+Table2[[#This Row],[Pile 
Deviation 
E (m)]]</f>
        <v>693986.49100000004</v>
      </c>
      <c r="W304" s="7">
        <v>-0.15</v>
      </c>
      <c r="X304" s="2" t="s">
        <v>42</v>
      </c>
      <c r="AA304" s="9">
        <v>46205</v>
      </c>
    </row>
    <row r="305" spans="1:27" ht="13.95" hidden="1" customHeight="1" x14ac:dyDescent="0.65">
      <c r="A305">
        <v>303</v>
      </c>
      <c r="B305" t="s">
        <v>29</v>
      </c>
      <c r="C305" s="6">
        <v>1511723.8430000001</v>
      </c>
      <c r="D305" s="6">
        <v>693986.946</v>
      </c>
      <c r="E305" s="2" t="s">
        <v>41</v>
      </c>
      <c r="F305" s="1">
        <v>26</v>
      </c>
      <c r="G305" s="2" t="s">
        <v>31</v>
      </c>
      <c r="J305"/>
      <c r="K305" s="19"/>
      <c r="L305" s="21"/>
      <c r="M305" s="27"/>
      <c r="N305" s="19"/>
      <c r="O305" s="21"/>
      <c r="P305" s="7">
        <v>0.35</v>
      </c>
      <c r="Q305" s="7">
        <f>Table2[[#This Row],[Elevation
PILE TOP]]-Table2[[#This Row],[LENGTH(m.)
(Actual)]]</f>
        <v>0.35</v>
      </c>
      <c r="R305" s="2"/>
      <c r="S305" s="7">
        <f>Table2[[#This Row],[N]]+Table2[[#This Row],[Pile 
Deviation 
N (m)]]</f>
        <v>1511723.8430000001</v>
      </c>
      <c r="T305" s="7">
        <f>Table2[[#This Row],[E]]+Table2[[#This Row],[Pile 
Deviation 
E (m)]]</f>
        <v>693986.946</v>
      </c>
      <c r="W305" s="7">
        <v>-0.15</v>
      </c>
      <c r="X305" s="2" t="s">
        <v>42</v>
      </c>
      <c r="AA305" s="9">
        <v>46205</v>
      </c>
    </row>
    <row r="306" spans="1:27" hidden="1" x14ac:dyDescent="0.65">
      <c r="A306">
        <v>304</v>
      </c>
      <c r="B306" t="s">
        <v>29</v>
      </c>
      <c r="C306" s="6">
        <v>1511721.9310000001</v>
      </c>
      <c r="D306" s="6">
        <v>693985.67599999998</v>
      </c>
      <c r="E306" s="2" t="s">
        <v>41</v>
      </c>
      <c r="F306" s="1">
        <v>26</v>
      </c>
      <c r="G306" s="2" t="s">
        <v>31</v>
      </c>
      <c r="J306"/>
      <c r="K306" s="19"/>
      <c r="L306" s="21"/>
      <c r="M306" s="27"/>
      <c r="N306" s="19"/>
      <c r="O306" s="21"/>
      <c r="P306" s="7">
        <v>0.35</v>
      </c>
      <c r="Q306" s="7">
        <f>Table2[[#This Row],[Elevation
PILE TOP]]-Table2[[#This Row],[LENGTH(m.)
(Actual)]]</f>
        <v>0.35</v>
      </c>
      <c r="R306" s="2"/>
      <c r="S306" s="7">
        <f>Table2[[#This Row],[N]]+Table2[[#This Row],[Pile 
Deviation 
N (m)]]</f>
        <v>1511721.9310000001</v>
      </c>
      <c r="T306" s="7">
        <f>Table2[[#This Row],[E]]+Table2[[#This Row],[Pile 
Deviation 
E (m)]]</f>
        <v>693985.67599999998</v>
      </c>
      <c r="W306" s="7">
        <v>-0.15</v>
      </c>
      <c r="X306" s="2" t="s">
        <v>42</v>
      </c>
      <c r="AA306" s="9">
        <v>46205</v>
      </c>
    </row>
    <row r="307" spans="1:27" ht="13.95" hidden="1" customHeight="1" x14ac:dyDescent="0.65">
      <c r="A307">
        <v>305</v>
      </c>
      <c r="B307" t="s">
        <v>29</v>
      </c>
      <c r="C307" s="6">
        <v>1511721.476</v>
      </c>
      <c r="D307" s="6">
        <v>693983.42500000005</v>
      </c>
      <c r="E307" s="2" t="s">
        <v>41</v>
      </c>
      <c r="F307" s="1">
        <v>26</v>
      </c>
      <c r="G307" s="2" t="s">
        <v>31</v>
      </c>
      <c r="J307"/>
      <c r="K307" s="19"/>
      <c r="L307" s="21"/>
      <c r="M307" s="27"/>
      <c r="N307" s="19"/>
      <c r="O307" s="21"/>
      <c r="P307" s="7">
        <v>0.35</v>
      </c>
      <c r="Q307" s="7">
        <f>Table2[[#This Row],[Elevation
PILE TOP]]-Table2[[#This Row],[LENGTH(m.)
(Actual)]]</f>
        <v>0.35</v>
      </c>
      <c r="R307" s="2"/>
      <c r="S307" s="7">
        <f>Table2[[#This Row],[N]]+Table2[[#This Row],[Pile 
Deviation 
N (m)]]</f>
        <v>1511721.476</v>
      </c>
      <c r="T307" s="7">
        <f>Table2[[#This Row],[E]]+Table2[[#This Row],[Pile 
Deviation 
E (m)]]</f>
        <v>693983.42500000005</v>
      </c>
      <c r="W307" s="7">
        <v>-0.15</v>
      </c>
      <c r="X307" s="2" t="s">
        <v>42</v>
      </c>
      <c r="AA307" s="9">
        <v>46206</v>
      </c>
    </row>
    <row r="308" spans="1:27" hidden="1" x14ac:dyDescent="0.65">
      <c r="A308">
        <v>306</v>
      </c>
      <c r="B308" t="s">
        <v>29</v>
      </c>
      <c r="C308" s="6">
        <v>1511722.746</v>
      </c>
      <c r="D308" s="6">
        <v>693981.51199999999</v>
      </c>
      <c r="E308" s="2" t="s">
        <v>41</v>
      </c>
      <c r="F308" s="1">
        <v>26</v>
      </c>
      <c r="G308" s="2" t="s">
        <v>31</v>
      </c>
      <c r="J308"/>
      <c r="K308" s="19"/>
      <c r="L308" s="21"/>
      <c r="M308" s="27"/>
      <c r="N308" s="19"/>
      <c r="O308" s="21"/>
      <c r="P308" s="7">
        <v>0.35</v>
      </c>
      <c r="Q308" s="7">
        <f>Table2[[#This Row],[Elevation
PILE TOP]]-Table2[[#This Row],[LENGTH(m.)
(Actual)]]</f>
        <v>0.35</v>
      </c>
      <c r="R308" s="2"/>
      <c r="S308" s="7">
        <f>Table2[[#This Row],[N]]+Table2[[#This Row],[Pile 
Deviation 
N (m)]]</f>
        <v>1511722.746</v>
      </c>
      <c r="T308" s="7">
        <f>Table2[[#This Row],[E]]+Table2[[#This Row],[Pile 
Deviation 
E (m)]]</f>
        <v>693981.51199999999</v>
      </c>
      <c r="W308" s="7">
        <v>-0.15</v>
      </c>
      <c r="X308" s="2" t="s">
        <v>42</v>
      </c>
      <c r="AA308" s="9">
        <v>46206</v>
      </c>
    </row>
    <row r="309" spans="1:27" ht="13.95" hidden="1" customHeight="1" x14ac:dyDescent="0.65">
      <c r="A309">
        <v>307</v>
      </c>
      <c r="B309" t="s">
        <v>29</v>
      </c>
      <c r="C309" s="6">
        <v>1511724.4339999999</v>
      </c>
      <c r="D309" s="6">
        <v>693984.09199999995</v>
      </c>
      <c r="E309" s="2" t="s">
        <v>35</v>
      </c>
      <c r="F309" s="1">
        <v>24</v>
      </c>
      <c r="G309" s="2" t="s">
        <v>31</v>
      </c>
      <c r="J309"/>
      <c r="K309" s="19"/>
      <c r="L309" s="21"/>
      <c r="M309" s="27"/>
      <c r="N309" s="19"/>
      <c r="O309" s="21"/>
      <c r="P309" s="7">
        <v>0.28999999999999998</v>
      </c>
      <c r="Q309" s="7">
        <f>Table2[[#This Row],[Elevation
PILE TOP]]-Table2[[#This Row],[LENGTH(m.)
(Actual)]]</f>
        <v>0.28999999999999998</v>
      </c>
      <c r="R309" s="2"/>
      <c r="S309" s="7">
        <f>Table2[[#This Row],[N]]+Table2[[#This Row],[Pile 
Deviation 
N (m)]]</f>
        <v>1511724.4339999999</v>
      </c>
      <c r="T309" s="7">
        <f>Table2[[#This Row],[E]]+Table2[[#This Row],[Pile 
Deviation 
E (m)]]</f>
        <v>693984.09199999995</v>
      </c>
      <c r="W309" s="7">
        <v>0.28999999999999998</v>
      </c>
      <c r="X309" s="2" t="s">
        <v>40</v>
      </c>
      <c r="AA309" s="9">
        <v>46205</v>
      </c>
    </row>
    <row r="310" spans="1:27" hidden="1" x14ac:dyDescent="0.65">
      <c r="A310">
        <v>308</v>
      </c>
      <c r="B310" t="s">
        <v>29</v>
      </c>
      <c r="C310" s="6">
        <v>1511725.0279999999</v>
      </c>
      <c r="D310" s="6">
        <v>693987.03300000005</v>
      </c>
      <c r="E310" s="2" t="s">
        <v>35</v>
      </c>
      <c r="F310" s="1">
        <v>24</v>
      </c>
      <c r="G310" s="2" t="s">
        <v>31</v>
      </c>
      <c r="J310"/>
      <c r="K310" s="19"/>
      <c r="L310" s="21"/>
      <c r="M310" s="27"/>
      <c r="N310" s="19"/>
      <c r="O310" s="21"/>
      <c r="P310" s="7">
        <v>0.28999999999999998</v>
      </c>
      <c r="Q310" s="7">
        <f>Table2[[#This Row],[Elevation
PILE TOP]]-Table2[[#This Row],[LENGTH(m.)
(Actual)]]</f>
        <v>0.28999999999999998</v>
      </c>
      <c r="R310" s="2"/>
      <c r="S310" s="7">
        <f>Table2[[#This Row],[N]]+Table2[[#This Row],[Pile 
Deviation 
N (m)]]</f>
        <v>1511725.0279999999</v>
      </c>
      <c r="T310" s="7">
        <f>Table2[[#This Row],[E]]+Table2[[#This Row],[Pile 
Deviation 
E (m)]]</f>
        <v>693987.03300000005</v>
      </c>
      <c r="W310" s="7">
        <v>0.28999999999999998</v>
      </c>
      <c r="X310" s="2" t="s">
        <v>40</v>
      </c>
      <c r="AA310" s="9">
        <v>46205</v>
      </c>
    </row>
    <row r="311" spans="1:27" ht="13.95" hidden="1" customHeight="1" x14ac:dyDescent="0.65">
      <c r="A311">
        <v>309</v>
      </c>
      <c r="B311" t="s">
        <v>29</v>
      </c>
      <c r="C311" s="6">
        <v>1511725.621</v>
      </c>
      <c r="D311" s="6">
        <v>693989.97400000005</v>
      </c>
      <c r="E311" s="2" t="s">
        <v>35</v>
      </c>
      <c r="F311" s="1">
        <v>24</v>
      </c>
      <c r="G311" s="2" t="s">
        <v>31</v>
      </c>
      <c r="J311"/>
      <c r="K311" s="19"/>
      <c r="L311" s="21"/>
      <c r="M311" s="27"/>
      <c r="N311" s="19"/>
      <c r="O311" s="21"/>
      <c r="P311" s="7">
        <v>0.28999999999999998</v>
      </c>
      <c r="Q311" s="7">
        <f>Table2[[#This Row],[Elevation
PILE TOP]]-Table2[[#This Row],[LENGTH(m.)
(Actual)]]</f>
        <v>0.28999999999999998</v>
      </c>
      <c r="R311" s="2"/>
      <c r="S311" s="7">
        <f>Table2[[#This Row],[N]]+Table2[[#This Row],[Pile 
Deviation 
N (m)]]</f>
        <v>1511725.621</v>
      </c>
      <c r="T311" s="7">
        <f>Table2[[#This Row],[E]]+Table2[[#This Row],[Pile 
Deviation 
E (m)]]</f>
        <v>693989.97400000005</v>
      </c>
      <c r="W311" s="7">
        <v>0.28999999999999998</v>
      </c>
      <c r="X311" s="2" t="s">
        <v>40</v>
      </c>
      <c r="AA311" s="9">
        <v>46204</v>
      </c>
    </row>
    <row r="312" spans="1:27" hidden="1" x14ac:dyDescent="0.65">
      <c r="A312">
        <v>310</v>
      </c>
      <c r="B312" t="s">
        <v>29</v>
      </c>
      <c r="C312" s="6">
        <v>1511726.798</v>
      </c>
      <c r="D312" s="6">
        <v>693989.978</v>
      </c>
      <c r="E312" s="2" t="s">
        <v>41</v>
      </c>
      <c r="F312" s="1">
        <v>26</v>
      </c>
      <c r="G312" s="2" t="s">
        <v>31</v>
      </c>
      <c r="J312"/>
      <c r="K312" s="19"/>
      <c r="L312" s="21"/>
      <c r="M312" s="27"/>
      <c r="N312" s="19"/>
      <c r="O312" s="21"/>
      <c r="P312" s="7">
        <v>0.35</v>
      </c>
      <c r="Q312" s="7">
        <f>Table2[[#This Row],[Elevation
PILE TOP]]-Table2[[#This Row],[LENGTH(m.)
(Actual)]]</f>
        <v>0.35</v>
      </c>
      <c r="R312" s="2"/>
      <c r="S312" s="7">
        <f>Table2[[#This Row],[N]]+Table2[[#This Row],[Pile 
Deviation 
N (m)]]</f>
        <v>1511726.798</v>
      </c>
      <c r="T312" s="7">
        <f>Table2[[#This Row],[E]]+Table2[[#This Row],[Pile 
Deviation 
E (m)]]</f>
        <v>693989.978</v>
      </c>
      <c r="W312" s="7">
        <v>-0.15</v>
      </c>
      <c r="X312" s="2" t="s">
        <v>42</v>
      </c>
      <c r="AA312" s="9">
        <v>46204</v>
      </c>
    </row>
    <row r="313" spans="1:27" ht="13.95" customHeight="1" x14ac:dyDescent="0.65">
      <c r="A313">
        <v>311</v>
      </c>
      <c r="B313" t="s">
        <v>29</v>
      </c>
      <c r="C313" s="6">
        <v>1511728.7109999999</v>
      </c>
      <c r="D313" s="6">
        <v>693991.24800000002</v>
      </c>
      <c r="E313" s="2" t="s">
        <v>41</v>
      </c>
      <c r="F313" s="1">
        <v>26</v>
      </c>
      <c r="G313" s="2" t="s">
        <v>31</v>
      </c>
      <c r="J313"/>
      <c r="K313" s="19"/>
      <c r="L313" s="21"/>
      <c r="M313" s="27"/>
      <c r="N313" s="19"/>
      <c r="O313" s="21"/>
      <c r="P313" s="7">
        <v>0.35</v>
      </c>
      <c r="Q313" s="7">
        <f>Table2[[#This Row],[Elevation
PILE TOP]]-Table2[[#This Row],[LENGTH(m.)
(Actual)]]</f>
        <v>0.35</v>
      </c>
      <c r="R313" s="2"/>
      <c r="S313" s="7">
        <f>Table2[[#This Row],[N]]+Table2[[#This Row],[Pile 
Deviation 
N (m)]]</f>
        <v>1511728.7109999999</v>
      </c>
      <c r="T313" s="7">
        <f>Table2[[#This Row],[E]]+Table2[[#This Row],[Pile 
Deviation 
E (m)]]</f>
        <v>693991.24800000002</v>
      </c>
      <c r="W313" s="7">
        <v>-0.15</v>
      </c>
      <c r="X313" s="2" t="s">
        <v>42</v>
      </c>
      <c r="AA313" s="9">
        <v>46203</v>
      </c>
    </row>
    <row r="314" spans="1:27" x14ac:dyDescent="0.65">
      <c r="A314">
        <v>312</v>
      </c>
      <c r="B314" t="s">
        <v>29</v>
      </c>
      <c r="C314" s="6">
        <v>1511729.166</v>
      </c>
      <c r="D314" s="6">
        <v>693993.49899999995</v>
      </c>
      <c r="E314" s="2" t="s">
        <v>41</v>
      </c>
      <c r="F314" s="1">
        <v>26</v>
      </c>
      <c r="G314" s="2" t="s">
        <v>31</v>
      </c>
      <c r="J314"/>
      <c r="K314" s="19"/>
      <c r="L314" s="21"/>
      <c r="M314" s="27"/>
      <c r="N314" s="19"/>
      <c r="O314" s="21"/>
      <c r="P314" s="7">
        <v>0.35</v>
      </c>
      <c r="Q314" s="7">
        <f>Table2[[#This Row],[Elevation
PILE TOP]]-Table2[[#This Row],[LENGTH(m.)
(Actual)]]</f>
        <v>0.35</v>
      </c>
      <c r="R314" s="2"/>
      <c r="S314" s="7">
        <f>Table2[[#This Row],[N]]+Table2[[#This Row],[Pile 
Deviation 
N (m)]]</f>
        <v>1511729.166</v>
      </c>
      <c r="T314" s="7">
        <f>Table2[[#This Row],[E]]+Table2[[#This Row],[Pile 
Deviation 
E (m)]]</f>
        <v>693993.49899999995</v>
      </c>
      <c r="W314" s="7">
        <v>-0.15</v>
      </c>
      <c r="X314" s="2" t="s">
        <v>42</v>
      </c>
      <c r="AA314" s="9">
        <v>46203</v>
      </c>
    </row>
    <row r="315" spans="1:27" ht="13.95" customHeight="1" x14ac:dyDescent="0.65">
      <c r="A315">
        <v>313</v>
      </c>
      <c r="B315" t="s">
        <v>29</v>
      </c>
      <c r="C315" s="6">
        <v>1511727.8959999999</v>
      </c>
      <c r="D315" s="6">
        <v>693995.41200000001</v>
      </c>
      <c r="E315" s="2" t="s">
        <v>41</v>
      </c>
      <c r="F315" s="1">
        <v>26</v>
      </c>
      <c r="G315" s="2" t="s">
        <v>31</v>
      </c>
      <c r="J315"/>
      <c r="K315" s="19"/>
      <c r="L315" s="21"/>
      <c r="M315" s="27"/>
      <c r="N315" s="19"/>
      <c r="O315" s="21"/>
      <c r="P315" s="7">
        <v>0.35</v>
      </c>
      <c r="Q315" s="7">
        <f>Table2[[#This Row],[Elevation
PILE TOP]]-Table2[[#This Row],[LENGTH(m.)
(Actual)]]</f>
        <v>0.35</v>
      </c>
      <c r="R315" s="2"/>
      <c r="S315" s="7">
        <f>Table2[[#This Row],[N]]+Table2[[#This Row],[Pile 
Deviation 
N (m)]]</f>
        <v>1511727.8959999999</v>
      </c>
      <c r="T315" s="7">
        <f>Table2[[#This Row],[E]]+Table2[[#This Row],[Pile 
Deviation 
E (m)]]</f>
        <v>693995.41200000001</v>
      </c>
      <c r="W315" s="7">
        <v>-0.15</v>
      </c>
      <c r="X315" s="2" t="s">
        <v>42</v>
      </c>
      <c r="AA315" s="9">
        <v>46203</v>
      </c>
    </row>
    <row r="316" spans="1:27" x14ac:dyDescent="0.65">
      <c r="A316">
        <v>314</v>
      </c>
      <c r="B316" t="s">
        <v>29</v>
      </c>
      <c r="C316" s="6">
        <v>1511725.645</v>
      </c>
      <c r="D316" s="6">
        <v>693995.86600000004</v>
      </c>
      <c r="E316" s="2" t="s">
        <v>41</v>
      </c>
      <c r="F316" s="1">
        <v>26</v>
      </c>
      <c r="G316" s="2" t="s">
        <v>31</v>
      </c>
      <c r="J316"/>
      <c r="K316" s="19"/>
      <c r="L316" s="21"/>
      <c r="M316" s="27"/>
      <c r="N316" s="19"/>
      <c r="O316" s="21"/>
      <c r="P316" s="7">
        <v>0.35</v>
      </c>
      <c r="Q316" s="7">
        <f>Table2[[#This Row],[Elevation
PILE TOP]]-Table2[[#This Row],[LENGTH(m.)
(Actual)]]</f>
        <v>0.35</v>
      </c>
      <c r="R316" s="2"/>
      <c r="S316" s="7">
        <f>Table2[[#This Row],[N]]+Table2[[#This Row],[Pile 
Deviation 
N (m)]]</f>
        <v>1511725.645</v>
      </c>
      <c r="T316" s="7">
        <f>Table2[[#This Row],[E]]+Table2[[#This Row],[Pile 
Deviation 
E (m)]]</f>
        <v>693995.86600000004</v>
      </c>
      <c r="W316" s="7">
        <v>-0.15</v>
      </c>
      <c r="X316" s="2" t="s">
        <v>42</v>
      </c>
      <c r="AA316" s="9">
        <v>46203</v>
      </c>
    </row>
    <row r="317" spans="1:27" ht="13.95" customHeight="1" x14ac:dyDescent="0.65">
      <c r="A317">
        <v>315</v>
      </c>
      <c r="B317" t="s">
        <v>29</v>
      </c>
      <c r="C317" s="6">
        <v>1511723.7320000001</v>
      </c>
      <c r="D317" s="6">
        <v>693994.59600000002</v>
      </c>
      <c r="E317" s="2" t="s">
        <v>41</v>
      </c>
      <c r="F317" s="1">
        <v>26</v>
      </c>
      <c r="G317" s="2" t="s">
        <v>31</v>
      </c>
      <c r="J317"/>
      <c r="K317" s="19"/>
      <c r="L317" s="21"/>
      <c r="M317" s="27"/>
      <c r="N317" s="19"/>
      <c r="O317" s="21"/>
      <c r="P317" s="7">
        <v>0.35</v>
      </c>
      <c r="Q317" s="7">
        <f>Table2[[#This Row],[Elevation
PILE TOP]]-Table2[[#This Row],[LENGTH(m.)
(Actual)]]</f>
        <v>0.35</v>
      </c>
      <c r="R317" s="2"/>
      <c r="S317" s="7">
        <f>Table2[[#This Row],[N]]+Table2[[#This Row],[Pile 
Deviation 
N (m)]]</f>
        <v>1511723.7320000001</v>
      </c>
      <c r="T317" s="7">
        <f>Table2[[#This Row],[E]]+Table2[[#This Row],[Pile 
Deviation 
E (m)]]</f>
        <v>693994.59600000002</v>
      </c>
      <c r="W317" s="7">
        <v>-0.15</v>
      </c>
      <c r="X317" s="2" t="s">
        <v>42</v>
      </c>
      <c r="AA317" s="9">
        <v>46203</v>
      </c>
    </row>
    <row r="318" spans="1:27" x14ac:dyDescent="0.65">
      <c r="A318">
        <v>316</v>
      </c>
      <c r="B318" t="s">
        <v>29</v>
      </c>
      <c r="C318" s="6">
        <v>1511723.2779999999</v>
      </c>
      <c r="D318" s="6">
        <v>693992.34600000002</v>
      </c>
      <c r="E318" s="2" t="s">
        <v>41</v>
      </c>
      <c r="F318" s="1">
        <v>26</v>
      </c>
      <c r="G318" s="2" t="s">
        <v>31</v>
      </c>
      <c r="J318"/>
      <c r="K318" s="19"/>
      <c r="L318" s="21"/>
      <c r="M318" s="27"/>
      <c r="N318" s="19"/>
      <c r="O318" s="21"/>
      <c r="P318" s="7">
        <v>0.35</v>
      </c>
      <c r="Q318" s="7">
        <f>Table2[[#This Row],[Elevation
PILE TOP]]-Table2[[#This Row],[LENGTH(m.)
(Actual)]]</f>
        <v>0.35</v>
      </c>
      <c r="R318" s="2"/>
      <c r="S318" s="7">
        <f>Table2[[#This Row],[N]]+Table2[[#This Row],[Pile 
Deviation 
N (m)]]</f>
        <v>1511723.2779999999</v>
      </c>
      <c r="T318" s="7">
        <f>Table2[[#This Row],[E]]+Table2[[#This Row],[Pile 
Deviation 
E (m)]]</f>
        <v>693992.34600000002</v>
      </c>
      <c r="W318" s="7">
        <v>-0.15</v>
      </c>
      <c r="X318" s="2" t="s">
        <v>42</v>
      </c>
      <c r="AA318" s="9">
        <v>46203</v>
      </c>
    </row>
    <row r="319" spans="1:27" ht="13.95" hidden="1" customHeight="1" x14ac:dyDescent="0.65">
      <c r="A319">
        <v>317</v>
      </c>
      <c r="B319" t="s">
        <v>29</v>
      </c>
      <c r="C319" s="6">
        <v>1511724.548</v>
      </c>
      <c r="D319" s="6">
        <v>693990.43299999996</v>
      </c>
      <c r="E319" s="2" t="s">
        <v>41</v>
      </c>
      <c r="F319" s="1">
        <v>26</v>
      </c>
      <c r="G319" s="2" t="s">
        <v>31</v>
      </c>
      <c r="J319"/>
      <c r="K319" s="19"/>
      <c r="L319" s="21"/>
      <c r="M319" s="27"/>
      <c r="N319" s="19"/>
      <c r="O319" s="21"/>
      <c r="P319" s="7">
        <v>0.35</v>
      </c>
      <c r="Q319" s="7">
        <f>Table2[[#This Row],[Elevation
PILE TOP]]-Table2[[#This Row],[LENGTH(m.)
(Actual)]]</f>
        <v>0.35</v>
      </c>
      <c r="R319" s="2"/>
      <c r="S319" s="7">
        <f>Table2[[#This Row],[N]]+Table2[[#This Row],[Pile 
Deviation 
N (m)]]</f>
        <v>1511724.548</v>
      </c>
      <c r="T319" s="7">
        <f>Table2[[#This Row],[E]]+Table2[[#This Row],[Pile 
Deviation 
E (m)]]</f>
        <v>693990.43299999996</v>
      </c>
      <c r="W319" s="7">
        <v>-0.15</v>
      </c>
      <c r="X319" s="2" t="s">
        <v>42</v>
      </c>
      <c r="AA319" s="9">
        <v>46204</v>
      </c>
    </row>
    <row r="320" spans="1:27" x14ac:dyDescent="0.65">
      <c r="A320">
        <v>318</v>
      </c>
      <c r="B320" t="s">
        <v>29</v>
      </c>
      <c r="C320" s="6">
        <v>1511726.2150000001</v>
      </c>
      <c r="D320" s="6">
        <v>693992.91399999999</v>
      </c>
      <c r="E320" s="2" t="s">
        <v>35</v>
      </c>
      <c r="F320" s="1">
        <v>24</v>
      </c>
      <c r="G320" s="2" t="s">
        <v>31</v>
      </c>
      <c r="J320"/>
      <c r="K320" s="19"/>
      <c r="L320" s="21"/>
      <c r="M320" s="27"/>
      <c r="N320" s="19"/>
      <c r="O320" s="21"/>
      <c r="P320" s="7">
        <v>0.28999999999999998</v>
      </c>
      <c r="Q320" s="7">
        <f>Table2[[#This Row],[Elevation
PILE TOP]]-Table2[[#This Row],[LENGTH(m.)
(Actual)]]</f>
        <v>0.28999999999999998</v>
      </c>
      <c r="R320" s="2"/>
      <c r="S320" s="7">
        <f>Table2[[#This Row],[N]]+Table2[[#This Row],[Pile 
Deviation 
N (m)]]</f>
        <v>1511726.2150000001</v>
      </c>
      <c r="T320" s="7">
        <f>Table2[[#This Row],[E]]+Table2[[#This Row],[Pile 
Deviation 
E (m)]]</f>
        <v>693992.91399999999</v>
      </c>
      <c r="W320" s="7">
        <v>0.28999999999999998</v>
      </c>
      <c r="X320" s="2" t="s">
        <v>40</v>
      </c>
      <c r="AA320" s="9">
        <v>46203</v>
      </c>
    </row>
    <row r="321" spans="1:27" ht="13.95" customHeight="1" x14ac:dyDescent="0.65">
      <c r="A321">
        <v>319</v>
      </c>
      <c r="B321" t="s">
        <v>29</v>
      </c>
      <c r="C321" s="6">
        <v>1511726.888</v>
      </c>
      <c r="D321" s="6">
        <v>693996.24699999997</v>
      </c>
      <c r="E321" s="2" t="s">
        <v>35</v>
      </c>
      <c r="F321" s="1">
        <v>24</v>
      </c>
      <c r="G321" s="2" t="s">
        <v>31</v>
      </c>
      <c r="J321"/>
      <c r="K321" s="19"/>
      <c r="L321" s="21"/>
      <c r="M321" s="27"/>
      <c r="N321" s="19"/>
      <c r="O321" s="21"/>
      <c r="P321" s="7">
        <v>0.28999999999999998</v>
      </c>
      <c r="Q321" s="7">
        <f>Table2[[#This Row],[Elevation
PILE TOP]]-Table2[[#This Row],[LENGTH(m.)
(Actual)]]</f>
        <v>0.28999999999999998</v>
      </c>
      <c r="R321" s="2"/>
      <c r="S321" s="7">
        <f>Table2[[#This Row],[N]]+Table2[[#This Row],[Pile 
Deviation 
N (m)]]</f>
        <v>1511726.888</v>
      </c>
      <c r="T321" s="7">
        <f>Table2[[#This Row],[E]]+Table2[[#This Row],[Pile 
Deviation 
E (m)]]</f>
        <v>693996.24699999997</v>
      </c>
      <c r="W321" s="7">
        <v>0.28999999999999998</v>
      </c>
      <c r="X321" s="2" t="s">
        <v>40</v>
      </c>
      <c r="AA321" s="9">
        <v>46197</v>
      </c>
    </row>
    <row r="322" spans="1:27" x14ac:dyDescent="0.65">
      <c r="A322">
        <v>320</v>
      </c>
      <c r="B322" t="s">
        <v>29</v>
      </c>
      <c r="C322" s="6">
        <v>1511728.1440000001</v>
      </c>
      <c r="D322" s="6">
        <v>693996.64300000004</v>
      </c>
      <c r="E322" s="2" t="s">
        <v>41</v>
      </c>
      <c r="F322" s="1">
        <v>26</v>
      </c>
      <c r="G322" s="2" t="s">
        <v>31</v>
      </c>
      <c r="J322"/>
      <c r="K322" s="19"/>
      <c r="L322" s="21"/>
      <c r="M322" s="27"/>
      <c r="N322" s="19"/>
      <c r="O322" s="21"/>
      <c r="P322" s="7">
        <v>0.35</v>
      </c>
      <c r="Q322" s="7">
        <f>Table2[[#This Row],[Elevation
PILE TOP]]-Table2[[#This Row],[LENGTH(m.)
(Actual)]]</f>
        <v>0.35</v>
      </c>
      <c r="R322" s="2"/>
      <c r="S322" s="7">
        <f>Table2[[#This Row],[N]]+Table2[[#This Row],[Pile 
Deviation 
N (m)]]</f>
        <v>1511728.1440000001</v>
      </c>
      <c r="T322" s="7">
        <f>Table2[[#This Row],[E]]+Table2[[#This Row],[Pile 
Deviation 
E (m)]]</f>
        <v>693996.64300000004</v>
      </c>
      <c r="W322" s="7">
        <v>-0.15</v>
      </c>
      <c r="X322" s="2" t="s">
        <v>42</v>
      </c>
      <c r="AA322" s="9">
        <v>46197</v>
      </c>
    </row>
    <row r="323" spans="1:27" ht="13.95" customHeight="1" x14ac:dyDescent="0.65">
      <c r="A323">
        <v>321</v>
      </c>
      <c r="B323" t="s">
        <v>29</v>
      </c>
      <c r="C323" s="6">
        <v>1511730.057</v>
      </c>
      <c r="D323" s="6">
        <v>693997.91299999994</v>
      </c>
      <c r="E323" s="2" t="s">
        <v>41</v>
      </c>
      <c r="F323" s="1">
        <v>26</v>
      </c>
      <c r="G323" s="2" t="s">
        <v>31</v>
      </c>
      <c r="J323"/>
      <c r="K323" s="19"/>
      <c r="L323" s="21"/>
      <c r="M323" s="27"/>
      <c r="N323" s="19"/>
      <c r="O323" s="21"/>
      <c r="P323" s="7">
        <v>0.35</v>
      </c>
      <c r="Q323" s="7">
        <f>Table2[[#This Row],[Elevation
PILE TOP]]-Table2[[#This Row],[LENGTH(m.)
(Actual)]]</f>
        <v>0.35</v>
      </c>
      <c r="R323" s="2"/>
      <c r="S323" s="7">
        <f>Table2[[#This Row],[N]]+Table2[[#This Row],[Pile 
Deviation 
N (m)]]</f>
        <v>1511730.057</v>
      </c>
      <c r="T323" s="7">
        <f>Table2[[#This Row],[E]]+Table2[[#This Row],[Pile 
Deviation 
E (m)]]</f>
        <v>693997.91299999994</v>
      </c>
      <c r="W323" s="7">
        <v>-0.15</v>
      </c>
      <c r="X323" s="2" t="s">
        <v>42</v>
      </c>
      <c r="AA323" s="9">
        <v>46198</v>
      </c>
    </row>
    <row r="324" spans="1:27" x14ac:dyDescent="0.65">
      <c r="A324">
        <v>322</v>
      </c>
      <c r="B324" t="s">
        <v>29</v>
      </c>
      <c r="C324" s="6">
        <v>1511730.5120000001</v>
      </c>
      <c r="D324" s="6">
        <v>694000.16299999994</v>
      </c>
      <c r="E324" s="2" t="s">
        <v>41</v>
      </c>
      <c r="F324" s="1">
        <v>26</v>
      </c>
      <c r="G324" s="2" t="s">
        <v>31</v>
      </c>
      <c r="J324"/>
      <c r="K324" s="19"/>
      <c r="L324" s="21"/>
      <c r="M324" s="27"/>
      <c r="N324" s="19"/>
      <c r="O324" s="21"/>
      <c r="P324" s="7">
        <v>0.35</v>
      </c>
      <c r="Q324" s="7">
        <f>Table2[[#This Row],[Elevation
PILE TOP]]-Table2[[#This Row],[LENGTH(m.)
(Actual)]]</f>
        <v>0.35</v>
      </c>
      <c r="R324" s="2"/>
      <c r="S324" s="7">
        <f>Table2[[#This Row],[N]]+Table2[[#This Row],[Pile 
Deviation 
N (m)]]</f>
        <v>1511730.5120000001</v>
      </c>
      <c r="T324" s="7">
        <f>Table2[[#This Row],[E]]+Table2[[#This Row],[Pile 
Deviation 
E (m)]]</f>
        <v>694000.16299999994</v>
      </c>
      <c r="W324" s="7">
        <v>-0.15</v>
      </c>
      <c r="X324" s="2" t="s">
        <v>42</v>
      </c>
      <c r="AA324" s="9">
        <v>46198</v>
      </c>
    </row>
    <row r="325" spans="1:27" ht="13.95" customHeight="1" x14ac:dyDescent="0.65">
      <c r="A325">
        <v>323</v>
      </c>
      <c r="B325" t="s">
        <v>29</v>
      </c>
      <c r="C325" s="6">
        <v>1511729.2409999999</v>
      </c>
      <c r="D325" s="6">
        <v>694002.076</v>
      </c>
      <c r="E325" s="2" t="s">
        <v>41</v>
      </c>
      <c r="F325" s="1">
        <v>26</v>
      </c>
      <c r="G325" s="2" t="s">
        <v>31</v>
      </c>
      <c r="J325"/>
      <c r="K325" s="19"/>
      <c r="L325" s="21"/>
      <c r="M325" s="27"/>
      <c r="N325" s="19"/>
      <c r="O325" s="21"/>
      <c r="P325" s="7">
        <v>0.35</v>
      </c>
      <c r="Q325" s="7">
        <f>Table2[[#This Row],[Elevation
PILE TOP]]-Table2[[#This Row],[LENGTH(m.)
(Actual)]]</f>
        <v>0.35</v>
      </c>
      <c r="R325" s="2"/>
      <c r="S325" s="7">
        <f>Table2[[#This Row],[N]]+Table2[[#This Row],[Pile 
Deviation 
N (m)]]</f>
        <v>1511729.2409999999</v>
      </c>
      <c r="T325" s="7">
        <f>Table2[[#This Row],[E]]+Table2[[#This Row],[Pile 
Deviation 
E (m)]]</f>
        <v>694002.076</v>
      </c>
      <c r="W325" s="7">
        <v>-0.15</v>
      </c>
      <c r="X325" s="2" t="s">
        <v>42</v>
      </c>
      <c r="AA325" s="9">
        <v>46197</v>
      </c>
    </row>
    <row r="326" spans="1:27" x14ac:dyDescent="0.65">
      <c r="A326">
        <v>324</v>
      </c>
      <c r="B326" t="s">
        <v>29</v>
      </c>
      <c r="C326" s="6">
        <v>1511726.9909999999</v>
      </c>
      <c r="D326" s="6">
        <v>694002.53099999996</v>
      </c>
      <c r="E326" s="2" t="s">
        <v>41</v>
      </c>
      <c r="F326" s="1">
        <v>26</v>
      </c>
      <c r="G326" s="2" t="s">
        <v>31</v>
      </c>
      <c r="J326"/>
      <c r="K326" s="19"/>
      <c r="L326" s="21"/>
      <c r="M326" s="27"/>
      <c r="N326" s="19"/>
      <c r="O326" s="21"/>
      <c r="P326" s="7">
        <v>0.35</v>
      </c>
      <c r="Q326" s="7">
        <f>Table2[[#This Row],[Elevation
PILE TOP]]-Table2[[#This Row],[LENGTH(m.)
(Actual)]]</f>
        <v>0.35</v>
      </c>
      <c r="R326" s="2"/>
      <c r="S326" s="7">
        <f>Table2[[#This Row],[N]]+Table2[[#This Row],[Pile 
Deviation 
N (m)]]</f>
        <v>1511726.9909999999</v>
      </c>
      <c r="T326" s="7">
        <f>Table2[[#This Row],[E]]+Table2[[#This Row],[Pile 
Deviation 
E (m)]]</f>
        <v>694002.53099999996</v>
      </c>
      <c r="W326" s="7">
        <v>-0.15</v>
      </c>
      <c r="X326" s="2" t="s">
        <v>42</v>
      </c>
      <c r="AA326" s="9">
        <v>46197</v>
      </c>
    </row>
    <row r="327" spans="1:27" ht="13.95" customHeight="1" x14ac:dyDescent="0.65">
      <c r="A327">
        <v>325</v>
      </c>
      <c r="B327" t="s">
        <v>29</v>
      </c>
      <c r="C327" s="6">
        <v>1511725.078</v>
      </c>
      <c r="D327" s="6">
        <v>694001.26100000006</v>
      </c>
      <c r="E327" s="2" t="s">
        <v>41</v>
      </c>
      <c r="F327" s="1">
        <v>26</v>
      </c>
      <c r="G327" s="2" t="s">
        <v>31</v>
      </c>
      <c r="J327"/>
      <c r="K327" s="19"/>
      <c r="L327" s="21"/>
      <c r="M327" s="27"/>
      <c r="N327" s="19"/>
      <c r="O327" s="21"/>
      <c r="P327" s="7">
        <v>0.35</v>
      </c>
      <c r="Q327" s="7">
        <f>Table2[[#This Row],[Elevation
PILE TOP]]-Table2[[#This Row],[LENGTH(m.)
(Actual)]]</f>
        <v>0.35</v>
      </c>
      <c r="R327" s="2"/>
      <c r="S327" s="7">
        <f>Table2[[#This Row],[N]]+Table2[[#This Row],[Pile 
Deviation 
N (m)]]</f>
        <v>1511725.078</v>
      </c>
      <c r="T327" s="7">
        <f>Table2[[#This Row],[E]]+Table2[[#This Row],[Pile 
Deviation 
E (m)]]</f>
        <v>694001.26100000006</v>
      </c>
      <c r="W327" s="7">
        <v>-0.15</v>
      </c>
      <c r="X327" s="2" t="s">
        <v>42</v>
      </c>
      <c r="AA327" s="9">
        <v>46196</v>
      </c>
    </row>
    <row r="328" spans="1:27" x14ac:dyDescent="0.65">
      <c r="A328">
        <v>326</v>
      </c>
      <c r="B328" t="s">
        <v>29</v>
      </c>
      <c r="C328" s="6">
        <v>1511724.6229999999</v>
      </c>
      <c r="D328" s="6">
        <v>693999.01</v>
      </c>
      <c r="E328" s="2" t="s">
        <v>41</v>
      </c>
      <c r="F328" s="1">
        <v>26</v>
      </c>
      <c r="G328" s="2" t="s">
        <v>31</v>
      </c>
      <c r="J328"/>
      <c r="K328" s="19"/>
      <c r="L328" s="21"/>
      <c r="M328" s="27"/>
      <c r="N328" s="19"/>
      <c r="O328" s="21"/>
      <c r="P328" s="7">
        <v>0.35</v>
      </c>
      <c r="Q328" s="7">
        <f>Table2[[#This Row],[Elevation
PILE TOP]]-Table2[[#This Row],[LENGTH(m.)
(Actual)]]</f>
        <v>0.35</v>
      </c>
      <c r="R328" s="2"/>
      <c r="S328" s="7">
        <f>Table2[[#This Row],[N]]+Table2[[#This Row],[Pile 
Deviation 
N (m)]]</f>
        <v>1511724.6229999999</v>
      </c>
      <c r="T328" s="7">
        <f>Table2[[#This Row],[E]]+Table2[[#This Row],[Pile 
Deviation 
E (m)]]</f>
        <v>693999.01</v>
      </c>
      <c r="W328" s="7">
        <v>-0.15</v>
      </c>
      <c r="X328" s="2" t="s">
        <v>42</v>
      </c>
      <c r="AA328" s="9">
        <v>46196</v>
      </c>
    </row>
    <row r="329" spans="1:27" ht="13.95" customHeight="1" x14ac:dyDescent="0.65">
      <c r="A329">
        <v>327</v>
      </c>
      <c r="B329" t="s">
        <v>29</v>
      </c>
      <c r="C329" s="6">
        <v>1511725.8940000001</v>
      </c>
      <c r="D329" s="6">
        <v>693997.09699999995</v>
      </c>
      <c r="E329" s="2" t="s">
        <v>41</v>
      </c>
      <c r="F329" s="1">
        <v>26</v>
      </c>
      <c r="G329" s="2" t="s">
        <v>31</v>
      </c>
      <c r="J329"/>
      <c r="K329" s="19"/>
      <c r="L329" s="21"/>
      <c r="M329" s="27"/>
      <c r="N329" s="19"/>
      <c r="O329" s="21"/>
      <c r="P329" s="7">
        <v>0.35</v>
      </c>
      <c r="Q329" s="7">
        <f>Table2[[#This Row],[Elevation
PILE TOP]]-Table2[[#This Row],[LENGTH(m.)
(Actual)]]</f>
        <v>0.35</v>
      </c>
      <c r="R329" s="2"/>
      <c r="S329" s="7">
        <f>Table2[[#This Row],[N]]+Table2[[#This Row],[Pile 
Deviation 
N (m)]]</f>
        <v>1511725.8940000001</v>
      </c>
      <c r="T329" s="7">
        <f>Table2[[#This Row],[E]]+Table2[[#This Row],[Pile 
Deviation 
E (m)]]</f>
        <v>693997.09699999995</v>
      </c>
      <c r="W329" s="7">
        <v>-0.15</v>
      </c>
      <c r="X329" s="2" t="s">
        <v>42</v>
      </c>
      <c r="AA329" s="9">
        <v>46197</v>
      </c>
    </row>
    <row r="330" spans="1:27" x14ac:dyDescent="0.65">
      <c r="A330">
        <v>328</v>
      </c>
      <c r="B330" t="s">
        <v>29</v>
      </c>
      <c r="C330" s="6">
        <v>1511727.561</v>
      </c>
      <c r="D330" s="6">
        <v>693999.58</v>
      </c>
      <c r="E330" s="2" t="s">
        <v>35</v>
      </c>
      <c r="F330" s="1">
        <v>24</v>
      </c>
      <c r="G330" s="2" t="s">
        <v>31</v>
      </c>
      <c r="J330"/>
      <c r="K330" s="19"/>
      <c r="L330" s="21"/>
      <c r="M330" s="27"/>
      <c r="N330" s="19"/>
      <c r="O330" s="21"/>
      <c r="P330" s="7">
        <v>0.28999999999999998</v>
      </c>
      <c r="Q330" s="7">
        <f>Table2[[#This Row],[Elevation
PILE TOP]]-Table2[[#This Row],[LENGTH(m.)
(Actual)]]</f>
        <v>0.28999999999999998</v>
      </c>
      <c r="R330" s="2"/>
      <c r="S330" s="7">
        <f>Table2[[#This Row],[N]]+Table2[[#This Row],[Pile 
Deviation 
N (m)]]</f>
        <v>1511727.561</v>
      </c>
      <c r="T330" s="7">
        <f>Table2[[#This Row],[E]]+Table2[[#This Row],[Pile 
Deviation 
E (m)]]</f>
        <v>693999.58</v>
      </c>
      <c r="W330" s="7">
        <v>0.28999999999999998</v>
      </c>
      <c r="X330" s="2" t="s">
        <v>40</v>
      </c>
      <c r="AA330" s="9">
        <v>46197</v>
      </c>
    </row>
    <row r="331" spans="1:27" ht="13.95" hidden="1" customHeight="1" x14ac:dyDescent="0.65">
      <c r="A331">
        <v>329</v>
      </c>
      <c r="B331" t="s">
        <v>29</v>
      </c>
      <c r="C331" s="6">
        <v>1511728.294</v>
      </c>
      <c r="D331" s="6">
        <v>694003.20700000005</v>
      </c>
      <c r="E331" s="2" t="s">
        <v>35</v>
      </c>
      <c r="F331" s="1">
        <v>24</v>
      </c>
      <c r="G331" s="2" t="s">
        <v>31</v>
      </c>
      <c r="J331"/>
      <c r="K331" s="19"/>
      <c r="L331" s="21"/>
      <c r="M331" s="27"/>
      <c r="N331" s="19"/>
      <c r="O331" s="21"/>
      <c r="P331" s="7">
        <v>0.28999999999999998</v>
      </c>
      <c r="Q331" s="7">
        <f>Table2[[#This Row],[Elevation
PILE TOP]]-Table2[[#This Row],[LENGTH(m.)
(Actual)]]</f>
        <v>0.28999999999999998</v>
      </c>
      <c r="R331" s="2"/>
      <c r="S331" s="7">
        <f>Table2[[#This Row],[N]]+Table2[[#This Row],[Pile 
Deviation 
N (m)]]</f>
        <v>1511728.294</v>
      </c>
      <c r="T331" s="7">
        <f>Table2[[#This Row],[E]]+Table2[[#This Row],[Pile 
Deviation 
E (m)]]</f>
        <v>694003.20700000005</v>
      </c>
      <c r="W331" s="7">
        <v>0.28999999999999998</v>
      </c>
      <c r="X331" s="2" t="s">
        <v>40</v>
      </c>
      <c r="AA331" s="9">
        <v>46211</v>
      </c>
    </row>
    <row r="332" spans="1:27" hidden="1" x14ac:dyDescent="0.65">
      <c r="A332">
        <v>330</v>
      </c>
      <c r="B332" t="s">
        <v>29</v>
      </c>
      <c r="C332" s="6">
        <v>1511729.628</v>
      </c>
      <c r="D332" s="6">
        <v>694003.75300000003</v>
      </c>
      <c r="E332" s="2" t="s">
        <v>30</v>
      </c>
      <c r="F332" s="1">
        <v>24</v>
      </c>
      <c r="G332" s="2" t="s">
        <v>31</v>
      </c>
      <c r="J332"/>
      <c r="K332" s="19"/>
      <c r="L332" s="21"/>
      <c r="M332" s="27"/>
      <c r="N332" s="19"/>
      <c r="O332" s="21"/>
      <c r="P332" s="7">
        <v>-0.17499999999999999</v>
      </c>
      <c r="Q332" s="7">
        <f>Table2[[#This Row],[Elevation
PILE TOP]]-Table2[[#This Row],[LENGTH(m.)
(Actual)]]</f>
        <v>-0.17499999999999999</v>
      </c>
      <c r="R332" s="2"/>
      <c r="S332" s="7">
        <f>Table2[[#This Row],[N]]+Table2[[#This Row],[Pile 
Deviation 
N (m)]]</f>
        <v>1511729.628</v>
      </c>
      <c r="T332" s="7">
        <f>Table2[[#This Row],[E]]+Table2[[#This Row],[Pile 
Deviation 
E (m)]]</f>
        <v>694003.75300000003</v>
      </c>
      <c r="W332" s="7">
        <v>-0.67500000000000004</v>
      </c>
      <c r="X332" s="2" t="s">
        <v>33</v>
      </c>
      <c r="AA332" s="9">
        <v>46212</v>
      </c>
    </row>
    <row r="333" spans="1:27" ht="13.95" hidden="1" customHeight="1" x14ac:dyDescent="0.65">
      <c r="A333">
        <v>331</v>
      </c>
      <c r="B333" t="s">
        <v>29</v>
      </c>
      <c r="C333" s="6">
        <v>1511729.807</v>
      </c>
      <c r="D333" s="6">
        <v>694004.63500000001</v>
      </c>
      <c r="E333" s="2" t="s">
        <v>30</v>
      </c>
      <c r="F333" s="1">
        <v>24</v>
      </c>
      <c r="G333" s="2" t="s">
        <v>31</v>
      </c>
      <c r="J333"/>
      <c r="K333" s="19"/>
      <c r="L333" s="21"/>
      <c r="M333" s="27"/>
      <c r="N333" s="19"/>
      <c r="O333" s="21"/>
      <c r="P333" s="7">
        <v>-0.17499999999999999</v>
      </c>
      <c r="Q333" s="7">
        <f>Table2[[#This Row],[Elevation
PILE TOP]]-Table2[[#This Row],[LENGTH(m.)
(Actual)]]</f>
        <v>-0.17499999999999999</v>
      </c>
      <c r="R333" s="2"/>
      <c r="S333" s="7">
        <f>Table2[[#This Row],[N]]+Table2[[#This Row],[Pile 
Deviation 
N (m)]]</f>
        <v>1511729.807</v>
      </c>
      <c r="T333" s="7">
        <f>Table2[[#This Row],[E]]+Table2[[#This Row],[Pile 
Deviation 
E (m)]]</f>
        <v>694004.63500000001</v>
      </c>
      <c r="W333" s="7">
        <v>-0.67500000000000004</v>
      </c>
      <c r="X333" s="2" t="s">
        <v>33</v>
      </c>
      <c r="AA333" s="9">
        <v>46212</v>
      </c>
    </row>
    <row r="334" spans="1:27" hidden="1" x14ac:dyDescent="0.65">
      <c r="A334">
        <v>332</v>
      </c>
      <c r="B334" t="s">
        <v>29</v>
      </c>
      <c r="C334" s="6">
        <v>1511728.844</v>
      </c>
      <c r="D334" s="6">
        <v>694003.91200000001</v>
      </c>
      <c r="E334" s="2" t="s">
        <v>30</v>
      </c>
      <c r="F334" s="1">
        <v>24</v>
      </c>
      <c r="G334" s="2" t="s">
        <v>31</v>
      </c>
      <c r="J334"/>
      <c r="K334" s="19"/>
      <c r="L334" s="21"/>
      <c r="M334" s="27"/>
      <c r="N334" s="19"/>
      <c r="O334" s="21"/>
      <c r="P334" s="7">
        <v>-0.17499999999999999</v>
      </c>
      <c r="Q334" s="7">
        <f>Table2[[#This Row],[Elevation
PILE TOP]]-Table2[[#This Row],[LENGTH(m.)
(Actual)]]</f>
        <v>-0.17499999999999999</v>
      </c>
      <c r="R334" s="2"/>
      <c r="S334" s="7">
        <f>Table2[[#This Row],[N]]+Table2[[#This Row],[Pile 
Deviation 
N (m)]]</f>
        <v>1511728.844</v>
      </c>
      <c r="T334" s="7">
        <f>Table2[[#This Row],[E]]+Table2[[#This Row],[Pile 
Deviation 
E (m)]]</f>
        <v>694003.91200000001</v>
      </c>
      <c r="W334" s="7">
        <v>-0.67500000000000004</v>
      </c>
      <c r="X334" s="2" t="s">
        <v>33</v>
      </c>
      <c r="AA334" s="9">
        <v>46211</v>
      </c>
    </row>
    <row r="335" spans="1:27" ht="13.95" hidden="1" customHeight="1" x14ac:dyDescent="0.65">
      <c r="A335">
        <v>333</v>
      </c>
      <c r="B335" t="s">
        <v>29</v>
      </c>
      <c r="C335" s="6">
        <v>1511729.0220000001</v>
      </c>
      <c r="D335" s="6">
        <v>694004.79399999999</v>
      </c>
      <c r="E335" s="2" t="s">
        <v>30</v>
      </c>
      <c r="F335" s="1">
        <v>24</v>
      </c>
      <c r="G335" s="2" t="s">
        <v>31</v>
      </c>
      <c r="J335"/>
      <c r="K335" s="19"/>
      <c r="L335" s="21"/>
      <c r="M335" s="27"/>
      <c r="N335" s="19"/>
      <c r="O335" s="21"/>
      <c r="P335" s="7">
        <v>-0.17499999999999999</v>
      </c>
      <c r="Q335" s="7">
        <f>Table2[[#This Row],[Elevation
PILE TOP]]-Table2[[#This Row],[LENGTH(m.)
(Actual)]]</f>
        <v>-0.17499999999999999</v>
      </c>
      <c r="R335" s="2"/>
      <c r="S335" s="7">
        <f>Table2[[#This Row],[N]]+Table2[[#This Row],[Pile 
Deviation 
N (m)]]</f>
        <v>1511729.0220000001</v>
      </c>
      <c r="T335" s="7">
        <f>Table2[[#This Row],[E]]+Table2[[#This Row],[Pile 
Deviation 
E (m)]]</f>
        <v>694004.79399999999</v>
      </c>
      <c r="W335" s="7">
        <v>-0.67500000000000004</v>
      </c>
      <c r="X335" s="2" t="s">
        <v>33</v>
      </c>
      <c r="AA335" s="9">
        <v>46211</v>
      </c>
    </row>
    <row r="336" spans="1:27" hidden="1" x14ac:dyDescent="0.65">
      <c r="A336">
        <v>334</v>
      </c>
      <c r="B336" t="s">
        <v>29</v>
      </c>
      <c r="C336" s="6">
        <v>1511717.676</v>
      </c>
      <c r="D336" s="6">
        <v>693967.80799999996</v>
      </c>
      <c r="E336" s="2" t="s">
        <v>35</v>
      </c>
      <c r="F336" s="1">
        <v>24</v>
      </c>
      <c r="G336" s="2" t="s">
        <v>31</v>
      </c>
      <c r="J336"/>
      <c r="K336" s="19"/>
      <c r="L336" s="21"/>
      <c r="M336" s="27"/>
      <c r="N336" s="19"/>
      <c r="O336" s="21"/>
      <c r="P336" s="7">
        <v>0.28999999999999998</v>
      </c>
      <c r="Q336" s="7">
        <f>Table2[[#This Row],[Elevation
PILE TOP]]-Table2[[#This Row],[LENGTH(m.)
(Actual)]]</f>
        <v>0.28999999999999998</v>
      </c>
      <c r="R336" s="2"/>
      <c r="S336" s="7">
        <f>Table2[[#This Row],[N]]+Table2[[#This Row],[Pile 
Deviation 
N (m)]]</f>
        <v>1511717.676</v>
      </c>
      <c r="T336" s="7">
        <f>Table2[[#This Row],[E]]+Table2[[#This Row],[Pile 
Deviation 
E (m)]]</f>
        <v>693967.80799999996</v>
      </c>
      <c r="W336" s="7">
        <v>0.28999999999999998</v>
      </c>
      <c r="X336" s="2" t="s">
        <v>40</v>
      </c>
      <c r="AA336" s="9">
        <v>46227</v>
      </c>
    </row>
    <row r="337" spans="1:27" ht="13.95" hidden="1" customHeight="1" x14ac:dyDescent="0.65">
      <c r="A337">
        <v>335</v>
      </c>
      <c r="B337" t="s">
        <v>29</v>
      </c>
      <c r="C337" s="6">
        <v>1511718.409</v>
      </c>
      <c r="D337" s="6">
        <v>693971.43500000006</v>
      </c>
      <c r="E337" s="2" t="s">
        <v>35</v>
      </c>
      <c r="F337" s="1">
        <v>24</v>
      </c>
      <c r="G337" s="2" t="s">
        <v>31</v>
      </c>
      <c r="J337"/>
      <c r="K337" s="19"/>
      <c r="L337" s="21"/>
      <c r="M337" s="27"/>
      <c r="N337" s="19"/>
      <c r="O337" s="21"/>
      <c r="P337" s="7">
        <v>0.28999999999999998</v>
      </c>
      <c r="Q337" s="7">
        <f>Table2[[#This Row],[Elevation
PILE TOP]]-Table2[[#This Row],[LENGTH(m.)
(Actual)]]</f>
        <v>0.28999999999999998</v>
      </c>
      <c r="R337" s="2"/>
      <c r="S337" s="7">
        <f>Table2[[#This Row],[N]]+Table2[[#This Row],[Pile 
Deviation 
N (m)]]</f>
        <v>1511718.409</v>
      </c>
      <c r="T337" s="7">
        <f>Table2[[#This Row],[E]]+Table2[[#This Row],[Pile 
Deviation 
E (m)]]</f>
        <v>693971.43500000006</v>
      </c>
      <c r="W337" s="7">
        <v>0.28999999999999998</v>
      </c>
      <c r="X337" s="2" t="s">
        <v>40</v>
      </c>
      <c r="AA337" s="9">
        <v>46210</v>
      </c>
    </row>
    <row r="338" spans="1:27" hidden="1" x14ac:dyDescent="0.65">
      <c r="A338">
        <v>336</v>
      </c>
      <c r="B338" t="s">
        <v>29</v>
      </c>
      <c r="C338" s="6">
        <v>1511719.0819999999</v>
      </c>
      <c r="D338" s="6">
        <v>693974.76699999999</v>
      </c>
      <c r="E338" s="2" t="s">
        <v>35</v>
      </c>
      <c r="F338" s="1">
        <v>24</v>
      </c>
      <c r="G338" s="2" t="s">
        <v>31</v>
      </c>
      <c r="J338"/>
      <c r="K338" s="19"/>
      <c r="L338" s="21"/>
      <c r="M338" s="27"/>
      <c r="N338" s="19"/>
      <c r="O338" s="21"/>
      <c r="P338" s="7">
        <v>0.28999999999999998</v>
      </c>
      <c r="Q338" s="7">
        <f>Table2[[#This Row],[Elevation
PILE TOP]]-Table2[[#This Row],[LENGTH(m.)
(Actual)]]</f>
        <v>0.28999999999999998</v>
      </c>
      <c r="R338" s="2"/>
      <c r="S338" s="7">
        <f>Table2[[#This Row],[N]]+Table2[[#This Row],[Pile 
Deviation 
N (m)]]</f>
        <v>1511719.0819999999</v>
      </c>
      <c r="T338" s="7">
        <f>Table2[[#This Row],[E]]+Table2[[#This Row],[Pile 
Deviation 
E (m)]]</f>
        <v>693974.76699999999</v>
      </c>
      <c r="W338" s="7">
        <v>0.28999999999999998</v>
      </c>
      <c r="X338" s="2" t="s">
        <v>40</v>
      </c>
      <c r="AA338" s="9">
        <v>46209</v>
      </c>
    </row>
    <row r="339" spans="1:27" ht="13.95" hidden="1" customHeight="1" x14ac:dyDescent="0.65">
      <c r="A339">
        <v>337</v>
      </c>
      <c r="B339" t="s">
        <v>29</v>
      </c>
      <c r="C339" s="6">
        <v>1511719.7549999999</v>
      </c>
      <c r="D339" s="6">
        <v>693978.1</v>
      </c>
      <c r="E339" s="2" t="s">
        <v>35</v>
      </c>
      <c r="F339" s="1">
        <v>24</v>
      </c>
      <c r="G339" s="2" t="s">
        <v>31</v>
      </c>
      <c r="J339"/>
      <c r="K339" s="19"/>
      <c r="L339" s="21"/>
      <c r="M339" s="27"/>
      <c r="N339" s="19"/>
      <c r="O339" s="21"/>
      <c r="P339" s="7">
        <v>0.28999999999999998</v>
      </c>
      <c r="Q339" s="7">
        <f>Table2[[#This Row],[Elevation
PILE TOP]]-Table2[[#This Row],[LENGTH(m.)
(Actual)]]</f>
        <v>0.28999999999999998</v>
      </c>
      <c r="R339" s="2"/>
      <c r="S339" s="7">
        <f>Table2[[#This Row],[N]]+Table2[[#This Row],[Pile 
Deviation 
N (m)]]</f>
        <v>1511719.7549999999</v>
      </c>
      <c r="T339" s="7">
        <f>Table2[[#This Row],[E]]+Table2[[#This Row],[Pile 
Deviation 
E (m)]]</f>
        <v>693978.1</v>
      </c>
      <c r="W339" s="7">
        <v>0.28999999999999998</v>
      </c>
      <c r="X339" s="2" t="s">
        <v>40</v>
      </c>
      <c r="AA339" s="9">
        <v>46207</v>
      </c>
    </row>
    <row r="340" spans="1:27" hidden="1" x14ac:dyDescent="0.65">
      <c r="A340">
        <v>338</v>
      </c>
      <c r="B340" t="s">
        <v>29</v>
      </c>
      <c r="C340" s="6">
        <v>1511720.4280000001</v>
      </c>
      <c r="D340" s="6">
        <v>693981.43299999996</v>
      </c>
      <c r="E340" s="2" t="s">
        <v>35</v>
      </c>
      <c r="F340" s="1">
        <v>24</v>
      </c>
      <c r="G340" s="2" t="s">
        <v>31</v>
      </c>
      <c r="J340"/>
      <c r="K340" s="19"/>
      <c r="L340" s="21"/>
      <c r="M340" s="27"/>
      <c r="N340" s="19"/>
      <c r="O340" s="21"/>
      <c r="P340" s="7">
        <v>0.28999999999999998</v>
      </c>
      <c r="Q340" s="7">
        <f>Table2[[#This Row],[Elevation
PILE TOP]]-Table2[[#This Row],[LENGTH(m.)
(Actual)]]</f>
        <v>0.28999999999999998</v>
      </c>
      <c r="R340" s="2"/>
      <c r="S340" s="7">
        <f>Table2[[#This Row],[N]]+Table2[[#This Row],[Pile 
Deviation 
N (m)]]</f>
        <v>1511720.4280000001</v>
      </c>
      <c r="T340" s="7">
        <f>Table2[[#This Row],[E]]+Table2[[#This Row],[Pile 
Deviation 
E (m)]]</f>
        <v>693981.43299999996</v>
      </c>
      <c r="W340" s="7">
        <v>0.28999999999999998</v>
      </c>
      <c r="X340" s="2" t="s">
        <v>40</v>
      </c>
      <c r="AA340" s="9">
        <v>46206</v>
      </c>
    </row>
    <row r="341" spans="1:27" ht="13.95" hidden="1" customHeight="1" x14ac:dyDescent="0.65">
      <c r="A341">
        <v>339</v>
      </c>
      <c r="B341" t="s">
        <v>29</v>
      </c>
      <c r="C341" s="6">
        <v>1511721.101</v>
      </c>
      <c r="D341" s="6">
        <v>693984.76599999995</v>
      </c>
      <c r="E341" s="2" t="s">
        <v>35</v>
      </c>
      <c r="F341" s="1">
        <v>24</v>
      </c>
      <c r="G341" s="2" t="s">
        <v>31</v>
      </c>
      <c r="J341"/>
      <c r="K341" s="19"/>
      <c r="L341" s="21"/>
      <c r="M341" s="27"/>
      <c r="N341" s="19"/>
      <c r="O341" s="21"/>
      <c r="P341" s="7">
        <v>0.28999999999999998</v>
      </c>
      <c r="Q341" s="7">
        <f>Table2[[#This Row],[Elevation
PILE TOP]]-Table2[[#This Row],[LENGTH(m.)
(Actual)]]</f>
        <v>0.28999999999999998</v>
      </c>
      <c r="R341" s="2"/>
      <c r="S341" s="7">
        <f>Table2[[#This Row],[N]]+Table2[[#This Row],[Pile 
Deviation 
N (m)]]</f>
        <v>1511721.101</v>
      </c>
      <c r="T341" s="7">
        <f>Table2[[#This Row],[E]]+Table2[[#This Row],[Pile 
Deviation 
E (m)]]</f>
        <v>693984.76599999995</v>
      </c>
      <c r="W341" s="7">
        <v>0.28999999999999998</v>
      </c>
      <c r="X341" s="2" t="s">
        <v>40</v>
      </c>
      <c r="AA341" s="9">
        <v>46205</v>
      </c>
    </row>
    <row r="342" spans="1:27" hidden="1" x14ac:dyDescent="0.65">
      <c r="A342">
        <v>340</v>
      </c>
      <c r="B342" t="s">
        <v>29</v>
      </c>
      <c r="C342" s="6">
        <v>1511721.6950000001</v>
      </c>
      <c r="D342" s="6">
        <v>693987.70600000001</v>
      </c>
      <c r="E342" s="2" t="s">
        <v>35</v>
      </c>
      <c r="F342" s="1">
        <v>24</v>
      </c>
      <c r="G342" s="2" t="s">
        <v>31</v>
      </c>
      <c r="J342"/>
      <c r="K342" s="19"/>
      <c r="L342" s="21"/>
      <c r="M342" s="27"/>
      <c r="N342" s="19"/>
      <c r="O342" s="21"/>
      <c r="P342" s="7">
        <v>0.28999999999999998</v>
      </c>
      <c r="Q342" s="7">
        <f>Table2[[#This Row],[Elevation
PILE TOP]]-Table2[[#This Row],[LENGTH(m.)
(Actual)]]</f>
        <v>0.28999999999999998</v>
      </c>
      <c r="R342" s="2"/>
      <c r="S342" s="7">
        <f>Table2[[#This Row],[N]]+Table2[[#This Row],[Pile 
Deviation 
N (m)]]</f>
        <v>1511721.6950000001</v>
      </c>
      <c r="T342" s="7">
        <f>Table2[[#This Row],[E]]+Table2[[#This Row],[Pile 
Deviation 
E (m)]]</f>
        <v>693987.70600000001</v>
      </c>
      <c r="W342" s="7">
        <v>0.28999999999999998</v>
      </c>
      <c r="X342" s="2" t="s">
        <v>40</v>
      </c>
      <c r="AA342" s="9">
        <v>46205</v>
      </c>
    </row>
    <row r="343" spans="1:27" ht="13.95" hidden="1" customHeight="1" x14ac:dyDescent="0.65">
      <c r="A343">
        <v>341</v>
      </c>
      <c r="B343" t="s">
        <v>29</v>
      </c>
      <c r="C343" s="6">
        <v>1511722.2890000001</v>
      </c>
      <c r="D343" s="6">
        <v>693990.647</v>
      </c>
      <c r="E343" s="2" t="s">
        <v>35</v>
      </c>
      <c r="F343" s="1">
        <v>24</v>
      </c>
      <c r="G343" s="2" t="s">
        <v>31</v>
      </c>
      <c r="J343"/>
      <c r="K343" s="19"/>
      <c r="L343" s="21"/>
      <c r="M343" s="27"/>
      <c r="N343" s="19"/>
      <c r="O343" s="21"/>
      <c r="P343" s="7">
        <v>0.28999999999999998</v>
      </c>
      <c r="Q343" s="7">
        <f>Table2[[#This Row],[Elevation
PILE TOP]]-Table2[[#This Row],[LENGTH(m.)
(Actual)]]</f>
        <v>0.28999999999999998</v>
      </c>
      <c r="R343" s="2"/>
      <c r="S343" s="7">
        <f>Table2[[#This Row],[N]]+Table2[[#This Row],[Pile 
Deviation 
N (m)]]</f>
        <v>1511722.2890000001</v>
      </c>
      <c r="T343" s="7">
        <f>Table2[[#This Row],[E]]+Table2[[#This Row],[Pile 
Deviation 
E (m)]]</f>
        <v>693990.647</v>
      </c>
      <c r="W343" s="7">
        <v>0.28999999999999998</v>
      </c>
      <c r="X343" s="2" t="s">
        <v>40</v>
      </c>
      <c r="AA343" s="9">
        <v>46204</v>
      </c>
    </row>
    <row r="344" spans="1:27" x14ac:dyDescent="0.65">
      <c r="A344">
        <v>342</v>
      </c>
      <c r="B344" t="s">
        <v>29</v>
      </c>
      <c r="C344" s="6">
        <v>1511722.8829999999</v>
      </c>
      <c r="D344" s="6">
        <v>693993.58700000006</v>
      </c>
      <c r="E344" s="2" t="s">
        <v>35</v>
      </c>
      <c r="F344" s="1">
        <v>24</v>
      </c>
      <c r="G344" s="2" t="s">
        <v>31</v>
      </c>
      <c r="J344"/>
      <c r="K344" s="19"/>
      <c r="L344" s="21"/>
      <c r="M344" s="27"/>
      <c r="N344" s="19"/>
      <c r="O344" s="21"/>
      <c r="P344" s="7">
        <v>0.28999999999999998</v>
      </c>
      <c r="Q344" s="7">
        <f>Table2[[#This Row],[Elevation
PILE TOP]]-Table2[[#This Row],[LENGTH(m.)
(Actual)]]</f>
        <v>0.28999999999999998</v>
      </c>
      <c r="R344" s="2"/>
      <c r="S344" s="7">
        <f>Table2[[#This Row],[N]]+Table2[[#This Row],[Pile 
Deviation 
N (m)]]</f>
        <v>1511722.8829999999</v>
      </c>
      <c r="T344" s="7">
        <f>Table2[[#This Row],[E]]+Table2[[#This Row],[Pile 
Deviation 
E (m)]]</f>
        <v>693993.58700000006</v>
      </c>
      <c r="W344" s="7">
        <v>0.28999999999999998</v>
      </c>
      <c r="X344" s="2" t="s">
        <v>40</v>
      </c>
      <c r="AA344" s="9">
        <v>46203</v>
      </c>
    </row>
    <row r="345" spans="1:27" ht="13.95" customHeight="1" x14ac:dyDescent="0.65">
      <c r="A345">
        <v>343</v>
      </c>
      <c r="B345" t="s">
        <v>29</v>
      </c>
      <c r="C345" s="6">
        <v>1511723.5560000001</v>
      </c>
      <c r="D345" s="6">
        <v>693996.92</v>
      </c>
      <c r="E345" s="2" t="s">
        <v>35</v>
      </c>
      <c r="F345" s="1">
        <v>24</v>
      </c>
      <c r="G345" s="2" t="s">
        <v>31</v>
      </c>
      <c r="J345"/>
      <c r="K345" s="19"/>
      <c r="L345" s="21"/>
      <c r="M345" s="27"/>
      <c r="N345" s="19"/>
      <c r="O345" s="21"/>
      <c r="P345" s="7">
        <v>0.28999999999999998</v>
      </c>
      <c r="Q345" s="7">
        <f>Table2[[#This Row],[Elevation
PILE TOP]]-Table2[[#This Row],[LENGTH(m.)
(Actual)]]</f>
        <v>0.28999999999999998</v>
      </c>
      <c r="R345" s="2"/>
      <c r="S345" s="7">
        <f>Table2[[#This Row],[N]]+Table2[[#This Row],[Pile 
Deviation 
N (m)]]</f>
        <v>1511723.5560000001</v>
      </c>
      <c r="T345" s="7">
        <f>Table2[[#This Row],[E]]+Table2[[#This Row],[Pile 
Deviation 
E (m)]]</f>
        <v>693996.92</v>
      </c>
      <c r="W345" s="7">
        <v>0.28999999999999998</v>
      </c>
      <c r="X345" s="2" t="s">
        <v>40</v>
      </c>
      <c r="AA345" s="9">
        <v>46196</v>
      </c>
    </row>
    <row r="346" spans="1:27" x14ac:dyDescent="0.65">
      <c r="A346">
        <v>344</v>
      </c>
      <c r="B346" t="s">
        <v>29</v>
      </c>
      <c r="C346" s="6">
        <v>1511724.2290000001</v>
      </c>
      <c r="D346" s="6">
        <v>694000.25300000003</v>
      </c>
      <c r="E346" s="2" t="s">
        <v>35</v>
      </c>
      <c r="F346" s="1">
        <v>24</v>
      </c>
      <c r="G346" s="2" t="s">
        <v>31</v>
      </c>
      <c r="J346"/>
      <c r="K346" s="19"/>
      <c r="L346" s="21"/>
      <c r="M346" s="27"/>
      <c r="N346" s="19"/>
      <c r="O346" s="21"/>
      <c r="P346" s="7">
        <v>0.28999999999999998</v>
      </c>
      <c r="Q346" s="7">
        <f>Table2[[#This Row],[Elevation
PILE TOP]]-Table2[[#This Row],[LENGTH(m.)
(Actual)]]</f>
        <v>0.28999999999999998</v>
      </c>
      <c r="R346" s="2"/>
      <c r="S346" s="7">
        <f>Table2[[#This Row],[N]]+Table2[[#This Row],[Pile 
Deviation 
N (m)]]</f>
        <v>1511724.2290000001</v>
      </c>
      <c r="T346" s="7">
        <f>Table2[[#This Row],[E]]+Table2[[#This Row],[Pile 
Deviation 
E (m)]]</f>
        <v>694000.25300000003</v>
      </c>
      <c r="W346" s="7">
        <v>0.28999999999999998</v>
      </c>
      <c r="X346" s="2" t="s">
        <v>40</v>
      </c>
      <c r="AA346" s="9">
        <v>46196</v>
      </c>
    </row>
    <row r="347" spans="1:27" ht="13.95" hidden="1" customHeight="1" x14ac:dyDescent="0.65">
      <c r="A347">
        <v>345</v>
      </c>
      <c r="B347" t="s">
        <v>29</v>
      </c>
      <c r="C347" s="6">
        <v>1511724.9609999999</v>
      </c>
      <c r="D347" s="6">
        <v>694003.88</v>
      </c>
      <c r="E347" s="2" t="s">
        <v>35</v>
      </c>
      <c r="F347" s="1">
        <v>24</v>
      </c>
      <c r="G347" s="2" t="s">
        <v>31</v>
      </c>
      <c r="J347"/>
      <c r="K347" s="19"/>
      <c r="L347" s="21"/>
      <c r="M347" s="27"/>
      <c r="N347" s="19"/>
      <c r="O347" s="21"/>
      <c r="P347" s="7">
        <v>0.28999999999999998</v>
      </c>
      <c r="Q347" s="7">
        <f>Table2[[#This Row],[Elevation
PILE TOP]]-Table2[[#This Row],[LENGTH(m.)
(Actual)]]</f>
        <v>0.28999999999999998</v>
      </c>
      <c r="R347" s="2"/>
      <c r="S347" s="7">
        <f>Table2[[#This Row],[N]]+Table2[[#This Row],[Pile 
Deviation 
N (m)]]</f>
        <v>1511724.9609999999</v>
      </c>
      <c r="T347" s="7">
        <f>Table2[[#This Row],[E]]+Table2[[#This Row],[Pile 
Deviation 
E (m)]]</f>
        <v>694003.88</v>
      </c>
      <c r="W347" s="7">
        <v>0.28999999999999998</v>
      </c>
      <c r="X347" s="2" t="s">
        <v>40</v>
      </c>
      <c r="AA347" s="9">
        <v>46211</v>
      </c>
    </row>
    <row r="348" spans="1:27" hidden="1" x14ac:dyDescent="0.65">
      <c r="A348">
        <v>346</v>
      </c>
      <c r="B348" t="s">
        <v>29</v>
      </c>
      <c r="C348" s="6">
        <v>1511715.9680000001</v>
      </c>
      <c r="D348" s="6">
        <v>693966.41899999999</v>
      </c>
      <c r="E348" s="2" t="s">
        <v>30</v>
      </c>
      <c r="F348" s="1">
        <v>24</v>
      </c>
      <c r="G348" s="2" t="s">
        <v>31</v>
      </c>
      <c r="J348"/>
      <c r="K348" s="19"/>
      <c r="L348" s="21"/>
      <c r="M348" s="27"/>
      <c r="N348" s="19"/>
      <c r="O348" s="21"/>
      <c r="P348" s="7">
        <v>-0.17499999999999999</v>
      </c>
      <c r="Q348" s="7">
        <f>Table2[[#This Row],[Elevation
PILE TOP]]-Table2[[#This Row],[LENGTH(m.)
(Actual)]]</f>
        <v>-0.17499999999999999</v>
      </c>
      <c r="R348" s="2"/>
      <c r="S348" s="7">
        <f>Table2[[#This Row],[N]]+Table2[[#This Row],[Pile 
Deviation 
N (m)]]</f>
        <v>1511715.9680000001</v>
      </c>
      <c r="T348" s="7">
        <f>Table2[[#This Row],[E]]+Table2[[#This Row],[Pile 
Deviation 
E (m)]]</f>
        <v>693966.41899999999</v>
      </c>
      <c r="W348" s="7">
        <v>-0.67500000000000004</v>
      </c>
      <c r="X348" s="2" t="s">
        <v>33</v>
      </c>
      <c r="AA348" s="9">
        <v>46227</v>
      </c>
    </row>
    <row r="349" spans="1:27" ht="13.95" hidden="1" customHeight="1" x14ac:dyDescent="0.65">
      <c r="A349">
        <v>347</v>
      </c>
      <c r="B349" t="s">
        <v>29</v>
      </c>
      <c r="C349" s="6">
        <v>1511716.1459999999</v>
      </c>
      <c r="D349" s="6">
        <v>693967.30099999998</v>
      </c>
      <c r="E349" s="2" t="s">
        <v>30</v>
      </c>
      <c r="F349" s="1">
        <v>24</v>
      </c>
      <c r="G349" s="2" t="s">
        <v>31</v>
      </c>
      <c r="J349"/>
      <c r="K349" s="19"/>
      <c r="L349" s="21"/>
      <c r="M349" s="27"/>
      <c r="N349" s="19"/>
      <c r="O349" s="21"/>
      <c r="P349" s="7">
        <v>-0.17499999999999999</v>
      </c>
      <c r="Q349" s="7">
        <f>Table2[[#This Row],[Elevation
PILE TOP]]-Table2[[#This Row],[LENGTH(m.)
(Actual)]]</f>
        <v>-0.17499999999999999</v>
      </c>
      <c r="R349" s="2"/>
      <c r="S349" s="7">
        <f>Table2[[#This Row],[N]]+Table2[[#This Row],[Pile 
Deviation 
N (m)]]</f>
        <v>1511716.1459999999</v>
      </c>
      <c r="T349" s="7">
        <f>Table2[[#This Row],[E]]+Table2[[#This Row],[Pile 
Deviation 
E (m)]]</f>
        <v>693967.30099999998</v>
      </c>
      <c r="W349" s="7">
        <v>-0.67500000000000004</v>
      </c>
      <c r="X349" s="2" t="s">
        <v>33</v>
      </c>
      <c r="AA349" s="9">
        <v>46227</v>
      </c>
    </row>
    <row r="350" spans="1:27" hidden="1" x14ac:dyDescent="0.65">
      <c r="A350">
        <v>348</v>
      </c>
      <c r="B350" t="s">
        <v>29</v>
      </c>
      <c r="C350" s="6">
        <v>1511715.183</v>
      </c>
      <c r="D350" s="6">
        <v>693966.57700000005</v>
      </c>
      <c r="E350" s="2" t="s">
        <v>30</v>
      </c>
      <c r="F350" s="1">
        <v>24</v>
      </c>
      <c r="G350" s="2" t="s">
        <v>31</v>
      </c>
      <c r="J350"/>
      <c r="K350" s="19"/>
      <c r="L350" s="21"/>
      <c r="M350" s="27"/>
      <c r="N350" s="19"/>
      <c r="O350" s="21"/>
      <c r="P350" s="7">
        <v>-0.17499999999999999</v>
      </c>
      <c r="Q350" s="7">
        <f>Table2[[#This Row],[Elevation
PILE TOP]]-Table2[[#This Row],[LENGTH(m.)
(Actual)]]</f>
        <v>-0.17499999999999999</v>
      </c>
      <c r="R350" s="2"/>
      <c r="S350" s="7">
        <f>Table2[[#This Row],[N]]+Table2[[#This Row],[Pile 
Deviation 
N (m)]]</f>
        <v>1511715.183</v>
      </c>
      <c r="T350" s="7">
        <f>Table2[[#This Row],[E]]+Table2[[#This Row],[Pile 
Deviation 
E (m)]]</f>
        <v>693966.57700000005</v>
      </c>
      <c r="W350" s="7">
        <v>-0.67500000000000004</v>
      </c>
      <c r="X350" s="2" t="s">
        <v>33</v>
      </c>
      <c r="AA350" s="9">
        <v>46228</v>
      </c>
    </row>
    <row r="351" spans="1:27" ht="13.95" hidden="1" customHeight="1" x14ac:dyDescent="0.65">
      <c r="A351">
        <v>349</v>
      </c>
      <c r="B351" t="s">
        <v>29</v>
      </c>
      <c r="C351" s="6">
        <v>1511715.362</v>
      </c>
      <c r="D351" s="6">
        <v>693967.45900000003</v>
      </c>
      <c r="E351" s="2" t="s">
        <v>30</v>
      </c>
      <c r="F351" s="1">
        <v>24</v>
      </c>
      <c r="G351" s="2" t="s">
        <v>31</v>
      </c>
      <c r="J351"/>
      <c r="K351" s="19"/>
      <c r="L351" s="21"/>
      <c r="M351" s="27"/>
      <c r="N351" s="19"/>
      <c r="O351" s="21"/>
      <c r="P351" s="7">
        <v>-0.17499999999999999</v>
      </c>
      <c r="Q351" s="7">
        <f>Table2[[#This Row],[Elevation
PILE TOP]]-Table2[[#This Row],[LENGTH(m.)
(Actual)]]</f>
        <v>-0.17499999999999999</v>
      </c>
      <c r="R351" s="2"/>
      <c r="S351" s="7">
        <f>Table2[[#This Row],[N]]+Table2[[#This Row],[Pile 
Deviation 
N (m)]]</f>
        <v>1511715.362</v>
      </c>
      <c r="T351" s="7">
        <f>Table2[[#This Row],[E]]+Table2[[#This Row],[Pile 
Deviation 
E (m)]]</f>
        <v>693967.45900000003</v>
      </c>
      <c r="W351" s="7">
        <v>-0.67500000000000004</v>
      </c>
      <c r="X351" s="2" t="s">
        <v>33</v>
      </c>
      <c r="AA351" s="9">
        <v>46228</v>
      </c>
    </row>
    <row r="352" spans="1:27" hidden="1" x14ac:dyDescent="0.65">
      <c r="A352">
        <v>350</v>
      </c>
      <c r="B352" t="s">
        <v>29</v>
      </c>
      <c r="C352" s="6">
        <v>1511714.344</v>
      </c>
      <c r="D352" s="6">
        <v>693968.48100000003</v>
      </c>
      <c r="E352" s="2" t="s">
        <v>35</v>
      </c>
      <c r="F352" s="1">
        <v>24</v>
      </c>
      <c r="G352" s="2" t="s">
        <v>31</v>
      </c>
      <c r="J352"/>
      <c r="K352" s="19"/>
      <c r="L352" s="21"/>
      <c r="M352" s="27"/>
      <c r="N352" s="19"/>
      <c r="O352" s="21"/>
      <c r="P352" s="7">
        <v>0.28999999999999998</v>
      </c>
      <c r="Q352" s="7">
        <f>Table2[[#This Row],[Elevation
PILE TOP]]-Table2[[#This Row],[LENGTH(m.)
(Actual)]]</f>
        <v>0.28999999999999998</v>
      </c>
      <c r="R352" s="2"/>
      <c r="S352" s="7">
        <f>Table2[[#This Row],[N]]+Table2[[#This Row],[Pile 
Deviation 
N (m)]]</f>
        <v>1511714.344</v>
      </c>
      <c r="T352" s="7">
        <f>Table2[[#This Row],[E]]+Table2[[#This Row],[Pile 
Deviation 
E (m)]]</f>
        <v>693968.48100000003</v>
      </c>
      <c r="W352" s="7">
        <v>0.28999999999999998</v>
      </c>
      <c r="X352" s="2" t="s">
        <v>40</v>
      </c>
      <c r="AA352" s="9">
        <v>46228</v>
      </c>
    </row>
    <row r="353" spans="1:27" ht="13.95" hidden="1" customHeight="1" x14ac:dyDescent="0.65">
      <c r="A353">
        <v>351</v>
      </c>
      <c r="B353" t="s">
        <v>29</v>
      </c>
      <c r="C353" s="6">
        <v>1511715.64</v>
      </c>
      <c r="D353" s="6">
        <v>693969.07</v>
      </c>
      <c r="E353" s="2" t="s">
        <v>41</v>
      </c>
      <c r="F353" s="1">
        <v>26</v>
      </c>
      <c r="G353" s="2" t="s">
        <v>31</v>
      </c>
      <c r="J353"/>
      <c r="K353" s="19"/>
      <c r="L353" s="21"/>
      <c r="M353" s="27"/>
      <c r="N353" s="19"/>
      <c r="O353" s="21"/>
      <c r="P353" s="7">
        <v>0.35</v>
      </c>
      <c r="Q353" s="7">
        <f>Table2[[#This Row],[Elevation
PILE TOP]]-Table2[[#This Row],[LENGTH(m.)
(Actual)]]</f>
        <v>0.35</v>
      </c>
      <c r="R353" s="2"/>
      <c r="S353" s="7">
        <f>Table2[[#This Row],[N]]+Table2[[#This Row],[Pile 
Deviation 
N (m)]]</f>
        <v>1511715.64</v>
      </c>
      <c r="T353" s="7">
        <f>Table2[[#This Row],[E]]+Table2[[#This Row],[Pile 
Deviation 
E (m)]]</f>
        <v>693969.07</v>
      </c>
      <c r="W353" s="7">
        <v>-0.15</v>
      </c>
      <c r="X353" s="2" t="s">
        <v>42</v>
      </c>
      <c r="AA353" s="9">
        <v>46211</v>
      </c>
    </row>
    <row r="354" spans="1:27" hidden="1" x14ac:dyDescent="0.65">
      <c r="A354">
        <v>352</v>
      </c>
      <c r="B354" t="s">
        <v>29</v>
      </c>
      <c r="C354" s="6">
        <v>1511717.5519999999</v>
      </c>
      <c r="D354" s="6">
        <v>693970.34</v>
      </c>
      <c r="E354" s="2" t="s">
        <v>41</v>
      </c>
      <c r="F354" s="1">
        <v>26</v>
      </c>
      <c r="G354" s="2" t="s">
        <v>31</v>
      </c>
      <c r="J354"/>
      <c r="K354" s="19"/>
      <c r="L354" s="21"/>
      <c r="M354" s="27"/>
      <c r="N354" s="19"/>
      <c r="O354" s="21"/>
      <c r="P354" s="7">
        <v>0.35</v>
      </c>
      <c r="Q354" s="7">
        <f>Table2[[#This Row],[Elevation
PILE TOP]]-Table2[[#This Row],[LENGTH(m.)
(Actual)]]</f>
        <v>0.35</v>
      </c>
      <c r="R354" s="2"/>
      <c r="S354" s="7">
        <f>Table2[[#This Row],[N]]+Table2[[#This Row],[Pile 
Deviation 
N (m)]]</f>
        <v>1511717.5519999999</v>
      </c>
      <c r="T354" s="7">
        <f>Table2[[#This Row],[E]]+Table2[[#This Row],[Pile 
Deviation 
E (m)]]</f>
        <v>693970.34</v>
      </c>
      <c r="W354" s="7">
        <v>-0.15</v>
      </c>
      <c r="X354" s="2" t="s">
        <v>42</v>
      </c>
      <c r="AA354" s="9">
        <v>46211</v>
      </c>
    </row>
    <row r="355" spans="1:27" ht="13.95" hidden="1" customHeight="1" x14ac:dyDescent="0.65">
      <c r="A355">
        <v>353</v>
      </c>
      <c r="B355" t="s">
        <v>29</v>
      </c>
      <c r="C355" s="6">
        <v>1511718.007</v>
      </c>
      <c r="D355" s="6">
        <v>693972.59</v>
      </c>
      <c r="E355" s="2" t="s">
        <v>41</v>
      </c>
      <c r="F355" s="1">
        <v>26</v>
      </c>
      <c r="G355" s="2" t="s">
        <v>31</v>
      </c>
      <c r="J355"/>
      <c r="K355" s="19"/>
      <c r="L355" s="21"/>
      <c r="M355" s="27"/>
      <c r="N355" s="19"/>
      <c r="O355" s="21"/>
      <c r="P355" s="7">
        <v>0.35</v>
      </c>
      <c r="Q355" s="7">
        <f>Table2[[#This Row],[Elevation
PILE TOP]]-Table2[[#This Row],[LENGTH(m.)
(Actual)]]</f>
        <v>0.35</v>
      </c>
      <c r="R355" s="2"/>
      <c r="S355" s="7">
        <f>Table2[[#This Row],[N]]+Table2[[#This Row],[Pile 
Deviation 
N (m)]]</f>
        <v>1511718.007</v>
      </c>
      <c r="T355" s="7">
        <f>Table2[[#This Row],[E]]+Table2[[#This Row],[Pile 
Deviation 
E (m)]]</f>
        <v>693972.59</v>
      </c>
      <c r="W355" s="7">
        <v>-0.15</v>
      </c>
      <c r="X355" s="2" t="s">
        <v>42</v>
      </c>
      <c r="AA355" s="9">
        <v>46212</v>
      </c>
    </row>
    <row r="356" spans="1:27" hidden="1" x14ac:dyDescent="0.65">
      <c r="A356">
        <v>354</v>
      </c>
      <c r="B356" t="s">
        <v>29</v>
      </c>
      <c r="C356" s="6">
        <v>1511716.737</v>
      </c>
      <c r="D356" s="6">
        <v>693974.50300000003</v>
      </c>
      <c r="E356" s="2" t="s">
        <v>41</v>
      </c>
      <c r="F356" s="1">
        <v>26</v>
      </c>
      <c r="G356" s="2" t="s">
        <v>31</v>
      </c>
      <c r="J356"/>
      <c r="K356" s="19"/>
      <c r="L356" s="21"/>
      <c r="M356" s="27"/>
      <c r="N356" s="19"/>
      <c r="O356" s="21"/>
      <c r="P356" s="7">
        <v>0.35</v>
      </c>
      <c r="Q356" s="7">
        <f>Table2[[#This Row],[Elevation
PILE TOP]]-Table2[[#This Row],[LENGTH(m.)
(Actual)]]</f>
        <v>0.35</v>
      </c>
      <c r="R356" s="2"/>
      <c r="S356" s="7">
        <f>Table2[[#This Row],[N]]+Table2[[#This Row],[Pile 
Deviation 
N (m)]]</f>
        <v>1511716.737</v>
      </c>
      <c r="T356" s="7">
        <f>Table2[[#This Row],[E]]+Table2[[#This Row],[Pile 
Deviation 
E (m)]]</f>
        <v>693974.50300000003</v>
      </c>
      <c r="W356" s="7">
        <v>-0.15</v>
      </c>
      <c r="X356" s="2" t="s">
        <v>42</v>
      </c>
      <c r="AA356" s="9">
        <v>46212</v>
      </c>
    </row>
    <row r="357" spans="1:27" ht="13.95" hidden="1" customHeight="1" x14ac:dyDescent="0.65">
      <c r="A357">
        <v>355</v>
      </c>
      <c r="B357" t="s">
        <v>29</v>
      </c>
      <c r="C357" s="6">
        <v>1511714.486</v>
      </c>
      <c r="D357" s="6">
        <v>693974.95799999998</v>
      </c>
      <c r="E357" s="2" t="s">
        <v>41</v>
      </c>
      <c r="F357" s="1">
        <v>26</v>
      </c>
      <c r="G357" s="2" t="s">
        <v>31</v>
      </c>
      <c r="J357"/>
      <c r="K357" s="19"/>
      <c r="L357" s="21"/>
      <c r="M357" s="27"/>
      <c r="N357" s="19"/>
      <c r="O357" s="21"/>
      <c r="P357" s="7">
        <v>0.35</v>
      </c>
      <c r="Q357" s="7">
        <f>Table2[[#This Row],[Elevation
PILE TOP]]-Table2[[#This Row],[LENGTH(m.)
(Actual)]]</f>
        <v>0.35</v>
      </c>
      <c r="R357" s="2"/>
      <c r="S357" s="7">
        <f>Table2[[#This Row],[N]]+Table2[[#This Row],[Pile 
Deviation 
N (m)]]</f>
        <v>1511714.486</v>
      </c>
      <c r="T357" s="7">
        <f>Table2[[#This Row],[E]]+Table2[[#This Row],[Pile 
Deviation 
E (m)]]</f>
        <v>693974.95799999998</v>
      </c>
      <c r="W357" s="7">
        <v>-0.15</v>
      </c>
      <c r="X357" s="2" t="s">
        <v>42</v>
      </c>
      <c r="AA357" s="9">
        <v>46212</v>
      </c>
    </row>
    <row r="358" spans="1:27" hidden="1" x14ac:dyDescent="0.65">
      <c r="A358">
        <v>356</v>
      </c>
      <c r="B358" t="s">
        <v>29</v>
      </c>
      <c r="C358" s="6">
        <v>1511712.5730000001</v>
      </c>
      <c r="D358" s="6">
        <v>693973.68799999997</v>
      </c>
      <c r="E358" s="2" t="s">
        <v>41</v>
      </c>
      <c r="F358" s="1">
        <v>26</v>
      </c>
      <c r="G358" s="2" t="s">
        <v>31</v>
      </c>
      <c r="J358"/>
      <c r="K358" s="19"/>
      <c r="L358" s="21"/>
      <c r="M358" s="27"/>
      <c r="N358" s="19"/>
      <c r="O358" s="21"/>
      <c r="P358" s="7">
        <v>0.35</v>
      </c>
      <c r="Q358" s="7">
        <f>Table2[[#This Row],[Elevation
PILE TOP]]-Table2[[#This Row],[LENGTH(m.)
(Actual)]]</f>
        <v>0.35</v>
      </c>
      <c r="R358" s="2"/>
      <c r="S358" s="7">
        <f>Table2[[#This Row],[N]]+Table2[[#This Row],[Pile 
Deviation 
N (m)]]</f>
        <v>1511712.5730000001</v>
      </c>
      <c r="T358" s="7">
        <f>Table2[[#This Row],[E]]+Table2[[#This Row],[Pile 
Deviation 
E (m)]]</f>
        <v>693973.68799999997</v>
      </c>
      <c r="W358" s="7">
        <v>-0.15</v>
      </c>
      <c r="X358" s="2" t="s">
        <v>42</v>
      </c>
      <c r="AA358" s="9">
        <v>46212</v>
      </c>
    </row>
    <row r="359" spans="1:27" ht="13.95" hidden="1" customHeight="1" x14ac:dyDescent="0.65">
      <c r="A359">
        <v>357</v>
      </c>
      <c r="B359" t="s">
        <v>29</v>
      </c>
      <c r="C359" s="6">
        <v>1511712.1189999999</v>
      </c>
      <c r="D359" s="6">
        <v>693971.43700000003</v>
      </c>
      <c r="E359" s="2" t="s">
        <v>41</v>
      </c>
      <c r="F359" s="1">
        <v>26</v>
      </c>
      <c r="G359" s="2" t="s">
        <v>31</v>
      </c>
      <c r="J359"/>
      <c r="K359" s="19"/>
      <c r="L359" s="21"/>
      <c r="M359" s="27"/>
      <c r="N359" s="19"/>
      <c r="O359" s="21"/>
      <c r="P359" s="7">
        <v>0.35</v>
      </c>
      <c r="Q359" s="7">
        <f>Table2[[#This Row],[Elevation
PILE TOP]]-Table2[[#This Row],[LENGTH(m.)
(Actual)]]</f>
        <v>0.35</v>
      </c>
      <c r="R359" s="2"/>
      <c r="S359" s="7">
        <f>Table2[[#This Row],[N]]+Table2[[#This Row],[Pile 
Deviation 
N (m)]]</f>
        <v>1511712.1189999999</v>
      </c>
      <c r="T359" s="7">
        <f>Table2[[#This Row],[E]]+Table2[[#This Row],[Pile 
Deviation 
E (m)]]</f>
        <v>693971.43700000003</v>
      </c>
      <c r="W359" s="7">
        <v>-0.15</v>
      </c>
      <c r="X359" s="2" t="s">
        <v>42</v>
      </c>
      <c r="AA359" s="9">
        <v>46211</v>
      </c>
    </row>
    <row r="360" spans="1:27" hidden="1" x14ac:dyDescent="0.65">
      <c r="A360">
        <v>358</v>
      </c>
      <c r="B360" t="s">
        <v>29</v>
      </c>
      <c r="C360" s="6">
        <v>1511713.389</v>
      </c>
      <c r="D360" s="6">
        <v>693969.52399999998</v>
      </c>
      <c r="E360" s="2" t="s">
        <v>41</v>
      </c>
      <c r="F360" s="1">
        <v>26</v>
      </c>
      <c r="G360" s="2" t="s">
        <v>31</v>
      </c>
      <c r="J360"/>
      <c r="K360" s="19"/>
      <c r="L360" s="21"/>
      <c r="M360" s="27"/>
      <c r="N360" s="19"/>
      <c r="O360" s="21"/>
      <c r="P360" s="7">
        <v>0.35</v>
      </c>
      <c r="Q360" s="7">
        <f>Table2[[#This Row],[Elevation
PILE TOP]]-Table2[[#This Row],[LENGTH(m.)
(Actual)]]</f>
        <v>0.35</v>
      </c>
      <c r="R360" s="2"/>
      <c r="S360" s="7">
        <f>Table2[[#This Row],[N]]+Table2[[#This Row],[Pile 
Deviation 
N (m)]]</f>
        <v>1511713.389</v>
      </c>
      <c r="T360" s="7">
        <f>Table2[[#This Row],[E]]+Table2[[#This Row],[Pile 
Deviation 
E (m)]]</f>
        <v>693969.52399999998</v>
      </c>
      <c r="W360" s="7">
        <v>-0.15</v>
      </c>
      <c r="X360" s="2" t="s">
        <v>42</v>
      </c>
      <c r="AA360" s="9">
        <v>46211</v>
      </c>
    </row>
    <row r="361" spans="1:27" ht="13.95" hidden="1" customHeight="1" x14ac:dyDescent="0.65">
      <c r="A361">
        <v>359</v>
      </c>
      <c r="B361" t="s">
        <v>29</v>
      </c>
      <c r="C361" s="6">
        <v>1511715.0759999999</v>
      </c>
      <c r="D361" s="6">
        <v>693972.10800000001</v>
      </c>
      <c r="E361" s="2" t="s">
        <v>35</v>
      </c>
      <c r="F361" s="1">
        <v>24</v>
      </c>
      <c r="G361" s="2" t="s">
        <v>31</v>
      </c>
      <c r="J361"/>
      <c r="K361" s="19"/>
      <c r="L361" s="21"/>
      <c r="M361" s="27"/>
      <c r="N361" s="19"/>
      <c r="O361" s="21"/>
      <c r="P361" s="7">
        <v>0.28999999999999998</v>
      </c>
      <c r="Q361" s="7">
        <f>Table2[[#This Row],[Elevation
PILE TOP]]-Table2[[#This Row],[LENGTH(m.)
(Actual)]]</f>
        <v>0.28999999999999998</v>
      </c>
      <c r="R361" s="2"/>
      <c r="S361" s="7">
        <f>Table2[[#This Row],[N]]+Table2[[#This Row],[Pile 
Deviation 
N (m)]]</f>
        <v>1511715.0759999999</v>
      </c>
      <c r="T361" s="7">
        <f>Table2[[#This Row],[E]]+Table2[[#This Row],[Pile 
Deviation 
E (m)]]</f>
        <v>693972.10800000001</v>
      </c>
      <c r="W361" s="7">
        <v>0.28999999999999998</v>
      </c>
      <c r="X361" s="2" t="s">
        <v>40</v>
      </c>
      <c r="AA361" s="9">
        <v>46211</v>
      </c>
    </row>
    <row r="362" spans="1:27" hidden="1" x14ac:dyDescent="0.65">
      <c r="A362">
        <v>360</v>
      </c>
      <c r="B362" t="s">
        <v>29</v>
      </c>
      <c r="C362" s="6">
        <v>1511715.7490000001</v>
      </c>
      <c r="D362" s="6">
        <v>693975.44</v>
      </c>
      <c r="E362" s="2" t="s">
        <v>35</v>
      </c>
      <c r="F362" s="1">
        <v>24</v>
      </c>
      <c r="G362" s="2" t="s">
        <v>31</v>
      </c>
      <c r="J362"/>
      <c r="K362" s="19"/>
      <c r="L362" s="21"/>
      <c r="M362" s="27"/>
      <c r="N362" s="19"/>
      <c r="O362" s="21"/>
      <c r="P362" s="7">
        <v>0.28999999999999998</v>
      </c>
      <c r="Q362" s="7">
        <f>Table2[[#This Row],[Elevation
PILE TOP]]-Table2[[#This Row],[LENGTH(m.)
(Actual)]]</f>
        <v>0.28999999999999998</v>
      </c>
      <c r="R362" s="2"/>
      <c r="S362" s="7">
        <f>Table2[[#This Row],[N]]+Table2[[#This Row],[Pile 
Deviation 
N (m)]]</f>
        <v>1511715.7490000001</v>
      </c>
      <c r="T362" s="7">
        <f>Table2[[#This Row],[E]]+Table2[[#This Row],[Pile 
Deviation 
E (m)]]</f>
        <v>693975.44</v>
      </c>
      <c r="W362" s="7">
        <v>0.28999999999999998</v>
      </c>
      <c r="X362" s="2" t="s">
        <v>40</v>
      </c>
      <c r="AA362" s="9">
        <v>46212</v>
      </c>
    </row>
    <row r="363" spans="1:27" ht="13.95" hidden="1" customHeight="1" x14ac:dyDescent="0.65">
      <c r="A363">
        <v>361</v>
      </c>
      <c r="B363" t="s">
        <v>29</v>
      </c>
      <c r="C363" s="6">
        <v>1511716.987</v>
      </c>
      <c r="D363" s="6">
        <v>693975.73899999994</v>
      </c>
      <c r="E363" s="2" t="s">
        <v>41</v>
      </c>
      <c r="F363" s="1">
        <v>26</v>
      </c>
      <c r="G363" s="2" t="s">
        <v>31</v>
      </c>
      <c r="J363"/>
      <c r="K363" s="19"/>
      <c r="L363" s="21"/>
      <c r="M363" s="27"/>
      <c r="N363" s="19"/>
      <c r="O363" s="21"/>
      <c r="P363" s="7">
        <v>0.35</v>
      </c>
      <c r="Q363" s="7">
        <f>Table2[[#This Row],[Elevation
PILE TOP]]-Table2[[#This Row],[LENGTH(m.)
(Actual)]]</f>
        <v>0.35</v>
      </c>
      <c r="R363" s="2"/>
      <c r="S363" s="7">
        <f>Table2[[#This Row],[N]]+Table2[[#This Row],[Pile 
Deviation 
N (m)]]</f>
        <v>1511716.987</v>
      </c>
      <c r="T363" s="7">
        <f>Table2[[#This Row],[E]]+Table2[[#This Row],[Pile 
Deviation 
E (m)]]</f>
        <v>693975.73899999994</v>
      </c>
      <c r="W363" s="7">
        <v>-0.15</v>
      </c>
      <c r="X363" s="2" t="s">
        <v>42</v>
      </c>
      <c r="AA363" s="9">
        <v>46212</v>
      </c>
    </row>
    <row r="364" spans="1:27" hidden="1" x14ac:dyDescent="0.65">
      <c r="A364">
        <v>362</v>
      </c>
      <c r="B364" t="s">
        <v>29</v>
      </c>
      <c r="C364" s="6">
        <v>1511718.899</v>
      </c>
      <c r="D364" s="6">
        <v>693977.00899999996</v>
      </c>
      <c r="E364" s="2" t="s">
        <v>41</v>
      </c>
      <c r="F364" s="1">
        <v>26</v>
      </c>
      <c r="G364" s="2" t="s">
        <v>31</v>
      </c>
      <c r="J364"/>
      <c r="K364" s="19"/>
      <c r="L364" s="21"/>
      <c r="M364" s="27"/>
      <c r="N364" s="19"/>
      <c r="O364" s="21"/>
      <c r="P364" s="7">
        <v>0.35</v>
      </c>
      <c r="Q364" s="7">
        <f>Table2[[#This Row],[Elevation
PILE TOP]]-Table2[[#This Row],[LENGTH(m.)
(Actual)]]</f>
        <v>0.35</v>
      </c>
      <c r="R364" s="2"/>
      <c r="S364" s="7">
        <f>Table2[[#This Row],[N]]+Table2[[#This Row],[Pile 
Deviation 
N (m)]]</f>
        <v>1511718.899</v>
      </c>
      <c r="T364" s="7">
        <f>Table2[[#This Row],[E]]+Table2[[#This Row],[Pile 
Deviation 
E (m)]]</f>
        <v>693977.00899999996</v>
      </c>
      <c r="W364" s="7">
        <v>-0.15</v>
      </c>
      <c r="X364" s="2" t="s">
        <v>42</v>
      </c>
      <c r="AA364" s="9">
        <v>46213</v>
      </c>
    </row>
    <row r="365" spans="1:27" ht="13.95" hidden="1" customHeight="1" x14ac:dyDescent="0.65">
      <c r="A365">
        <v>363</v>
      </c>
      <c r="B365" t="s">
        <v>29</v>
      </c>
      <c r="C365" s="6">
        <v>1511719.3540000001</v>
      </c>
      <c r="D365" s="6">
        <v>693979.26</v>
      </c>
      <c r="E365" s="2" t="s">
        <v>41</v>
      </c>
      <c r="F365" s="1">
        <v>26</v>
      </c>
      <c r="G365" s="2" t="s">
        <v>31</v>
      </c>
      <c r="J365"/>
      <c r="K365" s="19"/>
      <c r="L365" s="21"/>
      <c r="M365" s="27"/>
      <c r="N365" s="19"/>
      <c r="O365" s="21"/>
      <c r="P365" s="7">
        <v>0.35</v>
      </c>
      <c r="Q365" s="7">
        <f>Table2[[#This Row],[Elevation
PILE TOP]]-Table2[[#This Row],[LENGTH(m.)
(Actual)]]</f>
        <v>0.35</v>
      </c>
      <c r="R365" s="2"/>
      <c r="S365" s="7">
        <f>Table2[[#This Row],[N]]+Table2[[#This Row],[Pile 
Deviation 
N (m)]]</f>
        <v>1511719.3540000001</v>
      </c>
      <c r="T365" s="7">
        <f>Table2[[#This Row],[E]]+Table2[[#This Row],[Pile 
Deviation 
E (m)]]</f>
        <v>693979.26</v>
      </c>
      <c r="W365" s="7">
        <v>-0.15</v>
      </c>
      <c r="X365" s="2" t="s">
        <v>42</v>
      </c>
      <c r="AA365" s="9">
        <v>46213</v>
      </c>
    </row>
    <row r="366" spans="1:27" hidden="1" x14ac:dyDescent="0.65">
      <c r="A366">
        <v>364</v>
      </c>
      <c r="B366" t="s">
        <v>29</v>
      </c>
      <c r="C366" s="6">
        <v>1511718.084</v>
      </c>
      <c r="D366" s="6">
        <v>693981.17299999995</v>
      </c>
      <c r="E366" s="2" t="s">
        <v>41</v>
      </c>
      <c r="F366" s="1">
        <v>26</v>
      </c>
      <c r="G366" s="2" t="s">
        <v>31</v>
      </c>
      <c r="J366"/>
      <c r="K366" s="19"/>
      <c r="L366" s="21"/>
      <c r="M366" s="27"/>
      <c r="N366" s="19"/>
      <c r="O366" s="21"/>
      <c r="P366" s="7">
        <v>0.35</v>
      </c>
      <c r="Q366" s="7">
        <f>Table2[[#This Row],[Elevation
PILE TOP]]-Table2[[#This Row],[LENGTH(m.)
(Actual)]]</f>
        <v>0.35</v>
      </c>
      <c r="R366" s="2"/>
      <c r="S366" s="7">
        <f>Table2[[#This Row],[N]]+Table2[[#This Row],[Pile 
Deviation 
N (m)]]</f>
        <v>1511718.084</v>
      </c>
      <c r="T366" s="7">
        <f>Table2[[#This Row],[E]]+Table2[[#This Row],[Pile 
Deviation 
E (m)]]</f>
        <v>693981.17299999995</v>
      </c>
      <c r="W366" s="7">
        <v>-0.15</v>
      </c>
      <c r="X366" s="2" t="s">
        <v>42</v>
      </c>
      <c r="AA366" s="9">
        <v>46214</v>
      </c>
    </row>
    <row r="367" spans="1:27" ht="13.95" hidden="1" customHeight="1" x14ac:dyDescent="0.65">
      <c r="A367">
        <v>365</v>
      </c>
      <c r="B367" t="s">
        <v>29</v>
      </c>
      <c r="C367" s="6">
        <v>1511715.8330000001</v>
      </c>
      <c r="D367" s="6">
        <v>693981.62699999998</v>
      </c>
      <c r="E367" s="2" t="s">
        <v>41</v>
      </c>
      <c r="F367" s="1">
        <v>26</v>
      </c>
      <c r="G367" s="2" t="s">
        <v>31</v>
      </c>
      <c r="J367"/>
      <c r="K367" s="19"/>
      <c r="L367" s="21"/>
      <c r="M367" s="27"/>
      <c r="N367" s="19"/>
      <c r="O367" s="21"/>
      <c r="P367" s="7">
        <v>0.35</v>
      </c>
      <c r="Q367" s="7">
        <f>Table2[[#This Row],[Elevation
PILE TOP]]-Table2[[#This Row],[LENGTH(m.)
(Actual)]]</f>
        <v>0.35</v>
      </c>
      <c r="R367" s="2"/>
      <c r="S367" s="7">
        <f>Table2[[#This Row],[N]]+Table2[[#This Row],[Pile 
Deviation 
N (m)]]</f>
        <v>1511715.8330000001</v>
      </c>
      <c r="T367" s="7">
        <f>Table2[[#This Row],[E]]+Table2[[#This Row],[Pile 
Deviation 
E (m)]]</f>
        <v>693981.62699999998</v>
      </c>
      <c r="W367" s="7">
        <v>-0.15</v>
      </c>
      <c r="X367" s="2" t="s">
        <v>42</v>
      </c>
      <c r="AA367" s="9">
        <v>46214</v>
      </c>
    </row>
    <row r="368" spans="1:27" hidden="1" x14ac:dyDescent="0.65">
      <c r="A368">
        <v>366</v>
      </c>
      <c r="B368" t="s">
        <v>29</v>
      </c>
      <c r="C368" s="6">
        <v>1511713.92</v>
      </c>
      <c r="D368" s="6">
        <v>693980.35699999996</v>
      </c>
      <c r="E368" s="2" t="s">
        <v>41</v>
      </c>
      <c r="F368" s="1">
        <v>26</v>
      </c>
      <c r="G368" s="2" t="s">
        <v>31</v>
      </c>
      <c r="J368"/>
      <c r="K368" s="19"/>
      <c r="L368" s="21"/>
      <c r="M368" s="27"/>
      <c r="N368" s="19"/>
      <c r="O368" s="21"/>
      <c r="P368" s="7">
        <v>0.35</v>
      </c>
      <c r="Q368" s="7">
        <f>Table2[[#This Row],[Elevation
PILE TOP]]-Table2[[#This Row],[LENGTH(m.)
(Actual)]]</f>
        <v>0.35</v>
      </c>
      <c r="R368" s="2"/>
      <c r="S368" s="7">
        <f>Table2[[#This Row],[N]]+Table2[[#This Row],[Pile 
Deviation 
N (m)]]</f>
        <v>1511713.92</v>
      </c>
      <c r="T368" s="7">
        <f>Table2[[#This Row],[E]]+Table2[[#This Row],[Pile 
Deviation 
E (m)]]</f>
        <v>693980.35699999996</v>
      </c>
      <c r="W368" s="7">
        <v>-0.15</v>
      </c>
      <c r="X368" s="2" t="s">
        <v>42</v>
      </c>
      <c r="AA368" s="9">
        <v>46213</v>
      </c>
    </row>
    <row r="369" spans="1:27" ht="13.95" hidden="1" customHeight="1" x14ac:dyDescent="0.65">
      <c r="A369">
        <v>367</v>
      </c>
      <c r="B369" t="s">
        <v>29</v>
      </c>
      <c r="C369" s="6">
        <v>1511713.466</v>
      </c>
      <c r="D369" s="6">
        <v>693978.10699999996</v>
      </c>
      <c r="E369" s="2" t="s">
        <v>41</v>
      </c>
      <c r="F369" s="1">
        <v>26</v>
      </c>
      <c r="G369" s="2" t="s">
        <v>31</v>
      </c>
      <c r="J369"/>
      <c r="K369" s="19"/>
      <c r="L369" s="21"/>
      <c r="M369" s="27"/>
      <c r="N369" s="19"/>
      <c r="O369" s="21"/>
      <c r="P369" s="7">
        <v>0.35</v>
      </c>
      <c r="Q369" s="7">
        <f>Table2[[#This Row],[Elevation
PILE TOP]]-Table2[[#This Row],[LENGTH(m.)
(Actual)]]</f>
        <v>0.35</v>
      </c>
      <c r="R369" s="2"/>
      <c r="S369" s="7">
        <f>Table2[[#This Row],[N]]+Table2[[#This Row],[Pile 
Deviation 
N (m)]]</f>
        <v>1511713.466</v>
      </c>
      <c r="T369" s="7">
        <f>Table2[[#This Row],[E]]+Table2[[#This Row],[Pile 
Deviation 
E (m)]]</f>
        <v>693978.10699999996</v>
      </c>
      <c r="W369" s="7">
        <v>-0.15</v>
      </c>
      <c r="X369" s="2" t="s">
        <v>42</v>
      </c>
      <c r="AA369" s="9">
        <v>46213</v>
      </c>
    </row>
    <row r="370" spans="1:27" hidden="1" x14ac:dyDescent="0.65">
      <c r="A370">
        <v>368</v>
      </c>
      <c r="B370" t="s">
        <v>29</v>
      </c>
      <c r="C370" s="6">
        <v>1511714.736</v>
      </c>
      <c r="D370" s="6">
        <v>693976.19400000002</v>
      </c>
      <c r="E370" s="2" t="s">
        <v>41</v>
      </c>
      <c r="F370" s="1">
        <v>26</v>
      </c>
      <c r="G370" s="2" t="s">
        <v>31</v>
      </c>
      <c r="J370"/>
      <c r="K370" s="19"/>
      <c r="L370" s="21"/>
      <c r="M370" s="27"/>
      <c r="N370" s="19"/>
      <c r="O370" s="21"/>
      <c r="P370" s="7">
        <v>0.35</v>
      </c>
      <c r="Q370" s="7">
        <f>Table2[[#This Row],[Elevation
PILE TOP]]-Table2[[#This Row],[LENGTH(m.)
(Actual)]]</f>
        <v>0.35</v>
      </c>
      <c r="R370" s="2"/>
      <c r="S370" s="7">
        <f>Table2[[#This Row],[N]]+Table2[[#This Row],[Pile 
Deviation 
N (m)]]</f>
        <v>1511714.736</v>
      </c>
      <c r="T370" s="7">
        <f>Table2[[#This Row],[E]]+Table2[[#This Row],[Pile 
Deviation 
E (m)]]</f>
        <v>693976.19400000002</v>
      </c>
      <c r="W370" s="7">
        <v>-0.15</v>
      </c>
      <c r="X370" s="2" t="s">
        <v>42</v>
      </c>
      <c r="AA370" s="9">
        <v>46212</v>
      </c>
    </row>
    <row r="371" spans="1:27" ht="13.95" hidden="1" customHeight="1" x14ac:dyDescent="0.65">
      <c r="A371">
        <v>369</v>
      </c>
      <c r="B371" t="s">
        <v>29</v>
      </c>
      <c r="C371" s="6">
        <v>1511716.422</v>
      </c>
      <c r="D371" s="6">
        <v>693978.77300000004</v>
      </c>
      <c r="E371" s="2" t="s">
        <v>35</v>
      </c>
      <c r="F371" s="1">
        <v>24</v>
      </c>
      <c r="G371" s="2" t="s">
        <v>31</v>
      </c>
      <c r="J371"/>
      <c r="K371" s="19"/>
      <c r="L371" s="21"/>
      <c r="M371" s="27"/>
      <c r="N371" s="19"/>
      <c r="O371" s="21"/>
      <c r="P371" s="7">
        <v>0.28999999999999998</v>
      </c>
      <c r="Q371" s="7">
        <f>Table2[[#This Row],[Elevation
PILE TOP]]-Table2[[#This Row],[LENGTH(m.)
(Actual)]]</f>
        <v>0.28999999999999998</v>
      </c>
      <c r="R371" s="2"/>
      <c r="S371" s="7">
        <f>Table2[[#This Row],[N]]+Table2[[#This Row],[Pile 
Deviation 
N (m)]]</f>
        <v>1511716.422</v>
      </c>
      <c r="T371" s="7">
        <f>Table2[[#This Row],[E]]+Table2[[#This Row],[Pile 
Deviation 
E (m)]]</f>
        <v>693978.77300000004</v>
      </c>
      <c r="W371" s="7">
        <v>0.28999999999999998</v>
      </c>
      <c r="X371" s="2" t="s">
        <v>40</v>
      </c>
      <c r="AA371" s="9">
        <v>46213</v>
      </c>
    </row>
    <row r="372" spans="1:27" hidden="1" x14ac:dyDescent="0.65">
      <c r="A372">
        <v>370</v>
      </c>
      <c r="B372" t="s">
        <v>29</v>
      </c>
      <c r="C372" s="6">
        <v>1511717.095</v>
      </c>
      <c r="D372" s="6">
        <v>693982.10600000003</v>
      </c>
      <c r="E372" s="2" t="s">
        <v>35</v>
      </c>
      <c r="F372" s="1">
        <v>24</v>
      </c>
      <c r="G372" s="2" t="s">
        <v>31</v>
      </c>
      <c r="J372"/>
      <c r="K372" s="19"/>
      <c r="L372" s="21"/>
      <c r="M372" s="27"/>
      <c r="N372" s="19"/>
      <c r="O372" s="21"/>
      <c r="P372" s="7">
        <v>0.28999999999999998</v>
      </c>
      <c r="Q372" s="7">
        <f>Table2[[#This Row],[Elevation
PILE TOP]]-Table2[[#This Row],[LENGTH(m.)
(Actual)]]</f>
        <v>0.28999999999999998</v>
      </c>
      <c r="R372" s="2"/>
      <c r="S372" s="7">
        <f>Table2[[#This Row],[N]]+Table2[[#This Row],[Pile 
Deviation 
N (m)]]</f>
        <v>1511717.095</v>
      </c>
      <c r="T372" s="7">
        <f>Table2[[#This Row],[E]]+Table2[[#This Row],[Pile 
Deviation 
E (m)]]</f>
        <v>693982.10600000003</v>
      </c>
      <c r="W372" s="7">
        <v>0.28999999999999998</v>
      </c>
      <c r="X372" s="2" t="s">
        <v>40</v>
      </c>
      <c r="AA372" s="9">
        <v>46214</v>
      </c>
    </row>
    <row r="373" spans="1:27" ht="13.95" hidden="1" customHeight="1" x14ac:dyDescent="0.65">
      <c r="A373">
        <v>371</v>
      </c>
      <c r="B373" t="s">
        <v>29</v>
      </c>
      <c r="C373" s="6">
        <v>1511718.3319999999</v>
      </c>
      <c r="D373" s="6">
        <v>693982.40399999998</v>
      </c>
      <c r="E373" s="2" t="s">
        <v>41</v>
      </c>
      <c r="F373" s="1">
        <v>26</v>
      </c>
      <c r="G373" s="2" t="s">
        <v>31</v>
      </c>
      <c r="J373"/>
      <c r="K373" s="19"/>
      <c r="L373" s="21"/>
      <c r="M373" s="27"/>
      <c r="N373" s="19"/>
      <c r="O373" s="21"/>
      <c r="P373" s="7">
        <v>0.35</v>
      </c>
      <c r="Q373" s="7">
        <f>Table2[[#This Row],[Elevation
PILE TOP]]-Table2[[#This Row],[LENGTH(m.)
(Actual)]]</f>
        <v>0.35</v>
      </c>
      <c r="R373" s="2"/>
      <c r="S373" s="7">
        <f>Table2[[#This Row],[N]]+Table2[[#This Row],[Pile 
Deviation 
N (m)]]</f>
        <v>1511718.3319999999</v>
      </c>
      <c r="T373" s="7">
        <f>Table2[[#This Row],[E]]+Table2[[#This Row],[Pile 
Deviation 
E (m)]]</f>
        <v>693982.40399999998</v>
      </c>
      <c r="W373" s="7">
        <v>-0.15</v>
      </c>
      <c r="X373" s="2" t="s">
        <v>42</v>
      </c>
      <c r="AA373" s="9">
        <v>46214</v>
      </c>
    </row>
    <row r="374" spans="1:27" hidden="1" x14ac:dyDescent="0.65">
      <c r="A374">
        <v>372</v>
      </c>
      <c r="B374" t="s">
        <v>29</v>
      </c>
      <c r="C374" s="6">
        <v>1511720.2450000001</v>
      </c>
      <c r="D374" s="6">
        <v>693983.674</v>
      </c>
      <c r="E374" s="2" t="s">
        <v>41</v>
      </c>
      <c r="F374" s="1">
        <v>26</v>
      </c>
      <c r="G374" s="2" t="s">
        <v>31</v>
      </c>
      <c r="J374"/>
      <c r="K374" s="19"/>
      <c r="L374" s="21"/>
      <c r="M374" s="27"/>
      <c r="N374" s="19"/>
      <c r="O374" s="21"/>
      <c r="P374" s="7">
        <v>0.35</v>
      </c>
      <c r="Q374" s="7">
        <f>Table2[[#This Row],[Elevation
PILE TOP]]-Table2[[#This Row],[LENGTH(m.)
(Actual)]]</f>
        <v>0.35</v>
      </c>
      <c r="R374" s="2"/>
      <c r="S374" s="7">
        <f>Table2[[#This Row],[N]]+Table2[[#This Row],[Pile 
Deviation 
N (m)]]</f>
        <v>1511720.2450000001</v>
      </c>
      <c r="T374" s="7">
        <f>Table2[[#This Row],[E]]+Table2[[#This Row],[Pile 
Deviation 
E (m)]]</f>
        <v>693983.674</v>
      </c>
      <c r="W374" s="7">
        <v>-0.15</v>
      </c>
      <c r="X374" s="2" t="s">
        <v>42</v>
      </c>
      <c r="AA374" s="9">
        <v>46214</v>
      </c>
    </row>
    <row r="375" spans="1:27" ht="13.95" hidden="1" customHeight="1" x14ac:dyDescent="0.65">
      <c r="A375">
        <v>373</v>
      </c>
      <c r="B375" t="s">
        <v>29</v>
      </c>
      <c r="C375" s="6">
        <v>1511720.7</v>
      </c>
      <c r="D375" s="6">
        <v>693985.924</v>
      </c>
      <c r="E375" s="2" t="s">
        <v>41</v>
      </c>
      <c r="F375" s="1">
        <v>26</v>
      </c>
      <c r="G375" s="2" t="s">
        <v>31</v>
      </c>
      <c r="J375"/>
      <c r="K375" s="19"/>
      <c r="L375" s="21"/>
      <c r="M375" s="27"/>
      <c r="N375" s="19"/>
      <c r="O375" s="21"/>
      <c r="P375" s="7">
        <v>0.35</v>
      </c>
      <c r="Q375" s="7">
        <f>Table2[[#This Row],[Elevation
PILE TOP]]-Table2[[#This Row],[LENGTH(m.)
(Actual)]]</f>
        <v>0.35</v>
      </c>
      <c r="R375" s="2"/>
      <c r="S375" s="7">
        <f>Table2[[#This Row],[N]]+Table2[[#This Row],[Pile 
Deviation 
N (m)]]</f>
        <v>1511720.7</v>
      </c>
      <c r="T375" s="7">
        <f>Table2[[#This Row],[E]]+Table2[[#This Row],[Pile 
Deviation 
E (m)]]</f>
        <v>693985.924</v>
      </c>
      <c r="W375" s="7">
        <v>-0.15</v>
      </c>
      <c r="X375" s="2" t="s">
        <v>42</v>
      </c>
      <c r="AA375" s="9">
        <v>46216</v>
      </c>
    </row>
    <row r="376" spans="1:27" hidden="1" x14ac:dyDescent="0.65">
      <c r="A376">
        <v>374</v>
      </c>
      <c r="B376" t="s">
        <v>29</v>
      </c>
      <c r="C376" s="6">
        <v>1511719.43</v>
      </c>
      <c r="D376" s="6">
        <v>693987.83700000006</v>
      </c>
      <c r="E376" s="2" t="s">
        <v>41</v>
      </c>
      <c r="F376" s="1">
        <v>26</v>
      </c>
      <c r="G376" s="2" t="s">
        <v>31</v>
      </c>
      <c r="J376"/>
      <c r="K376" s="19"/>
      <c r="L376" s="21"/>
      <c r="M376" s="27"/>
      <c r="N376" s="19"/>
      <c r="O376" s="21"/>
      <c r="P376" s="7">
        <v>0.35</v>
      </c>
      <c r="Q376" s="7">
        <f>Table2[[#This Row],[Elevation
PILE TOP]]-Table2[[#This Row],[LENGTH(m.)
(Actual)]]</f>
        <v>0.35</v>
      </c>
      <c r="R376" s="2"/>
      <c r="S376" s="7">
        <f>Table2[[#This Row],[N]]+Table2[[#This Row],[Pile 
Deviation 
N (m)]]</f>
        <v>1511719.43</v>
      </c>
      <c r="T376" s="7">
        <f>Table2[[#This Row],[E]]+Table2[[#This Row],[Pile 
Deviation 
E (m)]]</f>
        <v>693987.83700000006</v>
      </c>
      <c r="W376" s="7">
        <v>-0.15</v>
      </c>
      <c r="X376" s="2" t="s">
        <v>42</v>
      </c>
      <c r="AA376" s="9">
        <v>46216</v>
      </c>
    </row>
    <row r="377" spans="1:27" ht="13.95" hidden="1" customHeight="1" x14ac:dyDescent="0.65">
      <c r="A377">
        <v>375</v>
      </c>
      <c r="B377" t="s">
        <v>29</v>
      </c>
      <c r="C377" s="6">
        <v>1511717.179</v>
      </c>
      <c r="D377" s="6">
        <v>693988.29200000002</v>
      </c>
      <c r="E377" s="2" t="s">
        <v>41</v>
      </c>
      <c r="F377" s="1">
        <v>26</v>
      </c>
      <c r="G377" s="2" t="s">
        <v>31</v>
      </c>
      <c r="J377"/>
      <c r="K377" s="19"/>
      <c r="L377" s="21"/>
      <c r="M377" s="27"/>
      <c r="N377" s="19"/>
      <c r="O377" s="21"/>
      <c r="P377" s="7">
        <v>0.35</v>
      </c>
      <c r="Q377" s="7">
        <f>Table2[[#This Row],[Elevation
PILE TOP]]-Table2[[#This Row],[LENGTH(m.)
(Actual)]]</f>
        <v>0.35</v>
      </c>
      <c r="R377" s="2"/>
      <c r="S377" s="7">
        <f>Table2[[#This Row],[N]]+Table2[[#This Row],[Pile 
Deviation 
N (m)]]</f>
        <v>1511717.179</v>
      </c>
      <c r="T377" s="7">
        <f>Table2[[#This Row],[E]]+Table2[[#This Row],[Pile 
Deviation 
E (m)]]</f>
        <v>693988.29200000002</v>
      </c>
      <c r="W377" s="7">
        <v>-0.15</v>
      </c>
      <c r="X377" s="2" t="s">
        <v>42</v>
      </c>
      <c r="AA377" s="9">
        <v>46216</v>
      </c>
    </row>
    <row r="378" spans="1:27" hidden="1" x14ac:dyDescent="0.65">
      <c r="A378">
        <v>376</v>
      </c>
      <c r="B378" t="s">
        <v>29</v>
      </c>
      <c r="C378" s="6">
        <v>1511715.2660000001</v>
      </c>
      <c r="D378" s="6">
        <v>693987.022</v>
      </c>
      <c r="E378" s="2" t="s">
        <v>41</v>
      </c>
      <c r="F378" s="1">
        <v>26</v>
      </c>
      <c r="G378" s="2" t="s">
        <v>31</v>
      </c>
      <c r="J378"/>
      <c r="K378" s="19"/>
      <c r="L378" s="21"/>
      <c r="M378" s="27"/>
      <c r="N378" s="19"/>
      <c r="O378" s="21"/>
      <c r="P378" s="7">
        <v>0.35</v>
      </c>
      <c r="Q378" s="7">
        <f>Table2[[#This Row],[Elevation
PILE TOP]]-Table2[[#This Row],[LENGTH(m.)
(Actual)]]</f>
        <v>0.35</v>
      </c>
      <c r="R378" s="2"/>
      <c r="S378" s="7">
        <f>Table2[[#This Row],[N]]+Table2[[#This Row],[Pile 
Deviation 
N (m)]]</f>
        <v>1511715.2660000001</v>
      </c>
      <c r="T378" s="7">
        <f>Table2[[#This Row],[E]]+Table2[[#This Row],[Pile 
Deviation 
E (m)]]</f>
        <v>693987.022</v>
      </c>
      <c r="W378" s="7">
        <v>-0.15</v>
      </c>
      <c r="X378" s="2" t="s">
        <v>42</v>
      </c>
      <c r="AA378" s="9">
        <v>46216</v>
      </c>
    </row>
    <row r="379" spans="1:27" ht="13.95" hidden="1" customHeight="1" x14ac:dyDescent="0.65">
      <c r="A379">
        <v>377</v>
      </c>
      <c r="B379" t="s">
        <v>29</v>
      </c>
      <c r="C379" s="6">
        <v>1511714.8119999999</v>
      </c>
      <c r="D379" s="6">
        <v>693984.77099999995</v>
      </c>
      <c r="E379" s="2" t="s">
        <v>41</v>
      </c>
      <c r="F379" s="1">
        <v>26</v>
      </c>
      <c r="G379" s="2" t="s">
        <v>31</v>
      </c>
      <c r="J379"/>
      <c r="K379" s="19"/>
      <c r="L379" s="21"/>
      <c r="M379" s="27"/>
      <c r="N379" s="19"/>
      <c r="O379" s="21"/>
      <c r="P379" s="7">
        <v>0.35</v>
      </c>
      <c r="Q379" s="7">
        <f>Table2[[#This Row],[Elevation
PILE TOP]]-Table2[[#This Row],[LENGTH(m.)
(Actual)]]</f>
        <v>0.35</v>
      </c>
      <c r="R379" s="2"/>
      <c r="S379" s="7">
        <f>Table2[[#This Row],[N]]+Table2[[#This Row],[Pile 
Deviation 
N (m)]]</f>
        <v>1511714.8119999999</v>
      </c>
      <c r="T379" s="7">
        <f>Table2[[#This Row],[E]]+Table2[[#This Row],[Pile 
Deviation 
E (m)]]</f>
        <v>693984.77099999995</v>
      </c>
      <c r="W379" s="7">
        <v>-0.15</v>
      </c>
      <c r="X379" s="2" t="s">
        <v>42</v>
      </c>
      <c r="AA379" s="9">
        <v>46214</v>
      </c>
    </row>
    <row r="380" spans="1:27" hidden="1" x14ac:dyDescent="0.65">
      <c r="A380">
        <v>378</v>
      </c>
      <c r="B380" t="s">
        <v>29</v>
      </c>
      <c r="C380" s="6">
        <v>1511716.0819999999</v>
      </c>
      <c r="D380" s="6">
        <v>693982.85800000001</v>
      </c>
      <c r="E380" s="2" t="s">
        <v>41</v>
      </c>
      <c r="F380" s="1">
        <v>26</v>
      </c>
      <c r="G380" s="2" t="s">
        <v>31</v>
      </c>
      <c r="J380"/>
      <c r="K380" s="19"/>
      <c r="L380" s="21"/>
      <c r="M380" s="27"/>
      <c r="N380" s="19"/>
      <c r="O380" s="21"/>
      <c r="P380" s="7">
        <v>0.35</v>
      </c>
      <c r="Q380" s="7">
        <f>Table2[[#This Row],[Elevation
PILE TOP]]-Table2[[#This Row],[LENGTH(m.)
(Actual)]]</f>
        <v>0.35</v>
      </c>
      <c r="R380" s="2"/>
      <c r="S380" s="7">
        <f>Table2[[#This Row],[N]]+Table2[[#This Row],[Pile 
Deviation 
N (m)]]</f>
        <v>1511716.0819999999</v>
      </c>
      <c r="T380" s="7">
        <f>Table2[[#This Row],[E]]+Table2[[#This Row],[Pile 
Deviation 
E (m)]]</f>
        <v>693982.85800000001</v>
      </c>
      <c r="W380" s="7">
        <v>-0.15</v>
      </c>
      <c r="X380" s="2" t="s">
        <v>42</v>
      </c>
      <c r="AA380" s="9">
        <v>46214</v>
      </c>
    </row>
    <row r="381" spans="1:27" ht="13.95" hidden="1" customHeight="1" x14ac:dyDescent="0.65">
      <c r="A381">
        <v>379</v>
      </c>
      <c r="B381" t="s">
        <v>29</v>
      </c>
      <c r="C381" s="6">
        <v>1511717.7679999999</v>
      </c>
      <c r="D381" s="6">
        <v>693985.43900000001</v>
      </c>
      <c r="E381" s="2" t="s">
        <v>35</v>
      </c>
      <c r="F381" s="1">
        <v>24</v>
      </c>
      <c r="G381" s="2" t="s">
        <v>31</v>
      </c>
      <c r="J381"/>
      <c r="K381" s="19"/>
      <c r="L381" s="21"/>
      <c r="M381" s="27"/>
      <c r="N381" s="19"/>
      <c r="O381" s="21"/>
      <c r="P381" s="7">
        <v>0.28999999999999998</v>
      </c>
      <c r="Q381" s="7">
        <f>Table2[[#This Row],[Elevation
PILE TOP]]-Table2[[#This Row],[LENGTH(m.)
(Actual)]]</f>
        <v>0.28999999999999998</v>
      </c>
      <c r="R381" s="2"/>
      <c r="S381" s="7">
        <f>Table2[[#This Row],[N]]+Table2[[#This Row],[Pile 
Deviation 
N (m)]]</f>
        <v>1511717.7679999999</v>
      </c>
      <c r="T381" s="7">
        <f>Table2[[#This Row],[E]]+Table2[[#This Row],[Pile 
Deviation 
E (m)]]</f>
        <v>693985.43900000001</v>
      </c>
      <c r="W381" s="7">
        <v>0.28999999999999998</v>
      </c>
      <c r="X381" s="2" t="s">
        <v>40</v>
      </c>
      <c r="AA381" s="9">
        <v>46216</v>
      </c>
    </row>
    <row r="382" spans="1:27" hidden="1" x14ac:dyDescent="0.65">
      <c r="A382">
        <v>380</v>
      </c>
      <c r="B382" t="s">
        <v>29</v>
      </c>
      <c r="C382" s="6">
        <v>1511718.362</v>
      </c>
      <c r="D382" s="6">
        <v>693988.37899999996</v>
      </c>
      <c r="E382" s="2" t="s">
        <v>35</v>
      </c>
      <c r="F382" s="1">
        <v>24</v>
      </c>
      <c r="G382" s="2" t="s">
        <v>31</v>
      </c>
      <c r="J382"/>
      <c r="K382" s="19"/>
      <c r="L382" s="21"/>
      <c r="M382" s="27"/>
      <c r="N382" s="19"/>
      <c r="O382" s="21"/>
      <c r="P382" s="7">
        <v>0.28999999999999998</v>
      </c>
      <c r="Q382" s="7">
        <f>Table2[[#This Row],[Elevation
PILE TOP]]-Table2[[#This Row],[LENGTH(m.)
(Actual)]]</f>
        <v>0.28999999999999998</v>
      </c>
      <c r="R382" s="2"/>
      <c r="S382" s="7">
        <f>Table2[[#This Row],[N]]+Table2[[#This Row],[Pile 
Deviation 
N (m)]]</f>
        <v>1511718.362</v>
      </c>
      <c r="T382" s="7">
        <f>Table2[[#This Row],[E]]+Table2[[#This Row],[Pile 
Deviation 
E (m)]]</f>
        <v>693988.37899999996</v>
      </c>
      <c r="W382" s="7">
        <v>0.28999999999999998</v>
      </c>
      <c r="X382" s="2" t="s">
        <v>40</v>
      </c>
      <c r="AA382" s="9">
        <v>46216</v>
      </c>
    </row>
    <row r="383" spans="1:27" ht="13.95" hidden="1" customHeight="1" x14ac:dyDescent="0.65">
      <c r="A383">
        <v>381</v>
      </c>
      <c r="B383" t="s">
        <v>29</v>
      </c>
      <c r="C383" s="6">
        <v>1511718.956</v>
      </c>
      <c r="D383" s="6">
        <v>693991.32</v>
      </c>
      <c r="E383" s="2" t="s">
        <v>35</v>
      </c>
      <c r="F383" s="1">
        <v>24</v>
      </c>
      <c r="G383" s="2" t="s">
        <v>31</v>
      </c>
      <c r="J383"/>
      <c r="K383" s="19"/>
      <c r="L383" s="21"/>
      <c r="M383" s="27"/>
      <c r="N383" s="19"/>
      <c r="O383" s="21"/>
      <c r="P383" s="7">
        <v>0.28999999999999998</v>
      </c>
      <c r="Q383" s="7">
        <f>Table2[[#This Row],[Elevation
PILE TOP]]-Table2[[#This Row],[LENGTH(m.)
(Actual)]]</f>
        <v>0.28999999999999998</v>
      </c>
      <c r="R383" s="2"/>
      <c r="S383" s="7">
        <f>Table2[[#This Row],[N]]+Table2[[#This Row],[Pile 
Deviation 
N (m)]]</f>
        <v>1511718.956</v>
      </c>
      <c r="T383" s="7">
        <f>Table2[[#This Row],[E]]+Table2[[#This Row],[Pile 
Deviation 
E (m)]]</f>
        <v>693991.32</v>
      </c>
      <c r="W383" s="7">
        <v>0.28999999999999998</v>
      </c>
      <c r="X383" s="2" t="s">
        <v>40</v>
      </c>
      <c r="AA383" s="9">
        <v>46217</v>
      </c>
    </row>
    <row r="384" spans="1:27" hidden="1" x14ac:dyDescent="0.65">
      <c r="A384">
        <v>382</v>
      </c>
      <c r="B384" t="s">
        <v>29</v>
      </c>
      <c r="C384" s="6">
        <v>1511720.1340000001</v>
      </c>
      <c r="D384" s="6">
        <v>693991.32400000002</v>
      </c>
      <c r="E384" s="2" t="s">
        <v>41</v>
      </c>
      <c r="F384" s="1">
        <v>26</v>
      </c>
      <c r="G384" s="2" t="s">
        <v>31</v>
      </c>
      <c r="J384"/>
      <c r="K384" s="19"/>
      <c r="L384" s="21"/>
      <c r="M384" s="27"/>
      <c r="N384" s="19"/>
      <c r="O384" s="21"/>
      <c r="P384" s="7">
        <v>0.35</v>
      </c>
      <c r="Q384" s="7">
        <f>Table2[[#This Row],[Elevation
PILE TOP]]-Table2[[#This Row],[LENGTH(m.)
(Actual)]]</f>
        <v>0.35</v>
      </c>
      <c r="R384" s="2"/>
      <c r="S384" s="7">
        <f>Table2[[#This Row],[N]]+Table2[[#This Row],[Pile 
Deviation 
N (m)]]</f>
        <v>1511720.1340000001</v>
      </c>
      <c r="T384" s="7">
        <f>Table2[[#This Row],[E]]+Table2[[#This Row],[Pile 
Deviation 
E (m)]]</f>
        <v>693991.32400000002</v>
      </c>
      <c r="W384" s="7">
        <v>-0.15</v>
      </c>
      <c r="X384" s="2" t="s">
        <v>42</v>
      </c>
      <c r="AA384" s="9">
        <v>46217</v>
      </c>
    </row>
    <row r="385" spans="1:28" ht="13.95" hidden="1" customHeight="1" x14ac:dyDescent="0.65">
      <c r="A385">
        <v>383</v>
      </c>
      <c r="B385" t="s">
        <v>29</v>
      </c>
      <c r="C385" s="6">
        <v>1511722.047</v>
      </c>
      <c r="D385" s="6">
        <v>693992.59400000004</v>
      </c>
      <c r="E385" s="2" t="s">
        <v>41</v>
      </c>
      <c r="F385" s="1">
        <v>26</v>
      </c>
      <c r="G385" s="2" t="s">
        <v>31</v>
      </c>
      <c r="J385"/>
      <c r="K385" s="19"/>
      <c r="L385" s="21"/>
      <c r="M385" s="27"/>
      <c r="N385" s="19"/>
      <c r="O385" s="21"/>
      <c r="P385" s="7">
        <v>0.35</v>
      </c>
      <c r="Q385" s="7">
        <f>Table2[[#This Row],[Elevation
PILE TOP]]-Table2[[#This Row],[LENGTH(m.)
(Actual)]]</f>
        <v>0.35</v>
      </c>
      <c r="R385" s="2"/>
      <c r="S385" s="7">
        <f>Table2[[#This Row],[N]]+Table2[[#This Row],[Pile 
Deviation 
N (m)]]</f>
        <v>1511722.047</v>
      </c>
      <c r="T385" s="7">
        <f>Table2[[#This Row],[E]]+Table2[[#This Row],[Pile 
Deviation 
E (m)]]</f>
        <v>693992.59400000004</v>
      </c>
      <c r="W385" s="7">
        <v>-0.15</v>
      </c>
      <c r="X385" s="2" t="s">
        <v>42</v>
      </c>
      <c r="AA385" s="9">
        <v>46218</v>
      </c>
    </row>
    <row r="386" spans="1:28" hidden="1" x14ac:dyDescent="0.65">
      <c r="A386">
        <v>384</v>
      </c>
      <c r="B386" t="s">
        <v>29</v>
      </c>
      <c r="C386" s="6">
        <v>1511722.5009999999</v>
      </c>
      <c r="D386" s="6">
        <v>693994.84499999997</v>
      </c>
      <c r="E386" s="2" t="s">
        <v>41</v>
      </c>
      <c r="F386" s="1">
        <v>26</v>
      </c>
      <c r="G386" s="2" t="s">
        <v>31</v>
      </c>
      <c r="J386"/>
      <c r="K386" s="19"/>
      <c r="L386" s="21"/>
      <c r="M386" s="27"/>
      <c r="N386" s="19"/>
      <c r="O386" s="21"/>
      <c r="P386" s="7">
        <v>0.35</v>
      </c>
      <c r="Q386" s="7">
        <f>Table2[[#This Row],[Elevation
PILE TOP]]-Table2[[#This Row],[LENGTH(m.)
(Actual)]]</f>
        <v>0.35</v>
      </c>
      <c r="R386" s="2"/>
      <c r="S386" s="7">
        <f>Table2[[#This Row],[N]]+Table2[[#This Row],[Pile 
Deviation 
N (m)]]</f>
        <v>1511722.5009999999</v>
      </c>
      <c r="T386" s="7">
        <f>Table2[[#This Row],[E]]+Table2[[#This Row],[Pile 
Deviation 
E (m)]]</f>
        <v>693994.84499999997</v>
      </c>
      <c r="W386" s="7">
        <v>-0.15</v>
      </c>
      <c r="X386" s="2" t="s">
        <v>42</v>
      </c>
      <c r="AA386" s="9">
        <v>46218</v>
      </c>
    </row>
    <row r="387" spans="1:28" ht="13.95" hidden="1" customHeight="1" x14ac:dyDescent="0.65">
      <c r="A387">
        <v>385</v>
      </c>
      <c r="B387" t="s">
        <v>29</v>
      </c>
      <c r="C387" s="6">
        <v>1511721.2309999999</v>
      </c>
      <c r="D387" s="6">
        <v>693996.75800000003</v>
      </c>
      <c r="E387" s="2" t="s">
        <v>41</v>
      </c>
      <c r="F387" s="1">
        <v>26</v>
      </c>
      <c r="G387" s="2" t="s">
        <v>31</v>
      </c>
      <c r="J387"/>
      <c r="K387" s="19"/>
      <c r="L387" s="21"/>
      <c r="M387" s="27"/>
      <c r="N387" s="19"/>
      <c r="O387" s="21"/>
      <c r="P387" s="7">
        <v>0.35</v>
      </c>
      <c r="Q387" s="7">
        <f>Table2[[#This Row],[Elevation
PILE TOP]]-Table2[[#This Row],[LENGTH(m.)
(Actual)]]</f>
        <v>0.35</v>
      </c>
      <c r="R387" s="2"/>
      <c r="S387" s="7">
        <f>Table2[[#This Row],[N]]+Table2[[#This Row],[Pile 
Deviation 
N (m)]]</f>
        <v>1511721.2309999999</v>
      </c>
      <c r="T387" s="7">
        <f>Table2[[#This Row],[E]]+Table2[[#This Row],[Pile 
Deviation 
E (m)]]</f>
        <v>693996.75800000003</v>
      </c>
      <c r="W387" s="7">
        <v>-0.15</v>
      </c>
      <c r="X387" s="2" t="s">
        <v>42</v>
      </c>
      <c r="AA387" s="9">
        <v>46218</v>
      </c>
    </row>
    <row r="388" spans="1:28" hidden="1" x14ac:dyDescent="0.65">
      <c r="A388">
        <v>386</v>
      </c>
      <c r="B388" t="s">
        <v>29</v>
      </c>
      <c r="C388" s="6">
        <v>1511718.9809999999</v>
      </c>
      <c r="D388" s="6">
        <v>693997.21200000006</v>
      </c>
      <c r="E388" s="2" t="s">
        <v>41</v>
      </c>
      <c r="F388" s="1">
        <v>26</v>
      </c>
      <c r="G388" s="2" t="s">
        <v>31</v>
      </c>
      <c r="J388"/>
      <c r="K388" s="19"/>
      <c r="L388" s="21"/>
      <c r="M388" s="27"/>
      <c r="N388" s="19"/>
      <c r="O388" s="21"/>
      <c r="P388" s="7">
        <v>0.35</v>
      </c>
      <c r="Q388" s="7">
        <f>Table2[[#This Row],[Elevation
PILE TOP]]-Table2[[#This Row],[LENGTH(m.)
(Actual)]]</f>
        <v>0.35</v>
      </c>
      <c r="R388" s="2"/>
      <c r="S388" s="7">
        <f>Table2[[#This Row],[N]]+Table2[[#This Row],[Pile 
Deviation 
N (m)]]</f>
        <v>1511718.9809999999</v>
      </c>
      <c r="T388" s="7">
        <f>Table2[[#This Row],[E]]+Table2[[#This Row],[Pile 
Deviation 
E (m)]]</f>
        <v>693997.21200000006</v>
      </c>
      <c r="W388" s="7">
        <v>-0.15</v>
      </c>
      <c r="X388" s="2" t="s">
        <v>42</v>
      </c>
      <c r="AA388" s="9">
        <v>46218</v>
      </c>
    </row>
    <row r="389" spans="1:28" ht="13.95" hidden="1" customHeight="1" x14ac:dyDescent="0.65">
      <c r="A389">
        <v>387</v>
      </c>
      <c r="B389" t="s">
        <v>29</v>
      </c>
      <c r="C389" s="6">
        <v>1511717.068</v>
      </c>
      <c r="D389" s="6">
        <v>693995.94200000004</v>
      </c>
      <c r="E389" s="2" t="s">
        <v>41</v>
      </c>
      <c r="F389" s="1">
        <v>26</v>
      </c>
      <c r="G389" s="2" t="s">
        <v>31</v>
      </c>
      <c r="J389"/>
      <c r="K389" s="19"/>
      <c r="L389" s="21"/>
      <c r="M389" s="27"/>
      <c r="N389" s="19"/>
      <c r="O389" s="21"/>
      <c r="P389" s="7">
        <v>0.35</v>
      </c>
      <c r="Q389" s="7">
        <f>Table2[[#This Row],[Elevation
PILE TOP]]-Table2[[#This Row],[LENGTH(m.)
(Actual)]]</f>
        <v>0.35</v>
      </c>
      <c r="R389" s="2"/>
      <c r="S389" s="7">
        <f>Table2[[#This Row],[N]]+Table2[[#This Row],[Pile 
Deviation 
N (m)]]</f>
        <v>1511717.068</v>
      </c>
      <c r="T389" s="7">
        <f>Table2[[#This Row],[E]]+Table2[[#This Row],[Pile 
Deviation 
E (m)]]</f>
        <v>693995.94200000004</v>
      </c>
      <c r="W389" s="7">
        <v>-0.15</v>
      </c>
      <c r="X389" s="2" t="s">
        <v>42</v>
      </c>
      <c r="AA389" s="9">
        <v>46218</v>
      </c>
    </row>
    <row r="390" spans="1:28" hidden="1" x14ac:dyDescent="0.65">
      <c r="A390">
        <v>388</v>
      </c>
      <c r="B390" t="s">
        <v>29</v>
      </c>
      <c r="C390" s="6">
        <v>1511716.6129999999</v>
      </c>
      <c r="D390" s="6">
        <v>693993.69099999999</v>
      </c>
      <c r="E390" s="2" t="s">
        <v>41</v>
      </c>
      <c r="F390" s="1">
        <v>26</v>
      </c>
      <c r="G390" s="2" t="s">
        <v>31</v>
      </c>
      <c r="J390"/>
      <c r="K390" s="19"/>
      <c r="L390" s="21"/>
      <c r="M390" s="27"/>
      <c r="N390" s="19"/>
      <c r="O390" s="21"/>
      <c r="P390" s="7">
        <v>0.35</v>
      </c>
      <c r="Q390" s="7">
        <f>Table2[[#This Row],[Elevation
PILE TOP]]-Table2[[#This Row],[LENGTH(m.)
(Actual)]]</f>
        <v>0.35</v>
      </c>
      <c r="R390" s="2"/>
      <c r="S390" s="7">
        <f>Table2[[#This Row],[N]]+Table2[[#This Row],[Pile 
Deviation 
N (m)]]</f>
        <v>1511716.6129999999</v>
      </c>
      <c r="T390" s="7">
        <f>Table2[[#This Row],[E]]+Table2[[#This Row],[Pile 
Deviation 
E (m)]]</f>
        <v>693993.69099999999</v>
      </c>
      <c r="W390" s="7">
        <v>-0.15</v>
      </c>
      <c r="X390" s="2" t="s">
        <v>42</v>
      </c>
      <c r="AA390" s="9">
        <v>46218</v>
      </c>
    </row>
    <row r="391" spans="1:28" ht="13.95" hidden="1" customHeight="1" x14ac:dyDescent="0.65">
      <c r="A391">
        <v>389</v>
      </c>
      <c r="B391" t="s">
        <v>29</v>
      </c>
      <c r="C391" s="6">
        <v>1511717.8829999999</v>
      </c>
      <c r="D391" s="6">
        <v>693991.77899999998</v>
      </c>
      <c r="E391" s="2" t="s">
        <v>41</v>
      </c>
      <c r="F391" s="1">
        <v>26</v>
      </c>
      <c r="G391" s="2" t="s">
        <v>31</v>
      </c>
      <c r="J391"/>
      <c r="K391" s="19"/>
      <c r="L391" s="21"/>
      <c r="M391" s="27"/>
      <c r="N391" s="19"/>
      <c r="O391" s="21"/>
      <c r="P391" s="7">
        <v>0.35</v>
      </c>
      <c r="Q391" s="7">
        <f>Table2[[#This Row],[Elevation
PILE TOP]]-Table2[[#This Row],[LENGTH(m.)
(Actual)]]</f>
        <v>0.35</v>
      </c>
      <c r="R391" s="2"/>
      <c r="S391" s="7">
        <f>Table2[[#This Row],[N]]+Table2[[#This Row],[Pile 
Deviation 
N (m)]]</f>
        <v>1511717.8829999999</v>
      </c>
      <c r="T391" s="7">
        <f>Table2[[#This Row],[E]]+Table2[[#This Row],[Pile 
Deviation 
E (m)]]</f>
        <v>693991.77899999998</v>
      </c>
      <c r="W391" s="7">
        <v>-0.15</v>
      </c>
      <c r="X391" s="2" t="s">
        <v>42</v>
      </c>
      <c r="AA391" s="9">
        <v>46217</v>
      </c>
    </row>
    <row r="392" spans="1:28" hidden="1" x14ac:dyDescent="0.65">
      <c r="A392">
        <v>390</v>
      </c>
      <c r="B392" t="s">
        <v>29</v>
      </c>
      <c r="C392" s="6">
        <v>1511719.55</v>
      </c>
      <c r="D392" s="6">
        <v>693994.26</v>
      </c>
      <c r="E392" s="2" t="s">
        <v>35</v>
      </c>
      <c r="F392" s="1">
        <v>24</v>
      </c>
      <c r="G392" s="2" t="s">
        <v>31</v>
      </c>
      <c r="J392"/>
      <c r="K392" s="19"/>
      <c r="L392" s="21"/>
      <c r="M392" s="27"/>
      <c r="N392" s="19"/>
      <c r="O392" s="21"/>
      <c r="P392" s="7">
        <v>0.28999999999999998</v>
      </c>
      <c r="Q392" s="7">
        <f>Table2[[#This Row],[Elevation
PILE TOP]]-Table2[[#This Row],[LENGTH(m.)
(Actual)]]</f>
        <v>0.28999999999999998</v>
      </c>
      <c r="R392" s="2"/>
      <c r="S392" s="7">
        <f>Table2[[#This Row],[N]]+Table2[[#This Row],[Pile 
Deviation 
N (m)]]</f>
        <v>1511719.55</v>
      </c>
      <c r="T392" s="7">
        <f>Table2[[#This Row],[E]]+Table2[[#This Row],[Pile 
Deviation 
E (m)]]</f>
        <v>693994.26</v>
      </c>
      <c r="W392" s="7">
        <v>0.28999999999999998</v>
      </c>
      <c r="X392" s="2" t="s">
        <v>40</v>
      </c>
      <c r="AA392" s="9">
        <v>46218</v>
      </c>
    </row>
    <row r="393" spans="1:28" ht="13.95" customHeight="1" x14ac:dyDescent="0.65">
      <c r="A393">
        <v>391</v>
      </c>
      <c r="B393" t="s">
        <v>29</v>
      </c>
      <c r="C393" s="6">
        <v>1511720.223</v>
      </c>
      <c r="D393" s="6">
        <v>693997.59299999999</v>
      </c>
      <c r="E393" s="2" t="s">
        <v>35</v>
      </c>
      <c r="F393" s="1">
        <v>24</v>
      </c>
      <c r="G393" s="2" t="s">
        <v>31</v>
      </c>
      <c r="J393"/>
      <c r="K393" s="19"/>
      <c r="L393" s="21"/>
      <c r="M393" s="27"/>
      <c r="N393" s="19"/>
      <c r="O393" s="21"/>
      <c r="P393" s="7">
        <v>0.28999999999999998</v>
      </c>
      <c r="Q393" s="7">
        <f>Table2[[#This Row],[Elevation
PILE TOP]]-Table2[[#This Row],[LENGTH(m.)
(Actual)]]</f>
        <v>0.28999999999999998</v>
      </c>
      <c r="R393" s="2"/>
      <c r="S393" s="7">
        <f>Table2[[#This Row],[N]]+Table2[[#This Row],[Pile 
Deviation 
N (m)]]</f>
        <v>1511720.223</v>
      </c>
      <c r="T393" s="7">
        <f>Table2[[#This Row],[E]]+Table2[[#This Row],[Pile 
Deviation 
E (m)]]</f>
        <v>693997.59299999999</v>
      </c>
      <c r="W393" s="7">
        <v>0.28999999999999998</v>
      </c>
      <c r="X393" s="2" t="s">
        <v>40</v>
      </c>
      <c r="AA393" s="9">
        <v>46195</v>
      </c>
    </row>
    <row r="394" spans="1:28" x14ac:dyDescent="0.65">
      <c r="A394">
        <v>392</v>
      </c>
      <c r="B394" t="s">
        <v>29</v>
      </c>
      <c r="C394" s="6">
        <v>1511721.48</v>
      </c>
      <c r="D394" s="6">
        <v>693997.98800000001</v>
      </c>
      <c r="E394" s="2" t="s">
        <v>41</v>
      </c>
      <c r="F394" s="1">
        <v>26</v>
      </c>
      <c r="G394" s="2" t="s">
        <v>31</v>
      </c>
      <c r="J394">
        <v>4</v>
      </c>
      <c r="K394" s="19"/>
      <c r="L394" s="21">
        <v>0.40069444444444446</v>
      </c>
      <c r="M394" s="27" t="s">
        <v>32</v>
      </c>
      <c r="N394" s="19"/>
      <c r="O394" s="21">
        <v>0.47500000000000003</v>
      </c>
      <c r="P394" s="7">
        <v>0.35</v>
      </c>
      <c r="Q394" s="7">
        <f>Table2[[#This Row],[Elevation
PILE TOP]]-Table2[[#This Row],[LENGTH(m.)
(Actual)]]</f>
        <v>-25.65</v>
      </c>
      <c r="R394" s="2">
        <v>26</v>
      </c>
      <c r="S394" s="7">
        <f>Table2[[#This Row],[N]]+Table2[[#This Row],[Pile 
Deviation 
N (m)]]</f>
        <v>1511721.48</v>
      </c>
      <c r="T394" s="7">
        <f>Table2[[#This Row],[E]]+Table2[[#This Row],[Pile 
Deviation 
E (m)]]</f>
        <v>693997.98800000001</v>
      </c>
      <c r="W394" s="7">
        <v>-0.15</v>
      </c>
      <c r="X394" s="2" t="s">
        <v>42</v>
      </c>
      <c r="Y394" t="s">
        <v>46</v>
      </c>
      <c r="Z394" s="9">
        <v>46195</v>
      </c>
      <c r="AA394" s="9">
        <v>46196</v>
      </c>
      <c r="AB394">
        <v>1</v>
      </c>
    </row>
    <row r="395" spans="1:28" ht="13.95" customHeight="1" x14ac:dyDescent="0.65">
      <c r="A395">
        <v>393</v>
      </c>
      <c r="B395" t="s">
        <v>29</v>
      </c>
      <c r="C395" s="6">
        <v>1511723.3929999999</v>
      </c>
      <c r="D395" s="6">
        <v>693999.25800000003</v>
      </c>
      <c r="E395" s="2" t="s">
        <v>41</v>
      </c>
      <c r="F395" s="1">
        <v>26</v>
      </c>
      <c r="G395" s="2" t="s">
        <v>31</v>
      </c>
      <c r="J395"/>
      <c r="K395" s="19"/>
      <c r="L395" s="21"/>
      <c r="M395" s="27"/>
      <c r="N395" s="19"/>
      <c r="O395" s="21"/>
      <c r="P395" s="7">
        <v>0.35</v>
      </c>
      <c r="Q395" s="7">
        <f>Table2[[#This Row],[Elevation
PILE TOP]]-Table2[[#This Row],[LENGTH(m.)
(Actual)]]</f>
        <v>0.35</v>
      </c>
      <c r="R395" s="2"/>
      <c r="S395" s="7">
        <f>Table2[[#This Row],[N]]+Table2[[#This Row],[Pile 
Deviation 
N (m)]]</f>
        <v>1511723.3929999999</v>
      </c>
      <c r="T395" s="7">
        <f>Table2[[#This Row],[E]]+Table2[[#This Row],[Pile 
Deviation 
E (m)]]</f>
        <v>693999.25800000003</v>
      </c>
      <c r="W395" s="7">
        <v>-0.15</v>
      </c>
      <c r="X395" s="2" t="s">
        <v>42</v>
      </c>
      <c r="AA395" s="9">
        <v>46196</v>
      </c>
    </row>
    <row r="396" spans="1:28" x14ac:dyDescent="0.65">
      <c r="A396">
        <v>394</v>
      </c>
      <c r="B396" t="s">
        <v>29</v>
      </c>
      <c r="C396" s="6">
        <v>1511723.8470000001</v>
      </c>
      <c r="D396" s="6">
        <v>694001.50899999996</v>
      </c>
      <c r="E396" s="2" t="s">
        <v>41</v>
      </c>
      <c r="F396" s="1">
        <v>26</v>
      </c>
      <c r="G396" s="2" t="s">
        <v>31</v>
      </c>
      <c r="J396"/>
      <c r="K396" s="19"/>
      <c r="L396" s="21"/>
      <c r="M396" s="27"/>
      <c r="N396" s="19"/>
      <c r="O396" s="21"/>
      <c r="P396" s="7">
        <v>0.35</v>
      </c>
      <c r="Q396" s="7">
        <f>Table2[[#This Row],[Elevation
PILE TOP]]-Table2[[#This Row],[LENGTH(m.)
(Actual)]]</f>
        <v>0.35</v>
      </c>
      <c r="R396" s="2"/>
      <c r="S396" s="7">
        <f>Table2[[#This Row],[N]]+Table2[[#This Row],[Pile 
Deviation 
N (m)]]</f>
        <v>1511723.8470000001</v>
      </c>
      <c r="T396" s="7">
        <f>Table2[[#This Row],[E]]+Table2[[#This Row],[Pile 
Deviation 
E (m)]]</f>
        <v>694001.50899999996</v>
      </c>
      <c r="W396" s="7">
        <v>-0.15</v>
      </c>
      <c r="X396" s="2" t="s">
        <v>42</v>
      </c>
      <c r="AA396" s="9">
        <v>46196</v>
      </c>
    </row>
    <row r="397" spans="1:28" ht="13.95" customHeight="1" x14ac:dyDescent="0.65">
      <c r="A397">
        <v>395</v>
      </c>
      <c r="B397" t="s">
        <v>29</v>
      </c>
      <c r="C397" s="6">
        <v>1511722.577</v>
      </c>
      <c r="D397" s="6">
        <v>694003.42200000002</v>
      </c>
      <c r="E397" s="2" t="s">
        <v>41</v>
      </c>
      <c r="F397" s="1">
        <v>26</v>
      </c>
      <c r="G397" s="2" t="s">
        <v>31</v>
      </c>
      <c r="J397"/>
      <c r="K397" s="19"/>
      <c r="L397" s="21"/>
      <c r="M397" s="27"/>
      <c r="N397" s="19"/>
      <c r="O397" s="21"/>
      <c r="P397" s="7">
        <v>0.35</v>
      </c>
      <c r="Q397" s="7">
        <f>Table2[[#This Row],[Elevation
PILE TOP]]-Table2[[#This Row],[LENGTH(m.)
(Actual)]]</f>
        <v>0.35</v>
      </c>
      <c r="R397" s="2"/>
      <c r="S397" s="7">
        <f>Table2[[#This Row],[N]]+Table2[[#This Row],[Pile 
Deviation 
N (m)]]</f>
        <v>1511722.577</v>
      </c>
      <c r="T397" s="7">
        <f>Table2[[#This Row],[E]]+Table2[[#This Row],[Pile 
Deviation 
E (m)]]</f>
        <v>694003.42200000002</v>
      </c>
      <c r="W397" s="7">
        <v>-0.15</v>
      </c>
      <c r="X397" s="2" t="s">
        <v>42</v>
      </c>
      <c r="AA397" s="9">
        <v>46196</v>
      </c>
    </row>
    <row r="398" spans="1:28" x14ac:dyDescent="0.65">
      <c r="A398">
        <v>396</v>
      </c>
      <c r="B398" t="s">
        <v>29</v>
      </c>
      <c r="C398" s="6">
        <v>1511720.3259999999</v>
      </c>
      <c r="D398" s="6">
        <v>694003.87699999998</v>
      </c>
      <c r="E398" s="2" t="s">
        <v>41</v>
      </c>
      <c r="F398" s="1">
        <v>26</v>
      </c>
      <c r="G398" s="2" t="s">
        <v>31</v>
      </c>
      <c r="J398">
        <v>4</v>
      </c>
      <c r="K398" s="19"/>
      <c r="L398" s="21">
        <v>0.47916666666666669</v>
      </c>
      <c r="M398" s="27" t="s">
        <v>32</v>
      </c>
      <c r="N398" s="19"/>
      <c r="O398" s="21">
        <v>0.57777777777777783</v>
      </c>
      <c r="P398" s="7">
        <v>0.35</v>
      </c>
      <c r="Q398" s="7">
        <f>Table2[[#This Row],[Elevation
PILE TOP]]-Table2[[#This Row],[LENGTH(m.)
(Actual)]]</f>
        <v>-25.65</v>
      </c>
      <c r="R398" s="2">
        <v>26</v>
      </c>
      <c r="S398" s="7">
        <f>Table2[[#This Row],[N]]+Table2[[#This Row],[Pile 
Deviation 
N (m)]]</f>
        <v>1511720.3259999999</v>
      </c>
      <c r="T398" s="7">
        <f>Table2[[#This Row],[E]]+Table2[[#This Row],[Pile 
Deviation 
E (m)]]</f>
        <v>694003.87699999998</v>
      </c>
      <c r="W398" s="7">
        <v>-0.15</v>
      </c>
      <c r="X398" s="2" t="s">
        <v>42</v>
      </c>
      <c r="Y398" t="s">
        <v>46</v>
      </c>
      <c r="Z398" s="9">
        <v>46195</v>
      </c>
      <c r="AA398" s="9">
        <v>46195</v>
      </c>
      <c r="AB398">
        <v>2</v>
      </c>
    </row>
    <row r="399" spans="1:28" ht="13.95" customHeight="1" x14ac:dyDescent="0.65">
      <c r="A399">
        <v>397</v>
      </c>
      <c r="B399" t="s">
        <v>29</v>
      </c>
      <c r="C399" s="6">
        <v>1511718.4140000001</v>
      </c>
      <c r="D399" s="6">
        <v>694002.60600000003</v>
      </c>
      <c r="E399" s="2" t="s">
        <v>41</v>
      </c>
      <c r="F399" s="1">
        <v>26</v>
      </c>
      <c r="G399" s="2" t="s">
        <v>31</v>
      </c>
      <c r="J399"/>
      <c r="K399" s="19"/>
      <c r="L399" s="21"/>
      <c r="M399" s="27"/>
      <c r="N399" s="19"/>
      <c r="O399" s="21"/>
      <c r="P399" s="7">
        <v>0.35</v>
      </c>
      <c r="Q399" s="7">
        <f>Table2[[#This Row],[Elevation
PILE TOP]]-Table2[[#This Row],[LENGTH(m.)
(Actual)]]</f>
        <v>0.35</v>
      </c>
      <c r="R399" s="2"/>
      <c r="S399" s="7">
        <f>Table2[[#This Row],[N]]+Table2[[#This Row],[Pile 
Deviation 
N (m)]]</f>
        <v>1511718.4140000001</v>
      </c>
      <c r="T399" s="7">
        <f>Table2[[#This Row],[E]]+Table2[[#This Row],[Pile 
Deviation 
E (m)]]</f>
        <v>694002.60600000003</v>
      </c>
      <c r="W399" s="7">
        <v>-0.15</v>
      </c>
      <c r="X399" s="2" t="s">
        <v>42</v>
      </c>
      <c r="AA399" s="9">
        <v>46195</v>
      </c>
    </row>
    <row r="400" spans="1:28" x14ac:dyDescent="0.65">
      <c r="A400">
        <v>398</v>
      </c>
      <c r="B400" t="s">
        <v>29</v>
      </c>
      <c r="C400" s="6">
        <v>1511717.959</v>
      </c>
      <c r="D400" s="6">
        <v>694000.35600000003</v>
      </c>
      <c r="E400" s="2" t="s">
        <v>41</v>
      </c>
      <c r="F400" s="1">
        <v>26</v>
      </c>
      <c r="G400" s="2" t="s">
        <v>31</v>
      </c>
      <c r="J400"/>
      <c r="K400" s="19"/>
      <c r="L400" s="21"/>
      <c r="M400" s="27"/>
      <c r="N400" s="19"/>
      <c r="O400" s="21"/>
      <c r="P400" s="7">
        <v>0.35</v>
      </c>
      <c r="Q400" s="7">
        <f>Table2[[#This Row],[Elevation
PILE TOP]]-Table2[[#This Row],[LENGTH(m.)
(Actual)]]</f>
        <v>0.35</v>
      </c>
      <c r="R400" s="2"/>
      <c r="S400" s="7">
        <f>Table2[[#This Row],[N]]+Table2[[#This Row],[Pile 
Deviation 
N (m)]]</f>
        <v>1511717.959</v>
      </c>
      <c r="T400" s="7">
        <f>Table2[[#This Row],[E]]+Table2[[#This Row],[Pile 
Deviation 
E (m)]]</f>
        <v>694000.35600000003</v>
      </c>
      <c r="W400" s="7">
        <v>-0.15</v>
      </c>
      <c r="X400" s="2" t="s">
        <v>42</v>
      </c>
      <c r="AA400" s="9">
        <v>46195</v>
      </c>
    </row>
    <row r="401" spans="1:27" ht="13.95" customHeight="1" x14ac:dyDescent="0.65">
      <c r="A401">
        <v>399</v>
      </c>
      <c r="B401" t="s">
        <v>29</v>
      </c>
      <c r="C401" s="6">
        <v>1511719.2290000001</v>
      </c>
      <c r="D401" s="6">
        <v>693998.44299999997</v>
      </c>
      <c r="E401" s="2" t="s">
        <v>41</v>
      </c>
      <c r="F401" s="1">
        <v>26</v>
      </c>
      <c r="G401" s="2" t="s">
        <v>31</v>
      </c>
      <c r="J401"/>
      <c r="K401" s="19"/>
      <c r="L401" s="21"/>
      <c r="M401" s="27"/>
      <c r="N401" s="19"/>
      <c r="O401" s="21"/>
      <c r="P401" s="7">
        <v>0.35</v>
      </c>
      <c r="Q401" s="7">
        <f>Table2[[#This Row],[Elevation
PILE TOP]]-Table2[[#This Row],[LENGTH(m.)
(Actual)]]</f>
        <v>0.35</v>
      </c>
      <c r="R401" s="2"/>
      <c r="S401" s="7">
        <f>Table2[[#This Row],[N]]+Table2[[#This Row],[Pile 
Deviation 
N (m)]]</f>
        <v>1511719.2290000001</v>
      </c>
      <c r="T401" s="7">
        <f>Table2[[#This Row],[E]]+Table2[[#This Row],[Pile 
Deviation 
E (m)]]</f>
        <v>693998.44299999997</v>
      </c>
      <c r="W401" s="7">
        <v>-0.15</v>
      </c>
      <c r="X401" s="2" t="s">
        <v>42</v>
      </c>
      <c r="AA401" s="9">
        <v>46195</v>
      </c>
    </row>
    <row r="402" spans="1:27" x14ac:dyDescent="0.65">
      <c r="A402">
        <v>400</v>
      </c>
      <c r="B402" t="s">
        <v>29</v>
      </c>
      <c r="C402" s="6">
        <v>1511720.8959999999</v>
      </c>
      <c r="D402" s="6">
        <v>694000.92599999998</v>
      </c>
      <c r="E402" s="2" t="s">
        <v>35</v>
      </c>
      <c r="F402" s="1">
        <v>24</v>
      </c>
      <c r="G402" s="2" t="s">
        <v>31</v>
      </c>
      <c r="J402"/>
      <c r="K402" s="19"/>
      <c r="L402" s="21"/>
      <c r="M402" s="27"/>
      <c r="N402" s="19"/>
      <c r="O402" s="21"/>
      <c r="P402" s="7">
        <v>0.28999999999999998</v>
      </c>
      <c r="Q402" s="7">
        <f>Table2[[#This Row],[Elevation
PILE TOP]]-Table2[[#This Row],[LENGTH(m.)
(Actual)]]</f>
        <v>0.28999999999999998</v>
      </c>
      <c r="R402" s="2"/>
      <c r="S402" s="7">
        <f>Table2[[#This Row],[N]]+Table2[[#This Row],[Pile 
Deviation 
N (m)]]</f>
        <v>1511720.8959999999</v>
      </c>
      <c r="T402" s="7">
        <f>Table2[[#This Row],[E]]+Table2[[#This Row],[Pile 
Deviation 
E (m)]]</f>
        <v>694000.92599999998</v>
      </c>
      <c r="W402" s="7">
        <v>0.28999999999999998</v>
      </c>
      <c r="X402" s="2" t="s">
        <v>40</v>
      </c>
      <c r="AA402" s="9">
        <v>46195</v>
      </c>
    </row>
    <row r="403" spans="1:27" ht="13.95" hidden="1" customHeight="1" x14ac:dyDescent="0.65">
      <c r="A403">
        <v>401</v>
      </c>
      <c r="B403" t="s">
        <v>29</v>
      </c>
      <c r="C403" s="6">
        <v>1511721.628</v>
      </c>
      <c r="D403" s="6">
        <v>694004.55299999996</v>
      </c>
      <c r="E403" s="2" t="s">
        <v>35</v>
      </c>
      <c r="F403" s="1">
        <v>24</v>
      </c>
      <c r="G403" s="2" t="s">
        <v>31</v>
      </c>
      <c r="J403"/>
      <c r="K403" s="19"/>
      <c r="L403" s="21"/>
      <c r="M403" s="27"/>
      <c r="N403" s="19"/>
      <c r="O403" s="21"/>
      <c r="P403" s="7">
        <v>0.28999999999999998</v>
      </c>
      <c r="Q403" s="7">
        <f>Table2[[#This Row],[Elevation
PILE TOP]]-Table2[[#This Row],[LENGTH(m.)
(Actual)]]</f>
        <v>0.28999999999999998</v>
      </c>
      <c r="R403" s="2"/>
      <c r="S403" s="7">
        <f>Table2[[#This Row],[N]]+Table2[[#This Row],[Pile 
Deviation 
N (m)]]</f>
        <v>1511721.628</v>
      </c>
      <c r="T403" s="7">
        <f>Table2[[#This Row],[E]]+Table2[[#This Row],[Pile 
Deviation 
E (m)]]</f>
        <v>694004.55299999996</v>
      </c>
      <c r="W403" s="7">
        <v>0.28999999999999998</v>
      </c>
      <c r="X403" s="2" t="s">
        <v>40</v>
      </c>
      <c r="AA403" s="9">
        <v>46210</v>
      </c>
    </row>
    <row r="404" spans="1:27" hidden="1" x14ac:dyDescent="0.65">
      <c r="A404">
        <v>402</v>
      </c>
      <c r="B404" t="s">
        <v>29</v>
      </c>
      <c r="C404" s="6">
        <v>1511723.747</v>
      </c>
      <c r="D404" s="6">
        <v>694004.94099999999</v>
      </c>
      <c r="E404" s="2" t="s">
        <v>30</v>
      </c>
      <c r="F404" s="1">
        <v>24</v>
      </c>
      <c r="G404" s="2" t="s">
        <v>31</v>
      </c>
      <c r="J404"/>
      <c r="K404" s="19"/>
      <c r="L404" s="21"/>
      <c r="M404" s="27"/>
      <c r="N404" s="19"/>
      <c r="O404" s="21"/>
      <c r="P404" s="7">
        <v>-0.17499999999999999</v>
      </c>
      <c r="Q404" s="7">
        <f>Table2[[#This Row],[Elevation
PILE TOP]]-Table2[[#This Row],[LENGTH(m.)
(Actual)]]</f>
        <v>-0.17499999999999999</v>
      </c>
      <c r="R404" s="2"/>
      <c r="S404" s="7">
        <f>Table2[[#This Row],[N]]+Table2[[#This Row],[Pile 
Deviation 
N (m)]]</f>
        <v>1511723.747</v>
      </c>
      <c r="T404" s="7">
        <f>Table2[[#This Row],[E]]+Table2[[#This Row],[Pile 
Deviation 
E (m)]]</f>
        <v>694004.94099999999</v>
      </c>
      <c r="W404" s="7">
        <v>-0.67500000000000004</v>
      </c>
      <c r="X404" s="2" t="s">
        <v>33</v>
      </c>
      <c r="AA404" s="9">
        <v>46211</v>
      </c>
    </row>
    <row r="405" spans="1:27" ht="13.95" hidden="1" customHeight="1" x14ac:dyDescent="0.65">
      <c r="A405">
        <v>403</v>
      </c>
      <c r="B405" t="s">
        <v>29</v>
      </c>
      <c r="C405" s="6">
        <v>1511723.925</v>
      </c>
      <c r="D405" s="6">
        <v>694005.82299999997</v>
      </c>
      <c r="E405" s="2" t="s">
        <v>30</v>
      </c>
      <c r="F405" s="1">
        <v>24</v>
      </c>
      <c r="G405" s="2" t="s">
        <v>31</v>
      </c>
      <c r="J405"/>
      <c r="K405" s="19"/>
      <c r="L405" s="21"/>
      <c r="M405" s="27"/>
      <c r="N405" s="19"/>
      <c r="O405" s="21"/>
      <c r="P405" s="7">
        <v>-0.17499999999999999</v>
      </c>
      <c r="Q405" s="7">
        <f>Table2[[#This Row],[Elevation
PILE TOP]]-Table2[[#This Row],[LENGTH(m.)
(Actual)]]</f>
        <v>-0.17499999999999999</v>
      </c>
      <c r="R405" s="2"/>
      <c r="S405" s="7">
        <f>Table2[[#This Row],[N]]+Table2[[#This Row],[Pile 
Deviation 
N (m)]]</f>
        <v>1511723.925</v>
      </c>
      <c r="T405" s="7">
        <f>Table2[[#This Row],[E]]+Table2[[#This Row],[Pile 
Deviation 
E (m)]]</f>
        <v>694005.82299999997</v>
      </c>
      <c r="W405" s="7">
        <v>-0.67500000000000004</v>
      </c>
      <c r="X405" s="2" t="s">
        <v>33</v>
      </c>
      <c r="AA405" s="9">
        <v>46211</v>
      </c>
    </row>
    <row r="406" spans="1:27" hidden="1" x14ac:dyDescent="0.65">
      <c r="A406">
        <v>404</v>
      </c>
      <c r="B406" t="s">
        <v>29</v>
      </c>
      <c r="C406" s="6">
        <v>1511722.963</v>
      </c>
      <c r="D406" s="6">
        <v>694005.09900000005</v>
      </c>
      <c r="E406" s="2" t="s">
        <v>30</v>
      </c>
      <c r="F406" s="1">
        <v>24</v>
      </c>
      <c r="G406" s="2" t="s">
        <v>31</v>
      </c>
      <c r="J406"/>
      <c r="K406" s="19"/>
      <c r="L406" s="21"/>
      <c r="M406" s="27"/>
      <c r="N406" s="19"/>
      <c r="O406" s="21"/>
      <c r="P406" s="7">
        <v>-0.17499999999999999</v>
      </c>
      <c r="Q406" s="7">
        <f>Table2[[#This Row],[Elevation
PILE TOP]]-Table2[[#This Row],[LENGTH(m.)
(Actual)]]</f>
        <v>-0.17499999999999999</v>
      </c>
      <c r="R406" s="2"/>
      <c r="S406" s="7">
        <f>Table2[[#This Row],[N]]+Table2[[#This Row],[Pile 
Deviation 
N (m)]]</f>
        <v>1511722.963</v>
      </c>
      <c r="T406" s="7">
        <f>Table2[[#This Row],[E]]+Table2[[#This Row],[Pile 
Deviation 
E (m)]]</f>
        <v>694005.09900000005</v>
      </c>
      <c r="W406" s="7">
        <v>-0.67500000000000004</v>
      </c>
      <c r="X406" s="2" t="s">
        <v>33</v>
      </c>
      <c r="AA406" s="9">
        <v>46211</v>
      </c>
    </row>
    <row r="407" spans="1:27" ht="13.95" hidden="1" customHeight="1" x14ac:dyDescent="0.65">
      <c r="A407">
        <v>405</v>
      </c>
      <c r="B407" t="s">
        <v>29</v>
      </c>
      <c r="C407" s="6">
        <v>1511723.1410000001</v>
      </c>
      <c r="D407" s="6">
        <v>694005.98100000003</v>
      </c>
      <c r="E407" s="2" t="s">
        <v>30</v>
      </c>
      <c r="F407" s="1">
        <v>24</v>
      </c>
      <c r="G407" s="2" t="s">
        <v>31</v>
      </c>
      <c r="J407"/>
      <c r="K407" s="19"/>
      <c r="L407" s="21"/>
      <c r="M407" s="27"/>
      <c r="N407" s="19"/>
      <c r="O407" s="21"/>
      <c r="P407" s="7">
        <v>-0.17499999999999999</v>
      </c>
      <c r="Q407" s="7">
        <f>Table2[[#This Row],[Elevation
PILE TOP]]-Table2[[#This Row],[LENGTH(m.)
(Actual)]]</f>
        <v>-0.17499999999999999</v>
      </c>
      <c r="R407" s="2"/>
      <c r="S407" s="7">
        <f>Table2[[#This Row],[N]]+Table2[[#This Row],[Pile 
Deviation 
N (m)]]</f>
        <v>1511723.1410000001</v>
      </c>
      <c r="T407" s="7">
        <f>Table2[[#This Row],[E]]+Table2[[#This Row],[Pile 
Deviation 
E (m)]]</f>
        <v>694005.98100000003</v>
      </c>
      <c r="W407" s="7">
        <v>-0.67500000000000004</v>
      </c>
      <c r="X407" s="2" t="s">
        <v>33</v>
      </c>
      <c r="AA407" s="9">
        <v>46211</v>
      </c>
    </row>
    <row r="408" spans="1:27" hidden="1" x14ac:dyDescent="0.65">
      <c r="A408">
        <v>406</v>
      </c>
      <c r="B408" t="s">
        <v>29</v>
      </c>
      <c r="C408" s="6">
        <v>1511711.0109999999</v>
      </c>
      <c r="D408" s="6">
        <v>693969.15399999998</v>
      </c>
      <c r="E408" s="2" t="s">
        <v>35</v>
      </c>
      <c r="F408" s="1">
        <v>24</v>
      </c>
      <c r="G408" s="2" t="s">
        <v>31</v>
      </c>
      <c r="J408"/>
      <c r="K408" s="19"/>
      <c r="L408" s="21"/>
      <c r="M408" s="27"/>
      <c r="N408" s="19"/>
      <c r="O408" s="21"/>
      <c r="P408" s="7">
        <v>0.28999999999999998</v>
      </c>
      <c r="Q408" s="7">
        <f>Table2[[#This Row],[Elevation
PILE TOP]]-Table2[[#This Row],[LENGTH(m.)
(Actual)]]</f>
        <v>0.28999999999999998</v>
      </c>
      <c r="R408" s="2"/>
      <c r="S408" s="7">
        <f>Table2[[#This Row],[N]]+Table2[[#This Row],[Pile 
Deviation 
N (m)]]</f>
        <v>1511711.0109999999</v>
      </c>
      <c r="T408" s="7">
        <f>Table2[[#This Row],[E]]+Table2[[#This Row],[Pile 
Deviation 
E (m)]]</f>
        <v>693969.15399999998</v>
      </c>
      <c r="W408" s="7">
        <v>0.28999999999999998</v>
      </c>
      <c r="X408" s="2" t="s">
        <v>40</v>
      </c>
      <c r="AA408" s="9">
        <v>46228</v>
      </c>
    </row>
    <row r="409" spans="1:27" ht="13.95" hidden="1" customHeight="1" x14ac:dyDescent="0.65">
      <c r="A409">
        <v>407</v>
      </c>
      <c r="B409" t="s">
        <v>29</v>
      </c>
      <c r="C409" s="6">
        <v>1511711.743</v>
      </c>
      <c r="D409" s="6">
        <v>693972.78099999996</v>
      </c>
      <c r="E409" s="2" t="s">
        <v>35</v>
      </c>
      <c r="F409" s="1">
        <v>24</v>
      </c>
      <c r="G409" s="2" t="s">
        <v>31</v>
      </c>
      <c r="J409"/>
      <c r="K409" s="19"/>
      <c r="L409" s="21"/>
      <c r="M409" s="27"/>
      <c r="N409" s="19"/>
      <c r="O409" s="21"/>
      <c r="P409" s="7">
        <v>0.28999999999999998</v>
      </c>
      <c r="Q409" s="7">
        <f>Table2[[#This Row],[Elevation
PILE TOP]]-Table2[[#This Row],[LENGTH(m.)
(Actual)]]</f>
        <v>0.28999999999999998</v>
      </c>
      <c r="R409" s="2"/>
      <c r="S409" s="7">
        <f>Table2[[#This Row],[N]]+Table2[[#This Row],[Pile 
Deviation 
N (m)]]</f>
        <v>1511711.743</v>
      </c>
      <c r="T409" s="7">
        <f>Table2[[#This Row],[E]]+Table2[[#This Row],[Pile 
Deviation 
E (m)]]</f>
        <v>693972.78099999996</v>
      </c>
      <c r="W409" s="7">
        <v>0.28999999999999998</v>
      </c>
      <c r="X409" s="2" t="s">
        <v>40</v>
      </c>
      <c r="AA409" s="9">
        <v>46211</v>
      </c>
    </row>
    <row r="410" spans="1:27" hidden="1" x14ac:dyDescent="0.65">
      <c r="A410">
        <v>408</v>
      </c>
      <c r="B410" t="s">
        <v>29</v>
      </c>
      <c r="C410" s="6">
        <v>1511712.416</v>
      </c>
      <c r="D410" s="6">
        <v>693976.11300000001</v>
      </c>
      <c r="E410" s="2" t="s">
        <v>35</v>
      </c>
      <c r="F410" s="1">
        <v>24</v>
      </c>
      <c r="G410" s="2" t="s">
        <v>31</v>
      </c>
      <c r="J410"/>
      <c r="K410" s="19"/>
      <c r="L410" s="21"/>
      <c r="M410" s="27"/>
      <c r="N410" s="19"/>
      <c r="O410" s="21"/>
      <c r="P410" s="7">
        <v>0.28999999999999998</v>
      </c>
      <c r="Q410" s="7">
        <f>Table2[[#This Row],[Elevation
PILE TOP]]-Table2[[#This Row],[LENGTH(m.)
(Actual)]]</f>
        <v>0.28999999999999998</v>
      </c>
      <c r="R410" s="2"/>
      <c r="S410" s="7">
        <f>Table2[[#This Row],[N]]+Table2[[#This Row],[Pile 
Deviation 
N (m)]]</f>
        <v>1511712.416</v>
      </c>
      <c r="T410" s="7">
        <f>Table2[[#This Row],[E]]+Table2[[#This Row],[Pile 
Deviation 
E (m)]]</f>
        <v>693976.11300000001</v>
      </c>
      <c r="W410" s="7">
        <v>0.28999999999999998</v>
      </c>
      <c r="X410" s="2" t="s">
        <v>40</v>
      </c>
      <c r="AA410" s="9">
        <v>46212</v>
      </c>
    </row>
    <row r="411" spans="1:27" ht="13.95" hidden="1" customHeight="1" x14ac:dyDescent="0.65">
      <c r="A411">
        <v>409</v>
      </c>
      <c r="B411" t="s">
        <v>29</v>
      </c>
      <c r="C411" s="6">
        <v>1511713.0889999999</v>
      </c>
      <c r="D411" s="6">
        <v>693979.446</v>
      </c>
      <c r="E411" s="2" t="s">
        <v>35</v>
      </c>
      <c r="F411" s="1">
        <v>24</v>
      </c>
      <c r="G411" s="2" t="s">
        <v>31</v>
      </c>
      <c r="J411"/>
      <c r="K411" s="19"/>
      <c r="L411" s="21"/>
      <c r="M411" s="27"/>
      <c r="N411" s="19"/>
      <c r="O411" s="21"/>
      <c r="P411" s="7">
        <v>0.28999999999999998</v>
      </c>
      <c r="Q411" s="7">
        <f>Table2[[#This Row],[Elevation
PILE TOP]]-Table2[[#This Row],[LENGTH(m.)
(Actual)]]</f>
        <v>0.28999999999999998</v>
      </c>
      <c r="R411" s="2"/>
      <c r="S411" s="7">
        <f>Table2[[#This Row],[N]]+Table2[[#This Row],[Pile 
Deviation 
N (m)]]</f>
        <v>1511713.0889999999</v>
      </c>
      <c r="T411" s="7">
        <f>Table2[[#This Row],[E]]+Table2[[#This Row],[Pile 
Deviation 
E (m)]]</f>
        <v>693979.446</v>
      </c>
      <c r="W411" s="7">
        <v>0.28999999999999998</v>
      </c>
      <c r="X411" s="2" t="s">
        <v>40</v>
      </c>
      <c r="AA411" s="9">
        <v>46213</v>
      </c>
    </row>
    <row r="412" spans="1:27" hidden="1" x14ac:dyDescent="0.65">
      <c r="A412">
        <v>410</v>
      </c>
      <c r="B412" t="s">
        <v>29</v>
      </c>
      <c r="C412" s="6">
        <v>1511713.763</v>
      </c>
      <c r="D412" s="6">
        <v>693982.77899999998</v>
      </c>
      <c r="E412" s="2" t="s">
        <v>35</v>
      </c>
      <c r="F412" s="1">
        <v>24</v>
      </c>
      <c r="G412" s="2" t="s">
        <v>31</v>
      </c>
      <c r="J412"/>
      <c r="K412" s="19"/>
      <c r="L412" s="21"/>
      <c r="M412" s="27"/>
      <c r="N412" s="19"/>
      <c r="O412" s="21"/>
      <c r="P412" s="7">
        <v>0.28999999999999998</v>
      </c>
      <c r="Q412" s="7">
        <f>Table2[[#This Row],[Elevation
PILE TOP]]-Table2[[#This Row],[LENGTH(m.)
(Actual)]]</f>
        <v>0.28999999999999998</v>
      </c>
      <c r="R412" s="2"/>
      <c r="S412" s="7">
        <f>Table2[[#This Row],[N]]+Table2[[#This Row],[Pile 
Deviation 
N (m)]]</f>
        <v>1511713.763</v>
      </c>
      <c r="T412" s="7">
        <f>Table2[[#This Row],[E]]+Table2[[#This Row],[Pile 
Deviation 
E (m)]]</f>
        <v>693982.77899999998</v>
      </c>
      <c r="W412" s="7">
        <v>0.28999999999999998</v>
      </c>
      <c r="X412" s="2" t="s">
        <v>40</v>
      </c>
      <c r="AA412" s="9">
        <v>46214</v>
      </c>
    </row>
    <row r="413" spans="1:27" ht="13.95" hidden="1" customHeight="1" x14ac:dyDescent="0.65">
      <c r="A413">
        <v>411</v>
      </c>
      <c r="B413" t="s">
        <v>29</v>
      </c>
      <c r="C413" s="6">
        <v>1511714.436</v>
      </c>
      <c r="D413" s="6">
        <v>693986.11199999996</v>
      </c>
      <c r="E413" s="2" t="s">
        <v>35</v>
      </c>
      <c r="F413" s="1">
        <v>24</v>
      </c>
      <c r="G413" s="2" t="s">
        <v>31</v>
      </c>
      <c r="J413"/>
      <c r="K413" s="19"/>
      <c r="L413" s="21"/>
      <c r="M413" s="27"/>
      <c r="N413" s="19"/>
      <c r="O413" s="21"/>
      <c r="P413" s="7">
        <v>0.28999999999999998</v>
      </c>
      <c r="Q413" s="7">
        <f>Table2[[#This Row],[Elevation
PILE TOP]]-Table2[[#This Row],[LENGTH(m.)
(Actual)]]</f>
        <v>0.28999999999999998</v>
      </c>
      <c r="R413" s="2"/>
      <c r="S413" s="7">
        <f>Table2[[#This Row],[N]]+Table2[[#This Row],[Pile 
Deviation 
N (m)]]</f>
        <v>1511714.436</v>
      </c>
      <c r="T413" s="7">
        <f>Table2[[#This Row],[E]]+Table2[[#This Row],[Pile 
Deviation 
E (m)]]</f>
        <v>693986.11199999996</v>
      </c>
      <c r="W413" s="7">
        <v>0.28999999999999998</v>
      </c>
      <c r="X413" s="2" t="s">
        <v>40</v>
      </c>
      <c r="AA413" s="9">
        <v>46216</v>
      </c>
    </row>
    <row r="414" spans="1:27" hidden="1" x14ac:dyDescent="0.65">
      <c r="A414">
        <v>412</v>
      </c>
      <c r="B414" t="s">
        <v>29</v>
      </c>
      <c r="C414" s="6">
        <v>1511715.0290000001</v>
      </c>
      <c r="D414" s="6">
        <v>693989.05200000003</v>
      </c>
      <c r="E414" s="2" t="s">
        <v>35</v>
      </c>
      <c r="F414" s="1">
        <v>24</v>
      </c>
      <c r="G414" s="2" t="s">
        <v>31</v>
      </c>
      <c r="J414"/>
      <c r="K414" s="19"/>
      <c r="L414" s="21"/>
      <c r="M414" s="27"/>
      <c r="N414" s="19"/>
      <c r="O414" s="21"/>
      <c r="P414" s="7">
        <v>0.28999999999999998</v>
      </c>
      <c r="Q414" s="7">
        <f>Table2[[#This Row],[Elevation
PILE TOP]]-Table2[[#This Row],[LENGTH(m.)
(Actual)]]</f>
        <v>0.28999999999999998</v>
      </c>
      <c r="R414" s="2"/>
      <c r="S414" s="7">
        <f>Table2[[#This Row],[N]]+Table2[[#This Row],[Pile 
Deviation 
N (m)]]</f>
        <v>1511715.0290000001</v>
      </c>
      <c r="T414" s="7">
        <f>Table2[[#This Row],[E]]+Table2[[#This Row],[Pile 
Deviation 
E (m)]]</f>
        <v>693989.05200000003</v>
      </c>
      <c r="W414" s="7">
        <v>0.28999999999999998</v>
      </c>
      <c r="X414" s="2" t="s">
        <v>40</v>
      </c>
      <c r="AA414" s="9">
        <v>46216</v>
      </c>
    </row>
    <row r="415" spans="1:27" ht="13.95" hidden="1" customHeight="1" x14ac:dyDescent="0.65">
      <c r="A415">
        <v>413</v>
      </c>
      <c r="B415" t="s">
        <v>29</v>
      </c>
      <c r="C415" s="6">
        <v>1511715.6229999999</v>
      </c>
      <c r="D415" s="6">
        <v>693991.99300000002</v>
      </c>
      <c r="E415" s="2" t="s">
        <v>35</v>
      </c>
      <c r="F415" s="1">
        <v>24</v>
      </c>
      <c r="G415" s="2" t="s">
        <v>31</v>
      </c>
      <c r="J415"/>
      <c r="K415" s="19"/>
      <c r="L415" s="21"/>
      <c r="M415" s="27"/>
      <c r="N415" s="19"/>
      <c r="O415" s="21"/>
      <c r="P415" s="7">
        <v>0.28999999999999998</v>
      </c>
      <c r="Q415" s="7">
        <f>Table2[[#This Row],[Elevation
PILE TOP]]-Table2[[#This Row],[LENGTH(m.)
(Actual)]]</f>
        <v>0.28999999999999998</v>
      </c>
      <c r="R415" s="2"/>
      <c r="S415" s="7">
        <f>Table2[[#This Row],[N]]+Table2[[#This Row],[Pile 
Deviation 
N (m)]]</f>
        <v>1511715.6229999999</v>
      </c>
      <c r="T415" s="7">
        <f>Table2[[#This Row],[E]]+Table2[[#This Row],[Pile 
Deviation 
E (m)]]</f>
        <v>693991.99300000002</v>
      </c>
      <c r="W415" s="7">
        <v>0.28999999999999998</v>
      </c>
      <c r="X415" s="2" t="s">
        <v>40</v>
      </c>
      <c r="AA415" s="9">
        <v>46217</v>
      </c>
    </row>
    <row r="416" spans="1:27" hidden="1" x14ac:dyDescent="0.65">
      <c r="A416">
        <v>414</v>
      </c>
      <c r="B416" t="s">
        <v>29</v>
      </c>
      <c r="C416" s="6">
        <v>1511716.2169999999</v>
      </c>
      <c r="D416" s="6">
        <v>693994.93299999996</v>
      </c>
      <c r="E416" s="2" t="s">
        <v>35</v>
      </c>
      <c r="F416" s="1">
        <v>24</v>
      </c>
      <c r="G416" s="2" t="s">
        <v>31</v>
      </c>
      <c r="J416"/>
      <c r="K416" s="19"/>
      <c r="L416" s="21"/>
      <c r="M416" s="27"/>
      <c r="N416" s="19"/>
      <c r="O416" s="21"/>
      <c r="P416" s="7">
        <v>0.28999999999999998</v>
      </c>
      <c r="Q416" s="7">
        <f>Table2[[#This Row],[Elevation
PILE TOP]]-Table2[[#This Row],[LENGTH(m.)
(Actual)]]</f>
        <v>0.28999999999999998</v>
      </c>
      <c r="R416" s="2"/>
      <c r="S416" s="7">
        <f>Table2[[#This Row],[N]]+Table2[[#This Row],[Pile 
Deviation 
N (m)]]</f>
        <v>1511716.2169999999</v>
      </c>
      <c r="T416" s="7">
        <f>Table2[[#This Row],[E]]+Table2[[#This Row],[Pile 
Deviation 
E (m)]]</f>
        <v>693994.93299999996</v>
      </c>
      <c r="W416" s="7">
        <v>0.28999999999999998</v>
      </c>
      <c r="X416" s="2" t="s">
        <v>40</v>
      </c>
      <c r="AA416" s="9">
        <v>46218</v>
      </c>
    </row>
    <row r="417" spans="1:27" ht="13.95" hidden="1" customHeight="1" x14ac:dyDescent="0.65">
      <c r="A417">
        <v>415</v>
      </c>
      <c r="B417" t="s">
        <v>29</v>
      </c>
      <c r="C417" s="6">
        <v>1511716.89</v>
      </c>
      <c r="D417" s="6">
        <v>693998.26599999995</v>
      </c>
      <c r="E417" s="2" t="s">
        <v>35</v>
      </c>
      <c r="F417" s="1">
        <v>24</v>
      </c>
      <c r="G417" s="2" t="s">
        <v>31</v>
      </c>
      <c r="J417"/>
      <c r="K417" s="19"/>
      <c r="L417" s="21"/>
      <c r="M417" s="27"/>
      <c r="N417" s="19"/>
      <c r="O417" s="21"/>
      <c r="P417" s="7">
        <v>0.28999999999999998</v>
      </c>
      <c r="Q417" s="7">
        <f>Table2[[#This Row],[Elevation
PILE TOP]]-Table2[[#This Row],[LENGTH(m.)
(Actual)]]</f>
        <v>0.28999999999999998</v>
      </c>
      <c r="R417" s="2"/>
      <c r="S417" s="7">
        <f>Table2[[#This Row],[N]]+Table2[[#This Row],[Pile 
Deviation 
N (m)]]</f>
        <v>1511716.89</v>
      </c>
      <c r="T417" s="7">
        <f>Table2[[#This Row],[E]]+Table2[[#This Row],[Pile 
Deviation 
E (m)]]</f>
        <v>693998.26599999995</v>
      </c>
      <c r="W417" s="7">
        <v>0.28999999999999998</v>
      </c>
      <c r="X417" s="2" t="s">
        <v>40</v>
      </c>
      <c r="AA417" s="9">
        <v>46209</v>
      </c>
    </row>
    <row r="418" spans="1:27" hidden="1" x14ac:dyDescent="0.65">
      <c r="A418">
        <v>416</v>
      </c>
      <c r="B418" t="s">
        <v>29</v>
      </c>
      <c r="C418" s="6">
        <v>1511717.5630000001</v>
      </c>
      <c r="D418" s="6">
        <v>694001.59900000005</v>
      </c>
      <c r="E418" s="2" t="s">
        <v>35</v>
      </c>
      <c r="F418" s="1">
        <v>24</v>
      </c>
      <c r="G418" s="2" t="s">
        <v>31</v>
      </c>
      <c r="J418"/>
      <c r="K418" s="19"/>
      <c r="L418" s="21"/>
      <c r="M418" s="27"/>
      <c r="N418" s="19"/>
      <c r="O418" s="21"/>
      <c r="P418" s="7">
        <v>0.28999999999999998</v>
      </c>
      <c r="Q418" s="7">
        <f>Table2[[#This Row],[Elevation
PILE TOP]]-Table2[[#This Row],[LENGTH(m.)
(Actual)]]</f>
        <v>0.28999999999999998</v>
      </c>
      <c r="R418" s="2"/>
      <c r="S418" s="7">
        <f>Table2[[#This Row],[N]]+Table2[[#This Row],[Pile 
Deviation 
N (m)]]</f>
        <v>1511717.5630000001</v>
      </c>
      <c r="T418" s="7">
        <f>Table2[[#This Row],[E]]+Table2[[#This Row],[Pile 
Deviation 
E (m)]]</f>
        <v>694001.59900000005</v>
      </c>
      <c r="W418" s="7">
        <v>0.28999999999999998</v>
      </c>
      <c r="X418" s="2" t="s">
        <v>40</v>
      </c>
      <c r="AA418" s="9">
        <v>46209</v>
      </c>
    </row>
    <row r="419" spans="1:27" ht="13.95" hidden="1" customHeight="1" x14ac:dyDescent="0.65">
      <c r="A419">
        <v>417</v>
      </c>
      <c r="B419" t="s">
        <v>29</v>
      </c>
      <c r="C419" s="6">
        <v>1511718.2960000001</v>
      </c>
      <c r="D419" s="6">
        <v>694005.22600000002</v>
      </c>
      <c r="E419" s="2" t="s">
        <v>35</v>
      </c>
      <c r="F419" s="1">
        <v>24</v>
      </c>
      <c r="G419" s="2" t="s">
        <v>31</v>
      </c>
      <c r="J419"/>
      <c r="K419" s="19"/>
      <c r="L419" s="21"/>
      <c r="M419" s="27"/>
      <c r="N419" s="19"/>
      <c r="O419" s="21"/>
      <c r="P419" s="7">
        <v>0.28999999999999998</v>
      </c>
      <c r="Q419" s="7">
        <f>Table2[[#This Row],[Elevation
PILE TOP]]-Table2[[#This Row],[LENGTH(m.)
(Actual)]]</f>
        <v>0.28999999999999998</v>
      </c>
      <c r="R419" s="2"/>
      <c r="S419" s="7">
        <f>Table2[[#This Row],[N]]+Table2[[#This Row],[Pile 
Deviation 
N (m)]]</f>
        <v>1511718.2960000001</v>
      </c>
      <c r="T419" s="7">
        <f>Table2[[#This Row],[E]]+Table2[[#This Row],[Pile 
Deviation 
E (m)]]</f>
        <v>694005.22600000002</v>
      </c>
      <c r="W419" s="7">
        <v>0.28999999999999998</v>
      </c>
      <c r="X419" s="2" t="s">
        <v>40</v>
      </c>
      <c r="AA419" s="9">
        <v>46210</v>
      </c>
    </row>
    <row r="420" spans="1:27" hidden="1" x14ac:dyDescent="0.65">
      <c r="A420">
        <v>418</v>
      </c>
      <c r="B420" t="s">
        <v>29</v>
      </c>
      <c r="C420" s="6">
        <v>1511710.0859999999</v>
      </c>
      <c r="D420" s="6">
        <v>693967.60600000003</v>
      </c>
      <c r="E420" s="2" t="s">
        <v>30</v>
      </c>
      <c r="F420" s="1">
        <v>24</v>
      </c>
      <c r="G420" s="2" t="s">
        <v>31</v>
      </c>
      <c r="J420"/>
      <c r="K420" s="19"/>
      <c r="L420" s="21"/>
      <c r="M420" s="27"/>
      <c r="N420" s="19"/>
      <c r="O420" s="21"/>
      <c r="P420" s="7">
        <v>-0.17499999999999999</v>
      </c>
      <c r="Q420" s="7">
        <f>Table2[[#This Row],[Elevation
PILE TOP]]-Table2[[#This Row],[LENGTH(m.)
(Actual)]]</f>
        <v>-0.17499999999999999</v>
      </c>
      <c r="R420" s="2"/>
      <c r="S420" s="7">
        <f>Table2[[#This Row],[N]]+Table2[[#This Row],[Pile 
Deviation 
N (m)]]</f>
        <v>1511710.0859999999</v>
      </c>
      <c r="T420" s="7">
        <f>Table2[[#This Row],[E]]+Table2[[#This Row],[Pile 
Deviation 
E (m)]]</f>
        <v>693967.60600000003</v>
      </c>
      <c r="W420" s="7">
        <v>-0.67500000000000004</v>
      </c>
      <c r="X420" s="2" t="s">
        <v>33</v>
      </c>
      <c r="AA420" s="9">
        <v>46228</v>
      </c>
    </row>
    <row r="421" spans="1:27" ht="13.95" hidden="1" customHeight="1" x14ac:dyDescent="0.65">
      <c r="A421">
        <v>419</v>
      </c>
      <c r="B421" t="s">
        <v>29</v>
      </c>
      <c r="C421" s="6">
        <v>1511710.264</v>
      </c>
      <c r="D421" s="6">
        <v>693968.48800000001</v>
      </c>
      <c r="E421" s="2" t="s">
        <v>30</v>
      </c>
      <c r="F421" s="1">
        <v>24</v>
      </c>
      <c r="G421" s="2" t="s">
        <v>31</v>
      </c>
      <c r="J421"/>
      <c r="K421" s="19"/>
      <c r="L421" s="21"/>
      <c r="M421" s="27"/>
      <c r="N421" s="19"/>
      <c r="O421" s="21"/>
      <c r="P421" s="7">
        <v>-0.17499999999999999</v>
      </c>
      <c r="Q421" s="7">
        <f>Table2[[#This Row],[Elevation
PILE TOP]]-Table2[[#This Row],[LENGTH(m.)
(Actual)]]</f>
        <v>-0.17499999999999999</v>
      </c>
      <c r="R421" s="2"/>
      <c r="S421" s="7">
        <f>Table2[[#This Row],[N]]+Table2[[#This Row],[Pile 
Deviation 
N (m)]]</f>
        <v>1511710.264</v>
      </c>
      <c r="T421" s="7">
        <f>Table2[[#This Row],[E]]+Table2[[#This Row],[Pile 
Deviation 
E (m)]]</f>
        <v>693968.48800000001</v>
      </c>
      <c r="W421" s="7">
        <v>-0.67500000000000004</v>
      </c>
      <c r="X421" s="2" t="s">
        <v>33</v>
      </c>
      <c r="AA421" s="9">
        <v>46228</v>
      </c>
    </row>
    <row r="422" spans="1:27" hidden="1" x14ac:dyDescent="0.65">
      <c r="A422">
        <v>420</v>
      </c>
      <c r="B422" t="s">
        <v>29</v>
      </c>
      <c r="C422" s="6">
        <v>1511709.3019999999</v>
      </c>
      <c r="D422" s="6">
        <v>693967.76500000001</v>
      </c>
      <c r="E422" s="2" t="s">
        <v>30</v>
      </c>
      <c r="F422" s="1">
        <v>24</v>
      </c>
      <c r="G422" s="2" t="s">
        <v>31</v>
      </c>
      <c r="J422"/>
      <c r="K422" s="19"/>
      <c r="L422" s="21"/>
      <c r="M422" s="27"/>
      <c r="N422" s="19"/>
      <c r="O422" s="21"/>
      <c r="P422" s="7">
        <v>-0.17499999999999999</v>
      </c>
      <c r="Q422" s="7">
        <f>Table2[[#This Row],[Elevation
PILE TOP]]-Table2[[#This Row],[LENGTH(m.)
(Actual)]]</f>
        <v>-0.17499999999999999</v>
      </c>
      <c r="R422" s="2"/>
      <c r="S422" s="7">
        <f>Table2[[#This Row],[N]]+Table2[[#This Row],[Pile 
Deviation 
N (m)]]</f>
        <v>1511709.3019999999</v>
      </c>
      <c r="T422" s="7">
        <f>Table2[[#This Row],[E]]+Table2[[#This Row],[Pile 
Deviation 
E (m)]]</f>
        <v>693967.76500000001</v>
      </c>
      <c r="W422" s="7">
        <v>-0.67500000000000004</v>
      </c>
      <c r="X422" s="2" t="s">
        <v>33</v>
      </c>
      <c r="AA422" s="9">
        <v>46228</v>
      </c>
    </row>
    <row r="423" spans="1:27" ht="13.95" hidden="1" customHeight="1" x14ac:dyDescent="0.65">
      <c r="A423">
        <v>421</v>
      </c>
      <c r="B423" t="s">
        <v>29</v>
      </c>
      <c r="C423" s="6">
        <v>1511709.48</v>
      </c>
      <c r="D423" s="6">
        <v>693968.647</v>
      </c>
      <c r="E423" s="2" t="s">
        <v>30</v>
      </c>
      <c r="F423" s="1">
        <v>24</v>
      </c>
      <c r="G423" s="2" t="s">
        <v>31</v>
      </c>
      <c r="J423"/>
      <c r="K423" s="19"/>
      <c r="L423" s="21"/>
      <c r="M423" s="27"/>
      <c r="N423" s="19"/>
      <c r="O423" s="21"/>
      <c r="P423" s="7">
        <v>-0.17499999999999999</v>
      </c>
      <c r="Q423" s="7">
        <f>Table2[[#This Row],[Elevation
PILE TOP]]-Table2[[#This Row],[LENGTH(m.)
(Actual)]]</f>
        <v>-0.17499999999999999</v>
      </c>
      <c r="R423" s="2"/>
      <c r="S423" s="7">
        <f>Table2[[#This Row],[N]]+Table2[[#This Row],[Pile 
Deviation 
N (m)]]</f>
        <v>1511709.48</v>
      </c>
      <c r="T423" s="7">
        <f>Table2[[#This Row],[E]]+Table2[[#This Row],[Pile 
Deviation 
E (m)]]</f>
        <v>693968.647</v>
      </c>
      <c r="W423" s="7">
        <v>-0.67500000000000004</v>
      </c>
      <c r="X423" s="2" t="s">
        <v>33</v>
      </c>
      <c r="AA423" s="9">
        <v>46228</v>
      </c>
    </row>
    <row r="424" spans="1:27" hidden="1" x14ac:dyDescent="0.65">
      <c r="A424">
        <v>422</v>
      </c>
      <c r="B424" t="s">
        <v>29</v>
      </c>
      <c r="C424" s="6">
        <v>1511707.6780000001</v>
      </c>
      <c r="D424" s="6">
        <v>693969.82700000005</v>
      </c>
      <c r="E424" s="2" t="s">
        <v>35</v>
      </c>
      <c r="F424" s="1">
        <v>24</v>
      </c>
      <c r="G424" s="2" t="s">
        <v>31</v>
      </c>
      <c r="J424"/>
      <c r="K424" s="19"/>
      <c r="L424" s="21"/>
      <c r="M424" s="27"/>
      <c r="N424" s="19"/>
      <c r="O424" s="21"/>
      <c r="P424" s="7">
        <v>0.28999999999999998</v>
      </c>
      <c r="Q424" s="7">
        <f>Table2[[#This Row],[Elevation
PILE TOP]]-Table2[[#This Row],[LENGTH(m.)
(Actual)]]</f>
        <v>0.28999999999999998</v>
      </c>
      <c r="R424" s="2"/>
      <c r="S424" s="7">
        <f>Table2[[#This Row],[N]]+Table2[[#This Row],[Pile 
Deviation 
N (m)]]</f>
        <v>1511707.6780000001</v>
      </c>
      <c r="T424" s="7">
        <f>Table2[[#This Row],[E]]+Table2[[#This Row],[Pile 
Deviation 
E (m)]]</f>
        <v>693969.82700000005</v>
      </c>
      <c r="W424" s="7">
        <v>0.28999999999999998</v>
      </c>
      <c r="X424" s="2" t="s">
        <v>40</v>
      </c>
      <c r="AA424" s="9">
        <v>46230</v>
      </c>
    </row>
    <row r="425" spans="1:27" ht="13.95" hidden="1" customHeight="1" x14ac:dyDescent="0.65">
      <c r="A425">
        <v>423</v>
      </c>
      <c r="B425" t="s">
        <v>29</v>
      </c>
      <c r="C425" s="6">
        <v>1511708.9750000001</v>
      </c>
      <c r="D425" s="6">
        <v>693970.41500000004</v>
      </c>
      <c r="E425" s="2" t="s">
        <v>41</v>
      </c>
      <c r="F425" s="1">
        <v>26</v>
      </c>
      <c r="G425" s="2" t="s">
        <v>31</v>
      </c>
      <c r="J425"/>
      <c r="K425" s="19"/>
      <c r="L425" s="21"/>
      <c r="M425" s="27"/>
      <c r="N425" s="19"/>
      <c r="O425" s="21"/>
      <c r="P425" s="7">
        <v>0.35</v>
      </c>
      <c r="Q425" s="7">
        <f>Table2[[#This Row],[Elevation
PILE TOP]]-Table2[[#This Row],[LENGTH(m.)
(Actual)]]</f>
        <v>0.35</v>
      </c>
      <c r="R425" s="2"/>
      <c r="S425" s="7">
        <f>Table2[[#This Row],[N]]+Table2[[#This Row],[Pile 
Deviation 
N (m)]]</f>
        <v>1511708.9750000001</v>
      </c>
      <c r="T425" s="7">
        <f>Table2[[#This Row],[E]]+Table2[[#This Row],[Pile 
Deviation 
E (m)]]</f>
        <v>693970.41500000004</v>
      </c>
      <c r="W425" s="7">
        <v>-0.15</v>
      </c>
      <c r="X425" s="2" t="s">
        <v>42</v>
      </c>
      <c r="AA425" s="9">
        <v>46226</v>
      </c>
    </row>
    <row r="426" spans="1:27" hidden="1" x14ac:dyDescent="0.65">
      <c r="A426">
        <v>424</v>
      </c>
      <c r="B426" t="s">
        <v>29</v>
      </c>
      <c r="C426" s="6">
        <v>1511710.888</v>
      </c>
      <c r="D426" s="6">
        <v>693971.68599999999</v>
      </c>
      <c r="E426" s="2" t="s">
        <v>41</v>
      </c>
      <c r="F426" s="1">
        <v>26</v>
      </c>
      <c r="G426" s="2" t="s">
        <v>31</v>
      </c>
      <c r="J426"/>
      <c r="K426" s="19"/>
      <c r="L426" s="21"/>
      <c r="M426" s="27"/>
      <c r="N426" s="19"/>
      <c r="O426" s="21"/>
      <c r="P426" s="7">
        <v>0.35</v>
      </c>
      <c r="Q426" s="7">
        <f>Table2[[#This Row],[Elevation
PILE TOP]]-Table2[[#This Row],[LENGTH(m.)
(Actual)]]</f>
        <v>0.35</v>
      </c>
      <c r="R426" s="2"/>
      <c r="S426" s="7">
        <f>Table2[[#This Row],[N]]+Table2[[#This Row],[Pile 
Deviation 
N (m)]]</f>
        <v>1511710.888</v>
      </c>
      <c r="T426" s="7">
        <f>Table2[[#This Row],[E]]+Table2[[#This Row],[Pile 
Deviation 
E (m)]]</f>
        <v>693971.68599999999</v>
      </c>
      <c r="W426" s="7">
        <v>-0.15</v>
      </c>
      <c r="X426" s="2" t="s">
        <v>42</v>
      </c>
      <c r="AA426" s="9">
        <v>46226</v>
      </c>
    </row>
    <row r="427" spans="1:27" ht="13.95" hidden="1" customHeight="1" x14ac:dyDescent="0.65">
      <c r="A427">
        <v>425</v>
      </c>
      <c r="B427" t="s">
        <v>29</v>
      </c>
      <c r="C427" s="6">
        <v>1511711.3430000001</v>
      </c>
      <c r="D427" s="6">
        <v>693973.93599999999</v>
      </c>
      <c r="E427" s="2" t="s">
        <v>41</v>
      </c>
      <c r="F427" s="1">
        <v>26</v>
      </c>
      <c r="G427" s="2" t="s">
        <v>31</v>
      </c>
      <c r="J427"/>
      <c r="K427" s="19"/>
      <c r="L427" s="21"/>
      <c r="M427" s="27"/>
      <c r="N427" s="19"/>
      <c r="O427" s="21"/>
      <c r="P427" s="7">
        <v>0.35</v>
      </c>
      <c r="Q427" s="7">
        <f>Table2[[#This Row],[Elevation
PILE TOP]]-Table2[[#This Row],[LENGTH(m.)
(Actual)]]</f>
        <v>0.35</v>
      </c>
      <c r="R427" s="2"/>
      <c r="S427" s="7">
        <f>Table2[[#This Row],[N]]+Table2[[#This Row],[Pile 
Deviation 
N (m)]]</f>
        <v>1511711.3430000001</v>
      </c>
      <c r="T427" s="7">
        <f>Table2[[#This Row],[E]]+Table2[[#This Row],[Pile 
Deviation 
E (m)]]</f>
        <v>693973.93599999999</v>
      </c>
      <c r="W427" s="7">
        <v>-0.15</v>
      </c>
      <c r="X427" s="2" t="s">
        <v>42</v>
      </c>
      <c r="AA427" s="9">
        <v>46225</v>
      </c>
    </row>
    <row r="428" spans="1:27" hidden="1" x14ac:dyDescent="0.65">
      <c r="A428">
        <v>426</v>
      </c>
      <c r="B428" t="s">
        <v>29</v>
      </c>
      <c r="C428" s="6">
        <v>1511710.0730000001</v>
      </c>
      <c r="D428" s="6">
        <v>693975.84900000005</v>
      </c>
      <c r="E428" s="2" t="s">
        <v>41</v>
      </c>
      <c r="F428" s="1">
        <v>26</v>
      </c>
      <c r="G428" s="2" t="s">
        <v>31</v>
      </c>
      <c r="J428"/>
      <c r="K428" s="19"/>
      <c r="L428" s="21"/>
      <c r="M428" s="27"/>
      <c r="N428" s="19"/>
      <c r="O428" s="21"/>
      <c r="P428" s="7">
        <v>0.35</v>
      </c>
      <c r="Q428" s="7">
        <f>Table2[[#This Row],[Elevation
PILE TOP]]-Table2[[#This Row],[LENGTH(m.)
(Actual)]]</f>
        <v>0.35</v>
      </c>
      <c r="R428" s="2"/>
      <c r="S428" s="7">
        <f>Table2[[#This Row],[N]]+Table2[[#This Row],[Pile 
Deviation 
N (m)]]</f>
        <v>1511710.0730000001</v>
      </c>
      <c r="T428" s="7">
        <f>Table2[[#This Row],[E]]+Table2[[#This Row],[Pile 
Deviation 
E (m)]]</f>
        <v>693975.84900000005</v>
      </c>
      <c r="W428" s="7">
        <v>-0.15</v>
      </c>
      <c r="X428" s="2" t="s">
        <v>42</v>
      </c>
      <c r="AA428" s="9">
        <v>46225</v>
      </c>
    </row>
    <row r="429" spans="1:27" ht="13.95" hidden="1" customHeight="1" x14ac:dyDescent="0.65">
      <c r="A429">
        <v>427</v>
      </c>
      <c r="B429" t="s">
        <v>29</v>
      </c>
      <c r="C429" s="6">
        <v>1511707.8219999999</v>
      </c>
      <c r="D429" s="6">
        <v>693976.304</v>
      </c>
      <c r="E429" s="2" t="s">
        <v>41</v>
      </c>
      <c r="F429" s="1">
        <v>26</v>
      </c>
      <c r="G429" s="2" t="s">
        <v>31</v>
      </c>
      <c r="J429"/>
      <c r="K429" s="19"/>
      <c r="L429" s="21"/>
      <c r="M429" s="27"/>
      <c r="N429" s="19"/>
      <c r="O429" s="21"/>
      <c r="P429" s="7">
        <v>0.35</v>
      </c>
      <c r="Q429" s="7">
        <f>Table2[[#This Row],[Elevation
PILE TOP]]-Table2[[#This Row],[LENGTH(m.)
(Actual)]]</f>
        <v>0.35</v>
      </c>
      <c r="R429" s="2"/>
      <c r="S429" s="7">
        <f>Table2[[#This Row],[N]]+Table2[[#This Row],[Pile 
Deviation 
N (m)]]</f>
        <v>1511707.8219999999</v>
      </c>
      <c r="T429" s="7">
        <f>Table2[[#This Row],[E]]+Table2[[#This Row],[Pile 
Deviation 
E (m)]]</f>
        <v>693976.304</v>
      </c>
      <c r="W429" s="7">
        <v>-0.15</v>
      </c>
      <c r="X429" s="2" t="s">
        <v>42</v>
      </c>
      <c r="AA429" s="9">
        <v>46225</v>
      </c>
    </row>
    <row r="430" spans="1:27" hidden="1" x14ac:dyDescent="0.65">
      <c r="A430">
        <v>428</v>
      </c>
      <c r="B430" t="s">
        <v>29</v>
      </c>
      <c r="C430" s="6">
        <v>1511705.909</v>
      </c>
      <c r="D430" s="6">
        <v>693975.03300000005</v>
      </c>
      <c r="E430" s="2" t="s">
        <v>41</v>
      </c>
      <c r="F430" s="1">
        <v>26</v>
      </c>
      <c r="G430" s="2" t="s">
        <v>31</v>
      </c>
      <c r="J430"/>
      <c r="K430" s="19"/>
      <c r="L430" s="21"/>
      <c r="M430" s="27"/>
      <c r="N430" s="19"/>
      <c r="O430" s="21"/>
      <c r="P430" s="7">
        <v>0.35</v>
      </c>
      <c r="Q430" s="7">
        <f>Table2[[#This Row],[Elevation
PILE TOP]]-Table2[[#This Row],[LENGTH(m.)
(Actual)]]</f>
        <v>0.35</v>
      </c>
      <c r="R430" s="2"/>
      <c r="S430" s="7">
        <f>Table2[[#This Row],[N]]+Table2[[#This Row],[Pile 
Deviation 
N (m)]]</f>
        <v>1511705.909</v>
      </c>
      <c r="T430" s="7">
        <f>Table2[[#This Row],[E]]+Table2[[#This Row],[Pile 
Deviation 
E (m)]]</f>
        <v>693975.03300000005</v>
      </c>
      <c r="W430" s="7">
        <v>-0.15</v>
      </c>
      <c r="X430" s="2" t="s">
        <v>42</v>
      </c>
      <c r="AA430" s="9">
        <v>46225</v>
      </c>
    </row>
    <row r="431" spans="1:27" ht="13.95" hidden="1" customHeight="1" x14ac:dyDescent="0.65">
      <c r="A431">
        <v>429</v>
      </c>
      <c r="B431" t="s">
        <v>29</v>
      </c>
      <c r="C431" s="6">
        <v>1511705.4550000001</v>
      </c>
      <c r="D431" s="6">
        <v>693972.78300000005</v>
      </c>
      <c r="E431" s="2" t="s">
        <v>41</v>
      </c>
      <c r="F431" s="1">
        <v>26</v>
      </c>
      <c r="G431" s="2" t="s">
        <v>31</v>
      </c>
      <c r="J431"/>
      <c r="K431" s="19"/>
      <c r="L431" s="21"/>
      <c r="M431" s="27"/>
      <c r="N431" s="19"/>
      <c r="O431" s="21"/>
      <c r="P431" s="7">
        <v>0.35</v>
      </c>
      <c r="Q431" s="7">
        <f>Table2[[#This Row],[Elevation
PILE TOP]]-Table2[[#This Row],[LENGTH(m.)
(Actual)]]</f>
        <v>0.35</v>
      </c>
      <c r="R431" s="2"/>
      <c r="S431" s="7">
        <f>Table2[[#This Row],[N]]+Table2[[#This Row],[Pile 
Deviation 
N (m)]]</f>
        <v>1511705.4550000001</v>
      </c>
      <c r="T431" s="7">
        <f>Table2[[#This Row],[E]]+Table2[[#This Row],[Pile 
Deviation 
E (m)]]</f>
        <v>693972.78300000005</v>
      </c>
      <c r="W431" s="7">
        <v>-0.15</v>
      </c>
      <c r="X431" s="2" t="s">
        <v>42</v>
      </c>
      <c r="AA431" s="9">
        <v>46226</v>
      </c>
    </row>
    <row r="432" spans="1:27" hidden="1" x14ac:dyDescent="0.65">
      <c r="A432">
        <v>430</v>
      </c>
      <c r="B432" t="s">
        <v>29</v>
      </c>
      <c r="C432" s="6">
        <v>1511706.7250000001</v>
      </c>
      <c r="D432" s="6">
        <v>693970.87</v>
      </c>
      <c r="E432" s="2" t="s">
        <v>41</v>
      </c>
      <c r="F432" s="1">
        <v>26</v>
      </c>
      <c r="G432" s="2" t="s">
        <v>31</v>
      </c>
      <c r="J432"/>
      <c r="K432" s="19"/>
      <c r="L432" s="21"/>
      <c r="M432" s="27"/>
      <c r="N432" s="19"/>
      <c r="O432" s="21"/>
      <c r="P432" s="7">
        <v>0.35</v>
      </c>
      <c r="Q432" s="7">
        <f>Table2[[#This Row],[Elevation
PILE TOP]]-Table2[[#This Row],[LENGTH(m.)
(Actual)]]</f>
        <v>0.35</v>
      </c>
      <c r="R432" s="2"/>
      <c r="S432" s="7">
        <f>Table2[[#This Row],[N]]+Table2[[#This Row],[Pile 
Deviation 
N (m)]]</f>
        <v>1511706.7250000001</v>
      </c>
      <c r="T432" s="7">
        <f>Table2[[#This Row],[E]]+Table2[[#This Row],[Pile 
Deviation 
E (m)]]</f>
        <v>693970.87</v>
      </c>
      <c r="W432" s="7">
        <v>-0.15</v>
      </c>
      <c r="X432" s="2" t="s">
        <v>42</v>
      </c>
      <c r="AA432" s="9">
        <v>46226</v>
      </c>
    </row>
    <row r="433" spans="1:27" ht="13.95" hidden="1" customHeight="1" x14ac:dyDescent="0.65">
      <c r="A433">
        <v>431</v>
      </c>
      <c r="B433" t="s">
        <v>29</v>
      </c>
      <c r="C433" s="6">
        <v>1511708.4110000001</v>
      </c>
      <c r="D433" s="6">
        <v>693973.45400000003</v>
      </c>
      <c r="E433" s="2" t="s">
        <v>35</v>
      </c>
      <c r="F433" s="1">
        <v>24</v>
      </c>
      <c r="G433" s="2" t="s">
        <v>31</v>
      </c>
      <c r="J433"/>
      <c r="K433" s="19"/>
      <c r="L433" s="21"/>
      <c r="M433" s="27"/>
      <c r="N433" s="19"/>
      <c r="O433" s="21"/>
      <c r="P433" s="7">
        <v>0.28999999999999998</v>
      </c>
      <c r="Q433" s="7">
        <f>Table2[[#This Row],[Elevation
PILE TOP]]-Table2[[#This Row],[LENGTH(m.)
(Actual)]]</f>
        <v>0.28999999999999998</v>
      </c>
      <c r="R433" s="2"/>
      <c r="S433" s="7">
        <f>Table2[[#This Row],[N]]+Table2[[#This Row],[Pile 
Deviation 
N (m)]]</f>
        <v>1511708.4110000001</v>
      </c>
      <c r="T433" s="7">
        <f>Table2[[#This Row],[E]]+Table2[[#This Row],[Pile 
Deviation 
E (m)]]</f>
        <v>693973.45400000003</v>
      </c>
      <c r="W433" s="7">
        <v>0.28999999999999998</v>
      </c>
      <c r="X433" s="2" t="s">
        <v>40</v>
      </c>
      <c r="AA433" s="9">
        <v>46226</v>
      </c>
    </row>
    <row r="434" spans="1:27" hidden="1" x14ac:dyDescent="0.65">
      <c r="A434">
        <v>432</v>
      </c>
      <c r="B434" t="s">
        <v>29</v>
      </c>
      <c r="C434" s="6">
        <v>1511709.084</v>
      </c>
      <c r="D434" s="6">
        <v>693976.78599999996</v>
      </c>
      <c r="E434" s="2" t="s">
        <v>35</v>
      </c>
      <c r="F434" s="1">
        <v>24</v>
      </c>
      <c r="G434" s="2" t="s">
        <v>31</v>
      </c>
      <c r="J434"/>
      <c r="K434" s="19"/>
      <c r="L434" s="21"/>
      <c r="M434" s="27"/>
      <c r="N434" s="19"/>
      <c r="O434" s="21"/>
      <c r="P434" s="7">
        <v>0.28999999999999998</v>
      </c>
      <c r="Q434" s="7">
        <f>Table2[[#This Row],[Elevation
PILE TOP]]-Table2[[#This Row],[LENGTH(m.)
(Actual)]]</f>
        <v>0.28999999999999998</v>
      </c>
      <c r="R434" s="2"/>
      <c r="S434" s="7">
        <f>Table2[[#This Row],[N]]+Table2[[#This Row],[Pile 
Deviation 
N (m)]]</f>
        <v>1511709.084</v>
      </c>
      <c r="T434" s="7">
        <f>Table2[[#This Row],[E]]+Table2[[#This Row],[Pile 
Deviation 
E (m)]]</f>
        <v>693976.78599999996</v>
      </c>
      <c r="W434" s="7">
        <v>0.28999999999999998</v>
      </c>
      <c r="X434" s="2" t="s">
        <v>40</v>
      </c>
      <c r="AA434" s="9">
        <v>46225</v>
      </c>
    </row>
    <row r="435" spans="1:27" ht="13.95" hidden="1" customHeight="1" x14ac:dyDescent="0.65">
      <c r="A435">
        <v>433</v>
      </c>
      <c r="B435" t="s">
        <v>29</v>
      </c>
      <c r="C435" s="6">
        <v>1511710.3219999999</v>
      </c>
      <c r="D435" s="6">
        <v>693977.08499999996</v>
      </c>
      <c r="E435" s="2" t="s">
        <v>41</v>
      </c>
      <c r="F435" s="1">
        <v>26</v>
      </c>
      <c r="G435" s="2" t="s">
        <v>31</v>
      </c>
      <c r="J435"/>
      <c r="K435" s="19"/>
      <c r="L435" s="21"/>
      <c r="M435" s="27"/>
      <c r="N435" s="19"/>
      <c r="O435" s="21"/>
      <c r="P435" s="7">
        <v>0.35</v>
      </c>
      <c r="Q435" s="7">
        <f>Table2[[#This Row],[Elevation
PILE TOP]]-Table2[[#This Row],[LENGTH(m.)
(Actual)]]</f>
        <v>0.35</v>
      </c>
      <c r="R435" s="2"/>
      <c r="S435" s="7">
        <f>Table2[[#This Row],[N]]+Table2[[#This Row],[Pile 
Deviation 
N (m)]]</f>
        <v>1511710.3219999999</v>
      </c>
      <c r="T435" s="7">
        <f>Table2[[#This Row],[E]]+Table2[[#This Row],[Pile 
Deviation 
E (m)]]</f>
        <v>693977.08499999996</v>
      </c>
      <c r="W435" s="7">
        <v>-0.15</v>
      </c>
      <c r="X435" s="2" t="s">
        <v>42</v>
      </c>
      <c r="AA435" s="9">
        <v>46225</v>
      </c>
    </row>
    <row r="436" spans="1:27" hidden="1" x14ac:dyDescent="0.65">
      <c r="A436">
        <v>434</v>
      </c>
      <c r="B436" t="s">
        <v>29</v>
      </c>
      <c r="C436" s="6">
        <v>1511712.2350000001</v>
      </c>
      <c r="D436" s="6">
        <v>693978.35499999998</v>
      </c>
      <c r="E436" s="2" t="s">
        <v>41</v>
      </c>
      <c r="F436" s="1">
        <v>26</v>
      </c>
      <c r="G436" s="2" t="s">
        <v>31</v>
      </c>
      <c r="J436"/>
      <c r="K436" s="19"/>
      <c r="L436" s="21"/>
      <c r="M436" s="27"/>
      <c r="N436" s="19"/>
      <c r="O436" s="21"/>
      <c r="P436" s="7">
        <v>0.35</v>
      </c>
      <c r="Q436" s="7">
        <f>Table2[[#This Row],[Elevation
PILE TOP]]-Table2[[#This Row],[LENGTH(m.)
(Actual)]]</f>
        <v>0.35</v>
      </c>
      <c r="R436" s="2"/>
      <c r="S436" s="7">
        <f>Table2[[#This Row],[N]]+Table2[[#This Row],[Pile 
Deviation 
N (m)]]</f>
        <v>1511712.2350000001</v>
      </c>
      <c r="T436" s="7">
        <f>Table2[[#This Row],[E]]+Table2[[#This Row],[Pile 
Deviation 
E (m)]]</f>
        <v>693978.35499999998</v>
      </c>
      <c r="W436" s="7">
        <v>-0.15</v>
      </c>
      <c r="X436" s="2" t="s">
        <v>42</v>
      </c>
      <c r="AA436" s="9">
        <v>46224</v>
      </c>
    </row>
    <row r="437" spans="1:27" ht="13.95" hidden="1" customHeight="1" x14ac:dyDescent="0.65">
      <c r="A437">
        <v>435</v>
      </c>
      <c r="B437" t="s">
        <v>29</v>
      </c>
      <c r="C437" s="6">
        <v>1511712.69</v>
      </c>
      <c r="D437" s="6">
        <v>693980.60600000003</v>
      </c>
      <c r="E437" s="2" t="s">
        <v>41</v>
      </c>
      <c r="F437" s="1">
        <v>26</v>
      </c>
      <c r="G437" s="2" t="s">
        <v>31</v>
      </c>
      <c r="J437"/>
      <c r="K437" s="19"/>
      <c r="L437" s="21"/>
      <c r="M437" s="27"/>
      <c r="N437" s="19"/>
      <c r="O437" s="21"/>
      <c r="P437" s="7">
        <v>0.35</v>
      </c>
      <c r="Q437" s="7">
        <f>Table2[[#This Row],[Elevation
PILE TOP]]-Table2[[#This Row],[LENGTH(m.)
(Actual)]]</f>
        <v>0.35</v>
      </c>
      <c r="R437" s="2"/>
      <c r="S437" s="7">
        <f>Table2[[#This Row],[N]]+Table2[[#This Row],[Pile 
Deviation 
N (m)]]</f>
        <v>1511712.69</v>
      </c>
      <c r="T437" s="7">
        <f>Table2[[#This Row],[E]]+Table2[[#This Row],[Pile 
Deviation 
E (m)]]</f>
        <v>693980.60600000003</v>
      </c>
      <c r="W437" s="7">
        <v>-0.15</v>
      </c>
      <c r="X437" s="2" t="s">
        <v>42</v>
      </c>
      <c r="AA437" s="9">
        <v>46224</v>
      </c>
    </row>
    <row r="438" spans="1:27" hidden="1" x14ac:dyDescent="0.65">
      <c r="A438">
        <v>436</v>
      </c>
      <c r="B438" t="s">
        <v>29</v>
      </c>
      <c r="C438" s="6">
        <v>1511711.419</v>
      </c>
      <c r="D438" s="6">
        <v>693982.51899999997</v>
      </c>
      <c r="E438" s="2" t="s">
        <v>41</v>
      </c>
      <c r="F438" s="1">
        <v>26</v>
      </c>
      <c r="G438" s="2" t="s">
        <v>31</v>
      </c>
      <c r="J438"/>
      <c r="K438" s="19"/>
      <c r="L438" s="21"/>
      <c r="M438" s="27"/>
      <c r="N438" s="19"/>
      <c r="O438" s="21"/>
      <c r="P438" s="7">
        <v>0.35</v>
      </c>
      <c r="Q438" s="7">
        <f>Table2[[#This Row],[Elevation
PILE TOP]]-Table2[[#This Row],[LENGTH(m.)
(Actual)]]</f>
        <v>0.35</v>
      </c>
      <c r="R438" s="2"/>
      <c r="S438" s="7">
        <f>Table2[[#This Row],[N]]+Table2[[#This Row],[Pile 
Deviation 
N (m)]]</f>
        <v>1511711.419</v>
      </c>
      <c r="T438" s="7">
        <f>Table2[[#This Row],[E]]+Table2[[#This Row],[Pile 
Deviation 
E (m)]]</f>
        <v>693982.51899999997</v>
      </c>
      <c r="W438" s="7">
        <v>-0.15</v>
      </c>
      <c r="X438" s="2" t="s">
        <v>42</v>
      </c>
      <c r="AA438" s="9">
        <v>46223</v>
      </c>
    </row>
    <row r="439" spans="1:27" ht="13.95" hidden="1" customHeight="1" x14ac:dyDescent="0.65">
      <c r="A439">
        <v>437</v>
      </c>
      <c r="B439" t="s">
        <v>29</v>
      </c>
      <c r="C439" s="6">
        <v>1511709.169</v>
      </c>
      <c r="D439" s="6">
        <v>693982.973</v>
      </c>
      <c r="E439" s="2" t="s">
        <v>41</v>
      </c>
      <c r="F439" s="1">
        <v>26</v>
      </c>
      <c r="G439" s="2" t="s">
        <v>31</v>
      </c>
      <c r="J439"/>
      <c r="K439" s="19"/>
      <c r="L439" s="21"/>
      <c r="M439" s="27"/>
      <c r="N439" s="19"/>
      <c r="O439" s="21"/>
      <c r="P439" s="7">
        <v>0.35</v>
      </c>
      <c r="Q439" s="7">
        <f>Table2[[#This Row],[Elevation
PILE TOP]]-Table2[[#This Row],[LENGTH(m.)
(Actual)]]</f>
        <v>0.35</v>
      </c>
      <c r="R439" s="2"/>
      <c r="S439" s="7">
        <f>Table2[[#This Row],[N]]+Table2[[#This Row],[Pile 
Deviation 
N (m)]]</f>
        <v>1511709.169</v>
      </c>
      <c r="T439" s="7">
        <f>Table2[[#This Row],[E]]+Table2[[#This Row],[Pile 
Deviation 
E (m)]]</f>
        <v>693982.973</v>
      </c>
      <c r="W439" s="7">
        <v>-0.15</v>
      </c>
      <c r="X439" s="2" t="s">
        <v>42</v>
      </c>
      <c r="AA439" s="9">
        <v>46223</v>
      </c>
    </row>
    <row r="440" spans="1:27" hidden="1" x14ac:dyDescent="0.65">
      <c r="A440">
        <v>438</v>
      </c>
      <c r="B440" t="s">
        <v>29</v>
      </c>
      <c r="C440" s="6">
        <v>1511707.2560000001</v>
      </c>
      <c r="D440" s="6">
        <v>693981.70299999998</v>
      </c>
      <c r="E440" s="2" t="s">
        <v>41</v>
      </c>
      <c r="F440" s="1">
        <v>26</v>
      </c>
      <c r="G440" s="2" t="s">
        <v>31</v>
      </c>
      <c r="J440"/>
      <c r="K440" s="19"/>
      <c r="L440" s="21"/>
      <c r="M440" s="27"/>
      <c r="N440" s="19"/>
      <c r="O440" s="21"/>
      <c r="P440" s="7">
        <v>0.35</v>
      </c>
      <c r="Q440" s="7">
        <f>Table2[[#This Row],[Elevation
PILE TOP]]-Table2[[#This Row],[LENGTH(m.)
(Actual)]]</f>
        <v>0.35</v>
      </c>
      <c r="R440" s="2"/>
      <c r="S440" s="7">
        <f>Table2[[#This Row],[N]]+Table2[[#This Row],[Pile 
Deviation 
N (m)]]</f>
        <v>1511707.2560000001</v>
      </c>
      <c r="T440" s="7">
        <f>Table2[[#This Row],[E]]+Table2[[#This Row],[Pile 
Deviation 
E (m)]]</f>
        <v>693981.70299999998</v>
      </c>
      <c r="W440" s="7">
        <v>-0.15</v>
      </c>
      <c r="X440" s="2" t="s">
        <v>42</v>
      </c>
      <c r="AA440" s="9">
        <v>46224</v>
      </c>
    </row>
    <row r="441" spans="1:27" ht="13.95" hidden="1" customHeight="1" x14ac:dyDescent="0.65">
      <c r="A441">
        <v>439</v>
      </c>
      <c r="B441" t="s">
        <v>29</v>
      </c>
      <c r="C441" s="6">
        <v>1511706.801</v>
      </c>
      <c r="D441" s="6">
        <v>693979.45200000005</v>
      </c>
      <c r="E441" s="2" t="s">
        <v>41</v>
      </c>
      <c r="F441" s="1">
        <v>26</v>
      </c>
      <c r="G441" s="2" t="s">
        <v>31</v>
      </c>
      <c r="J441"/>
      <c r="K441" s="19"/>
      <c r="L441" s="21"/>
      <c r="M441" s="27"/>
      <c r="N441" s="19"/>
      <c r="O441" s="21"/>
      <c r="P441" s="7">
        <v>0.35</v>
      </c>
      <c r="Q441" s="7">
        <f>Table2[[#This Row],[Elevation
PILE TOP]]-Table2[[#This Row],[LENGTH(m.)
(Actual)]]</f>
        <v>0.35</v>
      </c>
      <c r="R441" s="2"/>
      <c r="S441" s="7">
        <f>Table2[[#This Row],[N]]+Table2[[#This Row],[Pile 
Deviation 
N (m)]]</f>
        <v>1511706.801</v>
      </c>
      <c r="T441" s="7">
        <f>Table2[[#This Row],[E]]+Table2[[#This Row],[Pile 
Deviation 
E (m)]]</f>
        <v>693979.45200000005</v>
      </c>
      <c r="W441" s="7">
        <v>-0.15</v>
      </c>
      <c r="X441" s="2" t="s">
        <v>42</v>
      </c>
      <c r="AA441" s="9">
        <v>46224</v>
      </c>
    </row>
    <row r="442" spans="1:27" hidden="1" x14ac:dyDescent="0.65">
      <c r="A442">
        <v>440</v>
      </c>
      <c r="B442" t="s">
        <v>29</v>
      </c>
      <c r="C442" s="6">
        <v>1511708.071</v>
      </c>
      <c r="D442" s="6">
        <v>693977.54</v>
      </c>
      <c r="E442" s="2" t="s">
        <v>41</v>
      </c>
      <c r="F442" s="1">
        <v>26</v>
      </c>
      <c r="G442" s="2" t="s">
        <v>31</v>
      </c>
      <c r="J442"/>
      <c r="K442" s="19"/>
      <c r="L442" s="21"/>
      <c r="M442" s="27"/>
      <c r="N442" s="19"/>
      <c r="O442" s="21"/>
      <c r="P442" s="7">
        <v>0.35</v>
      </c>
      <c r="Q442" s="7">
        <f>Table2[[#This Row],[Elevation
PILE TOP]]-Table2[[#This Row],[LENGTH(m.)
(Actual)]]</f>
        <v>0.35</v>
      </c>
      <c r="R442" s="2"/>
      <c r="S442" s="7">
        <f>Table2[[#This Row],[N]]+Table2[[#This Row],[Pile 
Deviation 
N (m)]]</f>
        <v>1511708.071</v>
      </c>
      <c r="T442" s="7">
        <f>Table2[[#This Row],[E]]+Table2[[#This Row],[Pile 
Deviation 
E (m)]]</f>
        <v>693977.54</v>
      </c>
      <c r="W442" s="7">
        <v>-0.15</v>
      </c>
      <c r="X442" s="2" t="s">
        <v>42</v>
      </c>
      <c r="AA442" s="9">
        <v>46225</v>
      </c>
    </row>
    <row r="443" spans="1:27" ht="13.95" hidden="1" customHeight="1" x14ac:dyDescent="0.65">
      <c r="A443">
        <v>441</v>
      </c>
      <c r="B443" t="s">
        <v>29</v>
      </c>
      <c r="C443" s="6">
        <v>1511709.757</v>
      </c>
      <c r="D443" s="6">
        <v>693980.11899999995</v>
      </c>
      <c r="E443" s="2" t="s">
        <v>35</v>
      </c>
      <c r="F443" s="1">
        <v>24</v>
      </c>
      <c r="G443" s="2" t="s">
        <v>31</v>
      </c>
      <c r="J443"/>
      <c r="K443" s="19"/>
      <c r="L443" s="21"/>
      <c r="M443" s="27"/>
      <c r="N443" s="19"/>
      <c r="O443" s="21"/>
      <c r="P443" s="7">
        <v>0.28999999999999998</v>
      </c>
      <c r="Q443" s="7">
        <f>Table2[[#This Row],[Elevation
PILE TOP]]-Table2[[#This Row],[LENGTH(m.)
(Actual)]]</f>
        <v>0.28999999999999998</v>
      </c>
      <c r="R443" s="2"/>
      <c r="S443" s="7">
        <f>Table2[[#This Row],[N]]+Table2[[#This Row],[Pile 
Deviation 
N (m)]]</f>
        <v>1511709.757</v>
      </c>
      <c r="T443" s="7">
        <f>Table2[[#This Row],[E]]+Table2[[#This Row],[Pile 
Deviation 
E (m)]]</f>
        <v>693980.11899999995</v>
      </c>
      <c r="W443" s="7">
        <v>0.28999999999999998</v>
      </c>
      <c r="X443" s="2" t="s">
        <v>40</v>
      </c>
      <c r="AA443" s="9">
        <v>46224</v>
      </c>
    </row>
    <row r="444" spans="1:27" hidden="1" x14ac:dyDescent="0.65">
      <c r="A444">
        <v>442</v>
      </c>
      <c r="B444" t="s">
        <v>29</v>
      </c>
      <c r="C444" s="6">
        <v>1511710.43</v>
      </c>
      <c r="D444" s="6">
        <v>693983.45200000005</v>
      </c>
      <c r="E444" s="2" t="s">
        <v>35</v>
      </c>
      <c r="F444" s="1">
        <v>24</v>
      </c>
      <c r="G444" s="2" t="s">
        <v>31</v>
      </c>
      <c r="J444"/>
      <c r="K444" s="19"/>
      <c r="L444" s="21"/>
      <c r="M444" s="27"/>
      <c r="N444" s="19"/>
      <c r="O444" s="21"/>
      <c r="P444" s="7">
        <v>0.28999999999999998</v>
      </c>
      <c r="Q444" s="7">
        <f>Table2[[#This Row],[Elevation
PILE TOP]]-Table2[[#This Row],[LENGTH(m.)
(Actual)]]</f>
        <v>0.28999999999999998</v>
      </c>
      <c r="R444" s="2"/>
      <c r="S444" s="7">
        <f>Table2[[#This Row],[N]]+Table2[[#This Row],[Pile 
Deviation 
N (m)]]</f>
        <v>1511710.43</v>
      </c>
      <c r="T444" s="7">
        <f>Table2[[#This Row],[E]]+Table2[[#This Row],[Pile 
Deviation 
E (m)]]</f>
        <v>693983.45200000005</v>
      </c>
      <c r="W444" s="7">
        <v>0.28999999999999998</v>
      </c>
      <c r="X444" s="2" t="s">
        <v>40</v>
      </c>
      <c r="AA444" s="9">
        <v>46223</v>
      </c>
    </row>
    <row r="445" spans="1:27" ht="13.95" hidden="1" customHeight="1" x14ac:dyDescent="0.65">
      <c r="A445">
        <v>443</v>
      </c>
      <c r="B445" t="s">
        <v>29</v>
      </c>
      <c r="C445" s="6">
        <v>1511711.6680000001</v>
      </c>
      <c r="D445" s="6">
        <v>693983.74899999995</v>
      </c>
      <c r="E445" s="2" t="s">
        <v>41</v>
      </c>
      <c r="F445" s="1">
        <v>26</v>
      </c>
      <c r="G445" s="2" t="s">
        <v>31</v>
      </c>
      <c r="J445"/>
      <c r="K445" s="19"/>
      <c r="L445" s="21"/>
      <c r="M445" s="27"/>
      <c r="N445" s="19"/>
      <c r="O445" s="21"/>
      <c r="P445" s="7">
        <v>0.35</v>
      </c>
      <c r="Q445" s="7">
        <f>Table2[[#This Row],[Elevation
PILE TOP]]-Table2[[#This Row],[LENGTH(m.)
(Actual)]]</f>
        <v>0.35</v>
      </c>
      <c r="R445" s="2"/>
      <c r="S445" s="7">
        <f>Table2[[#This Row],[N]]+Table2[[#This Row],[Pile 
Deviation 
N (m)]]</f>
        <v>1511711.6680000001</v>
      </c>
      <c r="T445" s="7">
        <f>Table2[[#This Row],[E]]+Table2[[#This Row],[Pile 
Deviation 
E (m)]]</f>
        <v>693983.74899999995</v>
      </c>
      <c r="W445" s="7">
        <v>-0.15</v>
      </c>
      <c r="X445" s="2" t="s">
        <v>42</v>
      </c>
      <c r="AA445" s="9">
        <v>46223</v>
      </c>
    </row>
    <row r="446" spans="1:27" hidden="1" x14ac:dyDescent="0.65">
      <c r="A446">
        <v>444</v>
      </c>
      <c r="B446" t="s">
        <v>29</v>
      </c>
      <c r="C446" s="6">
        <v>1511713.581</v>
      </c>
      <c r="D446" s="6">
        <v>693985.02</v>
      </c>
      <c r="E446" s="2" t="s">
        <v>41</v>
      </c>
      <c r="F446" s="1">
        <v>26</v>
      </c>
      <c r="G446" s="2" t="s">
        <v>31</v>
      </c>
      <c r="J446"/>
      <c r="K446" s="19"/>
      <c r="L446" s="21"/>
      <c r="M446" s="27"/>
      <c r="N446" s="19"/>
      <c r="O446" s="21"/>
      <c r="P446" s="7">
        <v>0.35</v>
      </c>
      <c r="Q446" s="7">
        <f>Table2[[#This Row],[Elevation
PILE TOP]]-Table2[[#This Row],[LENGTH(m.)
(Actual)]]</f>
        <v>0.35</v>
      </c>
      <c r="R446" s="2"/>
      <c r="S446" s="7">
        <f>Table2[[#This Row],[N]]+Table2[[#This Row],[Pile 
Deviation 
N (m)]]</f>
        <v>1511713.581</v>
      </c>
      <c r="T446" s="7">
        <f>Table2[[#This Row],[E]]+Table2[[#This Row],[Pile 
Deviation 
E (m)]]</f>
        <v>693985.02</v>
      </c>
      <c r="W446" s="7">
        <v>-0.15</v>
      </c>
      <c r="X446" s="2" t="s">
        <v>42</v>
      </c>
      <c r="AA446" s="9">
        <v>46223</v>
      </c>
    </row>
    <row r="447" spans="1:27" ht="13.95" hidden="1" customHeight="1" x14ac:dyDescent="0.65">
      <c r="A447">
        <v>445</v>
      </c>
      <c r="B447" t="s">
        <v>29</v>
      </c>
      <c r="C447" s="6">
        <v>1511714.0349999999</v>
      </c>
      <c r="D447" s="6">
        <v>693987.27</v>
      </c>
      <c r="E447" s="2" t="s">
        <v>41</v>
      </c>
      <c r="F447" s="1">
        <v>26</v>
      </c>
      <c r="G447" s="2" t="s">
        <v>31</v>
      </c>
      <c r="J447"/>
      <c r="K447" s="19"/>
      <c r="L447" s="21"/>
      <c r="M447" s="27"/>
      <c r="N447" s="19"/>
      <c r="O447" s="21"/>
      <c r="P447" s="7">
        <v>0.35</v>
      </c>
      <c r="Q447" s="7">
        <f>Table2[[#This Row],[Elevation
PILE TOP]]-Table2[[#This Row],[LENGTH(m.)
(Actual)]]</f>
        <v>0.35</v>
      </c>
      <c r="R447" s="2"/>
      <c r="S447" s="7">
        <f>Table2[[#This Row],[N]]+Table2[[#This Row],[Pile 
Deviation 
N (m)]]</f>
        <v>1511714.0349999999</v>
      </c>
      <c r="T447" s="7">
        <f>Table2[[#This Row],[E]]+Table2[[#This Row],[Pile 
Deviation 
E (m)]]</f>
        <v>693987.27</v>
      </c>
      <c r="W447" s="7">
        <v>-0.15</v>
      </c>
      <c r="X447" s="2" t="s">
        <v>42</v>
      </c>
      <c r="AA447" s="9">
        <v>46221</v>
      </c>
    </row>
    <row r="448" spans="1:27" hidden="1" x14ac:dyDescent="0.65">
      <c r="A448">
        <v>446</v>
      </c>
      <c r="B448" t="s">
        <v>29</v>
      </c>
      <c r="C448" s="6">
        <v>1511712.7649999999</v>
      </c>
      <c r="D448" s="6">
        <v>693989.18299999996</v>
      </c>
      <c r="E448" s="2" t="s">
        <v>41</v>
      </c>
      <c r="F448" s="1">
        <v>26</v>
      </c>
      <c r="G448" s="2" t="s">
        <v>31</v>
      </c>
      <c r="J448"/>
      <c r="K448" s="19"/>
      <c r="L448" s="21"/>
      <c r="M448" s="27"/>
      <c r="N448" s="19"/>
      <c r="O448" s="21"/>
      <c r="P448" s="7">
        <v>0.35</v>
      </c>
      <c r="Q448" s="7">
        <f>Table2[[#This Row],[Elevation
PILE TOP]]-Table2[[#This Row],[LENGTH(m.)
(Actual)]]</f>
        <v>0.35</v>
      </c>
      <c r="R448" s="2"/>
      <c r="S448" s="7">
        <f>Table2[[#This Row],[N]]+Table2[[#This Row],[Pile 
Deviation 
N (m)]]</f>
        <v>1511712.7649999999</v>
      </c>
      <c r="T448" s="7">
        <f>Table2[[#This Row],[E]]+Table2[[#This Row],[Pile 
Deviation 
E (m)]]</f>
        <v>693989.18299999996</v>
      </c>
      <c r="W448" s="7">
        <v>-0.15</v>
      </c>
      <c r="X448" s="2" t="s">
        <v>42</v>
      </c>
      <c r="AA448" s="9">
        <v>46221</v>
      </c>
    </row>
    <row r="449" spans="1:27" ht="13.95" hidden="1" customHeight="1" x14ac:dyDescent="0.65">
      <c r="A449">
        <v>447</v>
      </c>
      <c r="B449" t="s">
        <v>29</v>
      </c>
      <c r="C449" s="6">
        <v>1511710.5149999999</v>
      </c>
      <c r="D449" s="6">
        <v>693989.63800000004</v>
      </c>
      <c r="E449" s="2" t="s">
        <v>41</v>
      </c>
      <c r="F449" s="1">
        <v>26</v>
      </c>
      <c r="G449" s="2" t="s">
        <v>31</v>
      </c>
      <c r="J449"/>
      <c r="K449" s="19"/>
      <c r="L449" s="21"/>
      <c r="M449" s="27"/>
      <c r="N449" s="19"/>
      <c r="O449" s="21"/>
      <c r="P449" s="7">
        <v>0.35</v>
      </c>
      <c r="Q449" s="7">
        <f>Table2[[#This Row],[Elevation
PILE TOP]]-Table2[[#This Row],[LENGTH(m.)
(Actual)]]</f>
        <v>0.35</v>
      </c>
      <c r="R449" s="2"/>
      <c r="S449" s="7">
        <f>Table2[[#This Row],[N]]+Table2[[#This Row],[Pile 
Deviation 
N (m)]]</f>
        <v>1511710.5149999999</v>
      </c>
      <c r="T449" s="7">
        <f>Table2[[#This Row],[E]]+Table2[[#This Row],[Pile 
Deviation 
E (m)]]</f>
        <v>693989.63800000004</v>
      </c>
      <c r="W449" s="7">
        <v>-0.15</v>
      </c>
      <c r="X449" s="2" t="s">
        <v>42</v>
      </c>
      <c r="AA449" s="9">
        <v>46221</v>
      </c>
    </row>
    <row r="450" spans="1:27" hidden="1" x14ac:dyDescent="0.65">
      <c r="A450">
        <v>448</v>
      </c>
      <c r="B450" t="s">
        <v>29</v>
      </c>
      <c r="C450" s="6">
        <v>1511708.602</v>
      </c>
      <c r="D450" s="6">
        <v>693988.36699999997</v>
      </c>
      <c r="E450" s="2" t="s">
        <v>41</v>
      </c>
      <c r="F450" s="1">
        <v>26</v>
      </c>
      <c r="G450" s="2" t="s">
        <v>31</v>
      </c>
      <c r="J450"/>
      <c r="K450" s="19"/>
      <c r="L450" s="21"/>
      <c r="M450" s="27"/>
      <c r="N450" s="19"/>
      <c r="O450" s="21"/>
      <c r="P450" s="7">
        <v>0.35</v>
      </c>
      <c r="Q450" s="7">
        <f>Table2[[#This Row],[Elevation
PILE TOP]]-Table2[[#This Row],[LENGTH(m.)
(Actual)]]</f>
        <v>0.35</v>
      </c>
      <c r="R450" s="2"/>
      <c r="S450" s="7">
        <f>Table2[[#This Row],[N]]+Table2[[#This Row],[Pile 
Deviation 
N (m)]]</f>
        <v>1511708.602</v>
      </c>
      <c r="T450" s="7">
        <f>Table2[[#This Row],[E]]+Table2[[#This Row],[Pile 
Deviation 
E (m)]]</f>
        <v>693988.36699999997</v>
      </c>
      <c r="W450" s="7">
        <v>-0.15</v>
      </c>
      <c r="X450" s="2" t="s">
        <v>42</v>
      </c>
      <c r="AA450" s="9">
        <v>46221</v>
      </c>
    </row>
    <row r="451" spans="1:27" ht="13.95" hidden="1" customHeight="1" x14ac:dyDescent="0.65">
      <c r="A451">
        <v>449</v>
      </c>
      <c r="B451" t="s">
        <v>29</v>
      </c>
      <c r="C451" s="6">
        <v>1511708.1470000001</v>
      </c>
      <c r="D451" s="6">
        <v>693986.11699999997</v>
      </c>
      <c r="E451" s="2" t="s">
        <v>41</v>
      </c>
      <c r="F451" s="1">
        <v>26</v>
      </c>
      <c r="G451" s="2" t="s">
        <v>31</v>
      </c>
      <c r="J451"/>
      <c r="K451" s="19"/>
      <c r="L451" s="21"/>
      <c r="M451" s="27"/>
      <c r="N451" s="19"/>
      <c r="O451" s="21"/>
      <c r="P451" s="7">
        <v>0.35</v>
      </c>
      <c r="Q451" s="7">
        <f>Table2[[#This Row],[Elevation
PILE TOP]]-Table2[[#This Row],[LENGTH(m.)
(Actual)]]</f>
        <v>0.35</v>
      </c>
      <c r="R451" s="2"/>
      <c r="S451" s="7">
        <f>Table2[[#This Row],[N]]+Table2[[#This Row],[Pile 
Deviation 
N (m)]]</f>
        <v>1511708.1470000001</v>
      </c>
      <c r="T451" s="7">
        <f>Table2[[#This Row],[E]]+Table2[[#This Row],[Pile 
Deviation 
E (m)]]</f>
        <v>693986.11699999997</v>
      </c>
      <c r="W451" s="7">
        <v>-0.15</v>
      </c>
      <c r="X451" s="2" t="s">
        <v>42</v>
      </c>
      <c r="AA451" s="9">
        <v>46223</v>
      </c>
    </row>
    <row r="452" spans="1:27" hidden="1" x14ac:dyDescent="0.65">
      <c r="A452">
        <v>450</v>
      </c>
      <c r="B452" t="s">
        <v>29</v>
      </c>
      <c r="C452" s="6">
        <v>1511709.4169999999</v>
      </c>
      <c r="D452" s="6">
        <v>693984.20400000003</v>
      </c>
      <c r="E452" s="2" t="s">
        <v>41</v>
      </c>
      <c r="F452" s="1">
        <v>26</v>
      </c>
      <c r="G452" s="2" t="s">
        <v>31</v>
      </c>
      <c r="J452"/>
      <c r="K452" s="19"/>
      <c r="L452" s="21"/>
      <c r="M452" s="27"/>
      <c r="N452" s="19"/>
      <c r="O452" s="21"/>
      <c r="P452" s="7">
        <v>0.35</v>
      </c>
      <c r="Q452" s="7">
        <f>Table2[[#This Row],[Elevation
PILE TOP]]-Table2[[#This Row],[LENGTH(m.)
(Actual)]]</f>
        <v>0.35</v>
      </c>
      <c r="R452" s="2"/>
      <c r="S452" s="7">
        <f>Table2[[#This Row],[N]]+Table2[[#This Row],[Pile 
Deviation 
N (m)]]</f>
        <v>1511709.4169999999</v>
      </c>
      <c r="T452" s="7">
        <f>Table2[[#This Row],[E]]+Table2[[#This Row],[Pile 
Deviation 
E (m)]]</f>
        <v>693984.20400000003</v>
      </c>
      <c r="W452" s="7">
        <v>-0.15</v>
      </c>
      <c r="X452" s="2" t="s">
        <v>42</v>
      </c>
      <c r="AA452" s="9">
        <v>46223</v>
      </c>
    </row>
    <row r="453" spans="1:27" ht="13.95" hidden="1" customHeight="1" x14ac:dyDescent="0.65">
      <c r="A453">
        <v>451</v>
      </c>
      <c r="B453" t="s">
        <v>29</v>
      </c>
      <c r="C453" s="6">
        <v>1511711.1029999999</v>
      </c>
      <c r="D453" s="6">
        <v>693986.78500000003</v>
      </c>
      <c r="E453" s="2" t="s">
        <v>35</v>
      </c>
      <c r="F453" s="1">
        <v>24</v>
      </c>
      <c r="G453" s="2" t="s">
        <v>31</v>
      </c>
      <c r="J453"/>
      <c r="K453" s="19"/>
      <c r="L453" s="21"/>
      <c r="M453" s="27"/>
      <c r="N453" s="19"/>
      <c r="O453" s="21"/>
      <c r="P453" s="7">
        <v>0.28999999999999998</v>
      </c>
      <c r="Q453" s="7">
        <f>Table2[[#This Row],[Elevation
PILE TOP]]-Table2[[#This Row],[LENGTH(m.)
(Actual)]]</f>
        <v>0.28999999999999998</v>
      </c>
      <c r="R453" s="2"/>
      <c r="S453" s="7">
        <f>Table2[[#This Row],[N]]+Table2[[#This Row],[Pile 
Deviation 
N (m)]]</f>
        <v>1511711.1029999999</v>
      </c>
      <c r="T453" s="7">
        <f>Table2[[#This Row],[E]]+Table2[[#This Row],[Pile 
Deviation 
E (m)]]</f>
        <v>693986.78500000003</v>
      </c>
      <c r="W453" s="7">
        <v>0.28999999999999998</v>
      </c>
      <c r="X453" s="2" t="s">
        <v>40</v>
      </c>
      <c r="AA453" s="9">
        <v>46221</v>
      </c>
    </row>
    <row r="454" spans="1:27" hidden="1" x14ac:dyDescent="0.65">
      <c r="A454">
        <v>452</v>
      </c>
      <c r="B454" t="s">
        <v>29</v>
      </c>
      <c r="C454" s="6">
        <v>1511711.6969999999</v>
      </c>
      <c r="D454" s="6">
        <v>693989.72499999998</v>
      </c>
      <c r="E454" s="2" t="s">
        <v>35</v>
      </c>
      <c r="F454" s="1">
        <v>24</v>
      </c>
      <c r="G454" s="2" t="s">
        <v>31</v>
      </c>
      <c r="J454"/>
      <c r="K454" s="19"/>
      <c r="L454" s="21"/>
      <c r="M454" s="27"/>
      <c r="N454" s="19"/>
      <c r="O454" s="21"/>
      <c r="P454" s="7">
        <v>0.28999999999999998</v>
      </c>
      <c r="Q454" s="7">
        <f>Table2[[#This Row],[Elevation
PILE TOP]]-Table2[[#This Row],[LENGTH(m.)
(Actual)]]</f>
        <v>0.28999999999999998</v>
      </c>
      <c r="R454" s="2"/>
      <c r="S454" s="7">
        <f>Table2[[#This Row],[N]]+Table2[[#This Row],[Pile 
Deviation 
N (m)]]</f>
        <v>1511711.6969999999</v>
      </c>
      <c r="T454" s="7">
        <f>Table2[[#This Row],[E]]+Table2[[#This Row],[Pile 
Deviation 
E (m)]]</f>
        <v>693989.72499999998</v>
      </c>
      <c r="W454" s="7">
        <v>0.28999999999999998</v>
      </c>
      <c r="X454" s="2" t="s">
        <v>40</v>
      </c>
      <c r="AA454" s="9">
        <v>46221</v>
      </c>
    </row>
    <row r="455" spans="1:27" ht="13.95" hidden="1" customHeight="1" x14ac:dyDescent="0.65">
      <c r="A455">
        <v>453</v>
      </c>
      <c r="B455" t="s">
        <v>29</v>
      </c>
      <c r="C455" s="6">
        <v>1511712.291</v>
      </c>
      <c r="D455" s="6">
        <v>693992.66599999997</v>
      </c>
      <c r="E455" s="2" t="s">
        <v>35</v>
      </c>
      <c r="F455" s="1">
        <v>24</v>
      </c>
      <c r="G455" s="2" t="s">
        <v>31</v>
      </c>
      <c r="J455"/>
      <c r="K455" s="19"/>
      <c r="L455" s="21"/>
      <c r="M455" s="27"/>
      <c r="N455" s="19"/>
      <c r="O455" s="21"/>
      <c r="P455" s="7">
        <v>0.28999999999999998</v>
      </c>
      <c r="Q455" s="7">
        <f>Table2[[#This Row],[Elevation
PILE TOP]]-Table2[[#This Row],[LENGTH(m.)
(Actual)]]</f>
        <v>0.28999999999999998</v>
      </c>
      <c r="R455" s="2"/>
      <c r="S455" s="7">
        <f>Table2[[#This Row],[N]]+Table2[[#This Row],[Pile 
Deviation 
N (m)]]</f>
        <v>1511712.291</v>
      </c>
      <c r="T455" s="7">
        <f>Table2[[#This Row],[E]]+Table2[[#This Row],[Pile 
Deviation 
E (m)]]</f>
        <v>693992.66599999997</v>
      </c>
      <c r="W455" s="7">
        <v>0.28999999999999998</v>
      </c>
      <c r="X455" s="2" t="s">
        <v>40</v>
      </c>
      <c r="AA455" s="9">
        <v>46220</v>
      </c>
    </row>
    <row r="456" spans="1:27" hidden="1" x14ac:dyDescent="0.65">
      <c r="A456">
        <v>454</v>
      </c>
      <c r="B456" t="s">
        <v>29</v>
      </c>
      <c r="C456" s="6">
        <v>1511713.47</v>
      </c>
      <c r="D456" s="6">
        <v>693992.67</v>
      </c>
      <c r="E456" s="2" t="s">
        <v>41</v>
      </c>
      <c r="F456" s="1">
        <v>26</v>
      </c>
      <c r="G456" s="2" t="s">
        <v>31</v>
      </c>
      <c r="J456"/>
      <c r="K456" s="19"/>
      <c r="L456" s="21"/>
      <c r="M456" s="27"/>
      <c r="N456" s="19"/>
      <c r="O456" s="21"/>
      <c r="P456" s="7">
        <v>0.35</v>
      </c>
      <c r="Q456" s="7">
        <f>Table2[[#This Row],[Elevation
PILE TOP]]-Table2[[#This Row],[LENGTH(m.)
(Actual)]]</f>
        <v>0.35</v>
      </c>
      <c r="R456" s="2"/>
      <c r="S456" s="7">
        <f>Table2[[#This Row],[N]]+Table2[[#This Row],[Pile 
Deviation 
N (m)]]</f>
        <v>1511713.47</v>
      </c>
      <c r="T456" s="7">
        <f>Table2[[#This Row],[E]]+Table2[[#This Row],[Pile 
Deviation 
E (m)]]</f>
        <v>693992.67</v>
      </c>
      <c r="W456" s="7">
        <v>-0.15</v>
      </c>
      <c r="X456" s="2" t="s">
        <v>42</v>
      </c>
      <c r="AA456" s="9">
        <v>46220</v>
      </c>
    </row>
    <row r="457" spans="1:27" ht="13.95" hidden="1" customHeight="1" x14ac:dyDescent="0.65">
      <c r="A457">
        <v>455</v>
      </c>
      <c r="B457" t="s">
        <v>29</v>
      </c>
      <c r="C457" s="6">
        <v>1511715.382</v>
      </c>
      <c r="D457" s="6">
        <v>693993.94</v>
      </c>
      <c r="E457" s="2" t="s">
        <v>41</v>
      </c>
      <c r="F457" s="1">
        <v>26</v>
      </c>
      <c r="G457" s="2" t="s">
        <v>31</v>
      </c>
      <c r="J457"/>
      <c r="K457" s="19"/>
      <c r="L457" s="21"/>
      <c r="M457" s="27"/>
      <c r="N457" s="19"/>
      <c r="O457" s="21"/>
      <c r="P457" s="7">
        <v>0.35</v>
      </c>
      <c r="Q457" s="7">
        <f>Table2[[#This Row],[Elevation
PILE TOP]]-Table2[[#This Row],[LENGTH(m.)
(Actual)]]</f>
        <v>0.35</v>
      </c>
      <c r="R457" s="2"/>
      <c r="S457" s="7">
        <f>Table2[[#This Row],[N]]+Table2[[#This Row],[Pile 
Deviation 
N (m)]]</f>
        <v>1511715.382</v>
      </c>
      <c r="T457" s="7">
        <f>Table2[[#This Row],[E]]+Table2[[#This Row],[Pile 
Deviation 
E (m)]]</f>
        <v>693993.94</v>
      </c>
      <c r="W457" s="7">
        <v>-0.15</v>
      </c>
      <c r="X457" s="2" t="s">
        <v>42</v>
      </c>
      <c r="AA457" s="9">
        <v>46219</v>
      </c>
    </row>
    <row r="458" spans="1:27" hidden="1" x14ac:dyDescent="0.65">
      <c r="A458">
        <v>456</v>
      </c>
      <c r="B458" t="s">
        <v>29</v>
      </c>
      <c r="C458" s="6">
        <v>1511715.8370000001</v>
      </c>
      <c r="D458" s="6">
        <v>693996.19099999999</v>
      </c>
      <c r="E458" s="2" t="s">
        <v>41</v>
      </c>
      <c r="F458" s="1">
        <v>26</v>
      </c>
      <c r="G458" s="2" t="s">
        <v>31</v>
      </c>
      <c r="J458"/>
      <c r="K458" s="19"/>
      <c r="L458" s="21"/>
      <c r="M458" s="27"/>
      <c r="N458" s="19"/>
      <c r="O458" s="21"/>
      <c r="P458" s="7">
        <v>0.35</v>
      </c>
      <c r="Q458" s="7">
        <f>Table2[[#This Row],[Elevation
PILE TOP]]-Table2[[#This Row],[LENGTH(m.)
(Actual)]]</f>
        <v>0.35</v>
      </c>
      <c r="R458" s="2"/>
      <c r="S458" s="7">
        <f>Table2[[#This Row],[N]]+Table2[[#This Row],[Pile 
Deviation 
N (m)]]</f>
        <v>1511715.8370000001</v>
      </c>
      <c r="T458" s="7">
        <f>Table2[[#This Row],[E]]+Table2[[#This Row],[Pile 
Deviation 
E (m)]]</f>
        <v>693996.19099999999</v>
      </c>
      <c r="W458" s="7">
        <v>-0.15</v>
      </c>
      <c r="X458" s="2" t="s">
        <v>42</v>
      </c>
      <c r="AA458" s="9">
        <v>46219</v>
      </c>
    </row>
    <row r="459" spans="1:27" ht="13.95" hidden="1" customHeight="1" x14ac:dyDescent="0.65">
      <c r="A459">
        <v>457</v>
      </c>
      <c r="B459" t="s">
        <v>29</v>
      </c>
      <c r="C459" s="6">
        <v>1511714.567</v>
      </c>
      <c r="D459" s="6">
        <v>693998.103</v>
      </c>
      <c r="E459" s="2" t="s">
        <v>41</v>
      </c>
      <c r="F459" s="1">
        <v>26</v>
      </c>
      <c r="G459" s="2" t="s">
        <v>31</v>
      </c>
      <c r="J459"/>
      <c r="K459" s="19"/>
      <c r="L459" s="21"/>
      <c r="M459" s="27"/>
      <c r="N459" s="19"/>
      <c r="O459" s="21"/>
      <c r="P459" s="7">
        <v>0.35</v>
      </c>
      <c r="Q459" s="7">
        <f>Table2[[#This Row],[Elevation
PILE TOP]]-Table2[[#This Row],[LENGTH(m.)
(Actual)]]</f>
        <v>0.35</v>
      </c>
      <c r="R459" s="2"/>
      <c r="S459" s="7">
        <f>Table2[[#This Row],[N]]+Table2[[#This Row],[Pile 
Deviation 
N (m)]]</f>
        <v>1511714.567</v>
      </c>
      <c r="T459" s="7">
        <f>Table2[[#This Row],[E]]+Table2[[#This Row],[Pile 
Deviation 
E (m)]]</f>
        <v>693998.103</v>
      </c>
      <c r="W459" s="7">
        <v>-0.15</v>
      </c>
      <c r="X459" s="2" t="s">
        <v>42</v>
      </c>
      <c r="AA459" s="9">
        <v>46219</v>
      </c>
    </row>
    <row r="460" spans="1:27" hidden="1" x14ac:dyDescent="0.65">
      <c r="A460">
        <v>458</v>
      </c>
      <c r="B460" t="s">
        <v>29</v>
      </c>
      <c r="C460" s="6">
        <v>1511712.3160000001</v>
      </c>
      <c r="D460" s="6">
        <v>693998.55799999996</v>
      </c>
      <c r="E460" s="2" t="s">
        <v>41</v>
      </c>
      <c r="F460" s="1">
        <v>26</v>
      </c>
      <c r="G460" s="2" t="s">
        <v>31</v>
      </c>
      <c r="J460"/>
      <c r="K460" s="19"/>
      <c r="L460" s="21"/>
      <c r="M460" s="27"/>
      <c r="N460" s="19"/>
      <c r="O460" s="21"/>
      <c r="P460" s="7">
        <v>0.35</v>
      </c>
      <c r="Q460" s="7">
        <f>Table2[[#This Row],[Elevation
PILE TOP]]-Table2[[#This Row],[LENGTH(m.)
(Actual)]]</f>
        <v>0.35</v>
      </c>
      <c r="R460" s="2"/>
      <c r="S460" s="7">
        <f>Table2[[#This Row],[N]]+Table2[[#This Row],[Pile 
Deviation 
N (m)]]</f>
        <v>1511712.3160000001</v>
      </c>
      <c r="T460" s="7">
        <f>Table2[[#This Row],[E]]+Table2[[#This Row],[Pile 
Deviation 
E (m)]]</f>
        <v>693998.55799999996</v>
      </c>
      <c r="W460" s="7">
        <v>-0.15</v>
      </c>
      <c r="X460" s="2" t="s">
        <v>42</v>
      </c>
      <c r="AA460" s="9">
        <v>46219</v>
      </c>
    </row>
    <row r="461" spans="1:27" ht="13.95" hidden="1" customHeight="1" x14ac:dyDescent="0.65">
      <c r="A461">
        <v>459</v>
      </c>
      <c r="B461" t="s">
        <v>29</v>
      </c>
      <c r="C461" s="6">
        <v>1511710.4029999999</v>
      </c>
      <c r="D461" s="6">
        <v>693997.28799999994</v>
      </c>
      <c r="E461" s="2" t="s">
        <v>41</v>
      </c>
      <c r="F461" s="1">
        <v>26</v>
      </c>
      <c r="G461" s="2" t="s">
        <v>31</v>
      </c>
      <c r="J461"/>
      <c r="K461" s="19"/>
      <c r="L461" s="21"/>
      <c r="M461" s="27"/>
      <c r="N461" s="19"/>
      <c r="O461" s="21"/>
      <c r="P461" s="7">
        <v>0.35</v>
      </c>
      <c r="Q461" s="7">
        <f>Table2[[#This Row],[Elevation
PILE TOP]]-Table2[[#This Row],[LENGTH(m.)
(Actual)]]</f>
        <v>0.35</v>
      </c>
      <c r="R461" s="2"/>
      <c r="S461" s="7">
        <f>Table2[[#This Row],[N]]+Table2[[#This Row],[Pile 
Deviation 
N (m)]]</f>
        <v>1511710.4029999999</v>
      </c>
      <c r="T461" s="7">
        <f>Table2[[#This Row],[E]]+Table2[[#This Row],[Pile 
Deviation 
E (m)]]</f>
        <v>693997.28799999994</v>
      </c>
      <c r="W461" s="7">
        <v>-0.15</v>
      </c>
      <c r="X461" s="2" t="s">
        <v>42</v>
      </c>
      <c r="AA461" s="9">
        <v>46219</v>
      </c>
    </row>
    <row r="462" spans="1:27" hidden="1" x14ac:dyDescent="0.65">
      <c r="A462">
        <v>460</v>
      </c>
      <c r="B462" t="s">
        <v>29</v>
      </c>
      <c r="C462" s="6">
        <v>1511709.949</v>
      </c>
      <c r="D462" s="6">
        <v>693995.03700000001</v>
      </c>
      <c r="E462" s="2" t="s">
        <v>41</v>
      </c>
      <c r="F462" s="1">
        <v>26</v>
      </c>
      <c r="G462" s="2" t="s">
        <v>31</v>
      </c>
      <c r="J462"/>
      <c r="K462" s="19"/>
      <c r="L462" s="21"/>
      <c r="M462" s="27"/>
      <c r="N462" s="19"/>
      <c r="O462" s="21"/>
      <c r="P462" s="7">
        <v>0.35</v>
      </c>
      <c r="Q462" s="7">
        <f>Table2[[#This Row],[Elevation
PILE TOP]]-Table2[[#This Row],[LENGTH(m.)
(Actual)]]</f>
        <v>0.35</v>
      </c>
      <c r="R462" s="2"/>
      <c r="S462" s="7">
        <f>Table2[[#This Row],[N]]+Table2[[#This Row],[Pile 
Deviation 
N (m)]]</f>
        <v>1511709.949</v>
      </c>
      <c r="T462" s="7">
        <f>Table2[[#This Row],[E]]+Table2[[#This Row],[Pile 
Deviation 
E (m)]]</f>
        <v>693995.03700000001</v>
      </c>
      <c r="W462" s="7">
        <v>-0.15</v>
      </c>
      <c r="X462" s="2" t="s">
        <v>42</v>
      </c>
      <c r="AA462" s="9">
        <v>46219</v>
      </c>
    </row>
    <row r="463" spans="1:27" ht="13.95" hidden="1" customHeight="1" x14ac:dyDescent="0.65">
      <c r="A463">
        <v>461</v>
      </c>
      <c r="B463" t="s">
        <v>29</v>
      </c>
      <c r="C463" s="6">
        <v>1511711.219</v>
      </c>
      <c r="D463" s="6">
        <v>693993.12399999995</v>
      </c>
      <c r="E463" s="2" t="s">
        <v>41</v>
      </c>
      <c r="F463" s="1">
        <v>26</v>
      </c>
      <c r="G463" s="2" t="s">
        <v>31</v>
      </c>
      <c r="J463"/>
      <c r="K463" s="19"/>
      <c r="L463" s="21"/>
      <c r="M463" s="27"/>
      <c r="N463" s="19"/>
      <c r="O463" s="21"/>
      <c r="P463" s="7">
        <v>0.35</v>
      </c>
      <c r="Q463" s="7">
        <f>Table2[[#This Row],[Elevation
PILE TOP]]-Table2[[#This Row],[LENGTH(m.)
(Actual)]]</f>
        <v>0.35</v>
      </c>
      <c r="R463" s="2"/>
      <c r="S463" s="7">
        <f>Table2[[#This Row],[N]]+Table2[[#This Row],[Pile 
Deviation 
N (m)]]</f>
        <v>1511711.219</v>
      </c>
      <c r="T463" s="7">
        <f>Table2[[#This Row],[E]]+Table2[[#This Row],[Pile 
Deviation 
E (m)]]</f>
        <v>693993.12399999995</v>
      </c>
      <c r="W463" s="7">
        <v>-0.15</v>
      </c>
      <c r="X463" s="2" t="s">
        <v>42</v>
      </c>
      <c r="AA463" s="9">
        <v>46220</v>
      </c>
    </row>
    <row r="464" spans="1:27" hidden="1" x14ac:dyDescent="0.65">
      <c r="A464">
        <v>462</v>
      </c>
      <c r="B464" t="s">
        <v>29</v>
      </c>
      <c r="C464" s="6">
        <v>1511712.8840000001</v>
      </c>
      <c r="D464" s="6">
        <v>693995.60699999996</v>
      </c>
      <c r="E464" s="2" t="s">
        <v>35</v>
      </c>
      <c r="F464" s="1">
        <v>24</v>
      </c>
      <c r="G464" s="2" t="s">
        <v>31</v>
      </c>
      <c r="J464"/>
      <c r="K464" s="19"/>
      <c r="L464" s="21"/>
      <c r="M464" s="27"/>
      <c r="N464" s="19"/>
      <c r="O464" s="21"/>
      <c r="P464" s="7">
        <v>0.28999999999999998</v>
      </c>
      <c r="Q464" s="7">
        <f>Table2[[#This Row],[Elevation
PILE TOP]]-Table2[[#This Row],[LENGTH(m.)
(Actual)]]</f>
        <v>0.28999999999999998</v>
      </c>
      <c r="R464" s="2"/>
      <c r="S464" s="7">
        <f>Table2[[#This Row],[N]]+Table2[[#This Row],[Pile 
Deviation 
N (m)]]</f>
        <v>1511712.8840000001</v>
      </c>
      <c r="T464" s="7">
        <f>Table2[[#This Row],[E]]+Table2[[#This Row],[Pile 
Deviation 
E (m)]]</f>
        <v>693995.60699999996</v>
      </c>
      <c r="W464" s="7">
        <v>0.28999999999999998</v>
      </c>
      <c r="X464" s="2" t="s">
        <v>40</v>
      </c>
      <c r="AA464" s="9">
        <v>46219</v>
      </c>
    </row>
    <row r="465" spans="1:27" ht="13.95" hidden="1" customHeight="1" x14ac:dyDescent="0.65">
      <c r="A465">
        <v>463</v>
      </c>
      <c r="B465" t="s">
        <v>29</v>
      </c>
      <c r="C465" s="6">
        <v>1511713.557</v>
      </c>
      <c r="D465" s="6">
        <v>693998.93900000001</v>
      </c>
      <c r="E465" s="2" t="s">
        <v>35</v>
      </c>
      <c r="F465" s="1">
        <v>24</v>
      </c>
      <c r="G465" s="2" t="s">
        <v>31</v>
      </c>
      <c r="J465"/>
      <c r="K465" s="19"/>
      <c r="L465" s="21"/>
      <c r="M465" s="27"/>
      <c r="N465" s="19"/>
      <c r="O465" s="21"/>
      <c r="P465" s="7">
        <v>0.28999999999999998</v>
      </c>
      <c r="Q465" s="7">
        <f>Table2[[#This Row],[Elevation
PILE TOP]]-Table2[[#This Row],[LENGTH(m.)
(Actual)]]</f>
        <v>0.28999999999999998</v>
      </c>
      <c r="R465" s="2"/>
      <c r="S465" s="7">
        <f>Table2[[#This Row],[N]]+Table2[[#This Row],[Pile 
Deviation 
N (m)]]</f>
        <v>1511713.557</v>
      </c>
      <c r="T465" s="7">
        <f>Table2[[#This Row],[E]]+Table2[[#This Row],[Pile 
Deviation 
E (m)]]</f>
        <v>693998.93900000001</v>
      </c>
      <c r="W465" s="7">
        <v>0.28999999999999998</v>
      </c>
      <c r="X465" s="2" t="s">
        <v>40</v>
      </c>
      <c r="AA465" s="9">
        <v>46209</v>
      </c>
    </row>
    <row r="466" spans="1:27" hidden="1" x14ac:dyDescent="0.65">
      <c r="A466">
        <v>464</v>
      </c>
      <c r="B466" t="s">
        <v>29</v>
      </c>
      <c r="C466" s="6">
        <v>1511714.2309999999</v>
      </c>
      <c r="D466" s="6">
        <v>694002.272</v>
      </c>
      <c r="E466" s="2" t="s">
        <v>35</v>
      </c>
      <c r="F466" s="1">
        <v>24</v>
      </c>
      <c r="G466" s="2" t="s">
        <v>31</v>
      </c>
      <c r="J466"/>
      <c r="K466" s="19"/>
      <c r="L466" s="21"/>
      <c r="M466" s="27"/>
      <c r="N466" s="19"/>
      <c r="O466" s="21"/>
      <c r="P466" s="7">
        <v>0.28999999999999998</v>
      </c>
      <c r="Q466" s="7">
        <f>Table2[[#This Row],[Elevation
PILE TOP]]-Table2[[#This Row],[LENGTH(m.)
(Actual)]]</f>
        <v>0.28999999999999998</v>
      </c>
      <c r="R466" s="2"/>
      <c r="S466" s="7">
        <f>Table2[[#This Row],[N]]+Table2[[#This Row],[Pile 
Deviation 
N (m)]]</f>
        <v>1511714.2309999999</v>
      </c>
      <c r="T466" s="7">
        <f>Table2[[#This Row],[E]]+Table2[[#This Row],[Pile 
Deviation 
E (m)]]</f>
        <v>694002.272</v>
      </c>
      <c r="W466" s="7">
        <v>0.28999999999999998</v>
      </c>
      <c r="X466" s="2" t="s">
        <v>40</v>
      </c>
      <c r="AA466" s="9">
        <v>46209</v>
      </c>
    </row>
    <row r="467" spans="1:27" ht="13.95" hidden="1" customHeight="1" x14ac:dyDescent="0.65">
      <c r="A467">
        <v>465</v>
      </c>
      <c r="B467" t="s">
        <v>29</v>
      </c>
      <c r="C467" s="6">
        <v>1511716.62</v>
      </c>
      <c r="D467" s="6">
        <v>694002.98800000001</v>
      </c>
      <c r="E467" s="2" t="s">
        <v>30</v>
      </c>
      <c r="F467" s="1">
        <v>24</v>
      </c>
      <c r="G467" s="2" t="s">
        <v>31</v>
      </c>
      <c r="J467"/>
      <c r="K467" s="19"/>
      <c r="L467" s="21"/>
      <c r="M467" s="27"/>
      <c r="N467" s="19"/>
      <c r="O467" s="21"/>
      <c r="P467" s="7">
        <v>-1.25</v>
      </c>
      <c r="Q467" s="7">
        <f>Table2[[#This Row],[Elevation
PILE TOP]]-Table2[[#This Row],[LENGTH(m.)
(Actual)]]</f>
        <v>-1.25</v>
      </c>
      <c r="R467" s="2"/>
      <c r="S467" s="7">
        <f>Table2[[#This Row],[N]]+Table2[[#This Row],[Pile 
Deviation 
N (m)]]</f>
        <v>1511716.62</v>
      </c>
      <c r="T467" s="7">
        <f>Table2[[#This Row],[E]]+Table2[[#This Row],[Pile 
Deviation 
E (m)]]</f>
        <v>694002.98800000001</v>
      </c>
      <c r="W467" s="7">
        <v>-1.75</v>
      </c>
      <c r="X467" s="2" t="s">
        <v>47</v>
      </c>
      <c r="AA467" s="9">
        <v>46209</v>
      </c>
    </row>
    <row r="468" spans="1:27" hidden="1" x14ac:dyDescent="0.65">
      <c r="A468">
        <v>466</v>
      </c>
      <c r="B468" t="s">
        <v>29</v>
      </c>
      <c r="C468" s="6">
        <v>1511717.0349999999</v>
      </c>
      <c r="D468" s="6">
        <v>694005.04599999997</v>
      </c>
      <c r="E468" s="2" t="s">
        <v>30</v>
      </c>
      <c r="F468" s="1">
        <v>24</v>
      </c>
      <c r="G468" s="2" t="s">
        <v>31</v>
      </c>
      <c r="J468"/>
      <c r="K468" s="19"/>
      <c r="L468" s="21"/>
      <c r="M468" s="27"/>
      <c r="N468" s="19"/>
      <c r="O468" s="21"/>
      <c r="P468" s="7">
        <v>-1.25</v>
      </c>
      <c r="Q468" s="7">
        <f>Table2[[#This Row],[Elevation
PILE TOP]]-Table2[[#This Row],[LENGTH(m.)
(Actual)]]</f>
        <v>-1.25</v>
      </c>
      <c r="R468" s="2"/>
      <c r="S468" s="7">
        <f>Table2[[#This Row],[N]]+Table2[[#This Row],[Pile 
Deviation 
N (m)]]</f>
        <v>1511717.0349999999</v>
      </c>
      <c r="T468" s="7">
        <f>Table2[[#This Row],[E]]+Table2[[#This Row],[Pile 
Deviation 
E (m)]]</f>
        <v>694005.04599999997</v>
      </c>
      <c r="W468" s="7">
        <v>-1.75</v>
      </c>
      <c r="X468" s="2" t="s">
        <v>47</v>
      </c>
      <c r="AA468" s="9">
        <v>46209</v>
      </c>
    </row>
    <row r="469" spans="1:27" ht="13.95" hidden="1" customHeight="1" x14ac:dyDescent="0.65">
      <c r="A469">
        <v>467</v>
      </c>
      <c r="B469" t="s">
        <v>29</v>
      </c>
      <c r="C469" s="6">
        <v>1511714.561</v>
      </c>
      <c r="D469" s="6">
        <v>694003.40399999998</v>
      </c>
      <c r="E469" s="2" t="s">
        <v>30</v>
      </c>
      <c r="F469" s="1">
        <v>24</v>
      </c>
      <c r="G469" s="2" t="s">
        <v>31</v>
      </c>
      <c r="J469"/>
      <c r="K469" s="19"/>
      <c r="L469" s="21"/>
      <c r="M469" s="27"/>
      <c r="N469" s="19"/>
      <c r="O469" s="21"/>
      <c r="P469" s="7">
        <v>-1.25</v>
      </c>
      <c r="Q469" s="7">
        <f>Table2[[#This Row],[Elevation
PILE TOP]]-Table2[[#This Row],[LENGTH(m.)
(Actual)]]</f>
        <v>-1.25</v>
      </c>
      <c r="R469" s="2"/>
      <c r="S469" s="7">
        <f>Table2[[#This Row],[N]]+Table2[[#This Row],[Pile 
Deviation 
N (m)]]</f>
        <v>1511714.561</v>
      </c>
      <c r="T469" s="7">
        <f>Table2[[#This Row],[E]]+Table2[[#This Row],[Pile 
Deviation 
E (m)]]</f>
        <v>694003.40399999998</v>
      </c>
      <c r="W469" s="7">
        <v>-1.75</v>
      </c>
      <c r="X469" s="2" t="s">
        <v>47</v>
      </c>
      <c r="AA469" s="9">
        <v>46209</v>
      </c>
    </row>
    <row r="470" spans="1:27" hidden="1" x14ac:dyDescent="0.65">
      <c r="A470">
        <v>468</v>
      </c>
      <c r="B470" t="s">
        <v>29</v>
      </c>
      <c r="C470" s="6">
        <v>1511714.977</v>
      </c>
      <c r="D470" s="6">
        <v>694005.46200000006</v>
      </c>
      <c r="E470" s="2" t="s">
        <v>30</v>
      </c>
      <c r="F470" s="1">
        <v>24</v>
      </c>
      <c r="G470" s="2" t="s">
        <v>31</v>
      </c>
      <c r="J470"/>
      <c r="K470" s="19"/>
      <c r="L470" s="21"/>
      <c r="M470" s="27"/>
      <c r="N470" s="19"/>
      <c r="O470" s="21"/>
      <c r="P470" s="7">
        <v>-1.25</v>
      </c>
      <c r="Q470" s="7">
        <f>Table2[[#This Row],[Elevation
PILE TOP]]-Table2[[#This Row],[LENGTH(m.)
(Actual)]]</f>
        <v>-1.25</v>
      </c>
      <c r="R470" s="2"/>
      <c r="S470" s="7">
        <f>Table2[[#This Row],[N]]+Table2[[#This Row],[Pile 
Deviation 
N (m)]]</f>
        <v>1511714.977</v>
      </c>
      <c r="T470" s="7">
        <f>Table2[[#This Row],[E]]+Table2[[#This Row],[Pile 
Deviation 
E (m)]]</f>
        <v>694005.46200000006</v>
      </c>
      <c r="W470" s="7">
        <v>-1.75</v>
      </c>
      <c r="X470" s="2" t="s">
        <v>47</v>
      </c>
      <c r="AA470" s="9">
        <v>46209</v>
      </c>
    </row>
    <row r="471" spans="1:27" ht="13.95" hidden="1" customHeight="1" x14ac:dyDescent="0.65">
      <c r="A471">
        <v>469</v>
      </c>
      <c r="B471" t="s">
        <v>29</v>
      </c>
      <c r="C471" s="6">
        <v>1511717.8659999999</v>
      </c>
      <c r="D471" s="6">
        <v>694006.12899999996</v>
      </c>
      <c r="E471" s="2" t="s">
        <v>30</v>
      </c>
      <c r="F471" s="1">
        <v>24</v>
      </c>
      <c r="G471" s="2" t="s">
        <v>31</v>
      </c>
      <c r="J471"/>
      <c r="K471" s="19"/>
      <c r="L471" s="21"/>
      <c r="M471" s="27"/>
      <c r="N471" s="19"/>
      <c r="O471" s="21"/>
      <c r="P471" s="7">
        <v>-0.17499999999999999</v>
      </c>
      <c r="Q471" s="7">
        <f>Table2[[#This Row],[Elevation
PILE TOP]]-Table2[[#This Row],[LENGTH(m.)
(Actual)]]</f>
        <v>-0.17499999999999999</v>
      </c>
      <c r="R471" s="2"/>
      <c r="S471" s="7">
        <f>Table2[[#This Row],[N]]+Table2[[#This Row],[Pile 
Deviation 
N (m)]]</f>
        <v>1511717.8659999999</v>
      </c>
      <c r="T471" s="7">
        <f>Table2[[#This Row],[E]]+Table2[[#This Row],[Pile 
Deviation 
E (m)]]</f>
        <v>694006.12899999996</v>
      </c>
      <c r="W471" s="7">
        <v>-0.67500000000000004</v>
      </c>
      <c r="X471" s="2" t="s">
        <v>33</v>
      </c>
      <c r="AA471" s="9">
        <v>46210</v>
      </c>
    </row>
    <row r="472" spans="1:27" hidden="1" x14ac:dyDescent="0.65">
      <c r="A472">
        <v>470</v>
      </c>
      <c r="B472" t="s">
        <v>29</v>
      </c>
      <c r="C472" s="6">
        <v>1511718.044</v>
      </c>
      <c r="D472" s="6">
        <v>694007.01100000006</v>
      </c>
      <c r="E472" s="2" t="s">
        <v>30</v>
      </c>
      <c r="F472" s="1">
        <v>24</v>
      </c>
      <c r="G472" s="2" t="s">
        <v>31</v>
      </c>
      <c r="J472"/>
      <c r="K472" s="19"/>
      <c r="L472" s="21"/>
      <c r="M472" s="27"/>
      <c r="N472" s="19"/>
      <c r="O472" s="21"/>
      <c r="P472" s="7">
        <v>-0.17499999999999999</v>
      </c>
      <c r="Q472" s="7">
        <f>Table2[[#This Row],[Elevation
PILE TOP]]-Table2[[#This Row],[LENGTH(m.)
(Actual)]]</f>
        <v>-0.17499999999999999</v>
      </c>
      <c r="R472" s="2"/>
      <c r="S472" s="7">
        <f>Table2[[#This Row],[N]]+Table2[[#This Row],[Pile 
Deviation 
N (m)]]</f>
        <v>1511718.044</v>
      </c>
      <c r="T472" s="7">
        <f>Table2[[#This Row],[E]]+Table2[[#This Row],[Pile 
Deviation 
E (m)]]</f>
        <v>694007.01100000006</v>
      </c>
      <c r="W472" s="7">
        <v>-0.67500000000000004</v>
      </c>
      <c r="X472" s="2" t="s">
        <v>33</v>
      </c>
      <c r="AA472" s="9">
        <v>46210</v>
      </c>
    </row>
    <row r="473" spans="1:27" ht="13.95" hidden="1" customHeight="1" x14ac:dyDescent="0.65">
      <c r="A473">
        <v>471</v>
      </c>
      <c r="B473" t="s">
        <v>29</v>
      </c>
      <c r="C473" s="6">
        <v>1511717.0819999999</v>
      </c>
      <c r="D473" s="6">
        <v>694006.28700000001</v>
      </c>
      <c r="E473" s="2" t="s">
        <v>30</v>
      </c>
      <c r="F473" s="1">
        <v>24</v>
      </c>
      <c r="G473" s="2" t="s">
        <v>31</v>
      </c>
      <c r="J473"/>
      <c r="K473" s="19"/>
      <c r="L473" s="21"/>
      <c r="M473" s="27"/>
      <c r="N473" s="19"/>
      <c r="O473" s="21"/>
      <c r="P473" s="7">
        <v>-0.17499999999999999</v>
      </c>
      <c r="Q473" s="7">
        <f>Table2[[#This Row],[Elevation
PILE TOP]]-Table2[[#This Row],[LENGTH(m.)
(Actual)]]</f>
        <v>-0.17499999999999999</v>
      </c>
      <c r="R473" s="2"/>
      <c r="S473" s="7">
        <f>Table2[[#This Row],[N]]+Table2[[#This Row],[Pile 
Deviation 
N (m)]]</f>
        <v>1511717.0819999999</v>
      </c>
      <c r="T473" s="7">
        <f>Table2[[#This Row],[E]]+Table2[[#This Row],[Pile 
Deviation 
E (m)]]</f>
        <v>694006.28700000001</v>
      </c>
      <c r="W473" s="7">
        <v>-0.67500000000000004</v>
      </c>
      <c r="X473" s="2" t="s">
        <v>33</v>
      </c>
      <c r="AA473" s="9">
        <v>46210</v>
      </c>
    </row>
    <row r="474" spans="1:27" hidden="1" x14ac:dyDescent="0.65">
      <c r="A474">
        <v>472</v>
      </c>
      <c r="B474" t="s">
        <v>29</v>
      </c>
      <c r="C474" s="6">
        <v>1511717.26</v>
      </c>
      <c r="D474" s="6">
        <v>694007.16899999999</v>
      </c>
      <c r="E474" s="2" t="s">
        <v>30</v>
      </c>
      <c r="F474" s="1">
        <v>24</v>
      </c>
      <c r="G474" s="2" t="s">
        <v>31</v>
      </c>
      <c r="J474"/>
      <c r="K474" s="19"/>
      <c r="L474" s="21"/>
      <c r="M474" s="27"/>
      <c r="N474" s="19"/>
      <c r="O474" s="21"/>
      <c r="P474" s="7">
        <v>-0.17499999999999999</v>
      </c>
      <c r="Q474" s="7">
        <f>Table2[[#This Row],[Elevation
PILE TOP]]-Table2[[#This Row],[LENGTH(m.)
(Actual)]]</f>
        <v>-0.17499999999999999</v>
      </c>
      <c r="R474" s="2"/>
      <c r="S474" s="7">
        <f>Table2[[#This Row],[N]]+Table2[[#This Row],[Pile 
Deviation 
N (m)]]</f>
        <v>1511717.26</v>
      </c>
      <c r="T474" s="7">
        <f>Table2[[#This Row],[E]]+Table2[[#This Row],[Pile 
Deviation 
E (m)]]</f>
        <v>694007.16899999999</v>
      </c>
      <c r="W474" s="7">
        <v>-0.67500000000000004</v>
      </c>
      <c r="X474" s="2" t="s">
        <v>33</v>
      </c>
      <c r="AA474" s="9">
        <v>46210</v>
      </c>
    </row>
    <row r="475" spans="1:27" ht="13.95" hidden="1" customHeight="1" x14ac:dyDescent="0.65">
      <c r="A475">
        <v>473</v>
      </c>
      <c r="B475" t="s">
        <v>29</v>
      </c>
      <c r="C475" s="6">
        <v>1511713.983</v>
      </c>
      <c r="D475" s="6">
        <v>694006.09699999995</v>
      </c>
      <c r="E475" s="2" t="s">
        <v>35</v>
      </c>
      <c r="F475" s="1">
        <v>24</v>
      </c>
      <c r="G475" s="2" t="s">
        <v>31</v>
      </c>
      <c r="J475"/>
      <c r="K475" s="19"/>
      <c r="L475" s="21"/>
      <c r="M475" s="27"/>
      <c r="N475" s="19"/>
      <c r="O475" s="21"/>
      <c r="P475" s="7">
        <v>0.28999999999999998</v>
      </c>
      <c r="Q475" s="7">
        <f>Table2[[#This Row],[Elevation
PILE TOP]]-Table2[[#This Row],[LENGTH(m.)
(Actual)]]</f>
        <v>0.28999999999999998</v>
      </c>
      <c r="R475" s="2"/>
      <c r="S475" s="7">
        <f>Table2[[#This Row],[N]]+Table2[[#This Row],[Pile 
Deviation 
N (m)]]</f>
        <v>1511713.983</v>
      </c>
      <c r="T475" s="7">
        <f>Table2[[#This Row],[E]]+Table2[[#This Row],[Pile 
Deviation 
E (m)]]</f>
        <v>694006.09699999995</v>
      </c>
      <c r="W475" s="7">
        <v>0.28999999999999998</v>
      </c>
      <c r="X475" s="2" t="s">
        <v>40</v>
      </c>
      <c r="AA475" s="9">
        <v>46207</v>
      </c>
    </row>
    <row r="476" spans="1:27" hidden="1" x14ac:dyDescent="0.65">
      <c r="A476">
        <v>474</v>
      </c>
      <c r="B476" t="s">
        <v>29</v>
      </c>
      <c r="C476" s="6">
        <v>1511705.13</v>
      </c>
      <c r="D476" s="6">
        <v>693970.34199999995</v>
      </c>
      <c r="E476" s="2" t="s">
        <v>35</v>
      </c>
      <c r="F476" s="1">
        <v>24</v>
      </c>
      <c r="G476" s="2" t="s">
        <v>31</v>
      </c>
      <c r="J476"/>
      <c r="K476" s="19"/>
      <c r="L476" s="21"/>
      <c r="M476" s="27"/>
      <c r="N476" s="19"/>
      <c r="O476" s="21"/>
      <c r="P476" s="7">
        <v>0.28999999999999998</v>
      </c>
      <c r="Q476" s="7">
        <f>Table2[[#This Row],[Elevation
PILE TOP]]-Table2[[#This Row],[LENGTH(m.)
(Actual)]]</f>
        <v>0.28999999999999998</v>
      </c>
      <c r="R476" s="2"/>
      <c r="S476" s="7">
        <f>Table2[[#This Row],[N]]+Table2[[#This Row],[Pile 
Deviation 
N (m)]]</f>
        <v>1511705.13</v>
      </c>
      <c r="T476" s="7">
        <f>Table2[[#This Row],[E]]+Table2[[#This Row],[Pile 
Deviation 
E (m)]]</f>
        <v>693970.34199999995</v>
      </c>
      <c r="W476" s="7">
        <v>0.28999999999999998</v>
      </c>
      <c r="X476" s="2" t="s">
        <v>40</v>
      </c>
      <c r="AA476" s="9">
        <v>46230</v>
      </c>
    </row>
    <row r="477" spans="1:27" ht="13.95" hidden="1" customHeight="1" x14ac:dyDescent="0.65">
      <c r="A477">
        <v>475</v>
      </c>
      <c r="B477" t="s">
        <v>29</v>
      </c>
      <c r="C477" s="6">
        <v>1511705.862</v>
      </c>
      <c r="D477" s="6">
        <v>693973.96799999999</v>
      </c>
      <c r="E477" s="2" t="s">
        <v>35</v>
      </c>
      <c r="F477" s="1">
        <v>24</v>
      </c>
      <c r="G477" s="2" t="s">
        <v>31</v>
      </c>
      <c r="J477"/>
      <c r="K477" s="19"/>
      <c r="L477" s="21"/>
      <c r="M477" s="27"/>
      <c r="N477" s="19"/>
      <c r="O477" s="21"/>
      <c r="P477" s="7">
        <v>0.28999999999999998</v>
      </c>
      <c r="Q477" s="7">
        <f>Table2[[#This Row],[Elevation
PILE TOP]]-Table2[[#This Row],[LENGTH(m.)
(Actual)]]</f>
        <v>0.28999999999999998</v>
      </c>
      <c r="R477" s="2"/>
      <c r="S477" s="7">
        <f>Table2[[#This Row],[N]]+Table2[[#This Row],[Pile 
Deviation 
N (m)]]</f>
        <v>1511705.862</v>
      </c>
      <c r="T477" s="7">
        <f>Table2[[#This Row],[E]]+Table2[[#This Row],[Pile 
Deviation 
E (m)]]</f>
        <v>693973.96799999999</v>
      </c>
      <c r="W477" s="7">
        <v>0.28999999999999998</v>
      </c>
      <c r="X477" s="2" t="s">
        <v>40</v>
      </c>
      <c r="AA477" s="9">
        <v>46226</v>
      </c>
    </row>
    <row r="478" spans="1:27" hidden="1" x14ac:dyDescent="0.65">
      <c r="A478">
        <v>476</v>
      </c>
      <c r="B478" t="s">
        <v>29</v>
      </c>
      <c r="C478" s="6">
        <v>1511706.5349999999</v>
      </c>
      <c r="D478" s="6">
        <v>693977.30099999998</v>
      </c>
      <c r="E478" s="2" t="s">
        <v>35</v>
      </c>
      <c r="F478" s="1">
        <v>24</v>
      </c>
      <c r="G478" s="2" t="s">
        <v>31</v>
      </c>
      <c r="J478"/>
      <c r="K478" s="19"/>
      <c r="L478" s="21"/>
      <c r="M478" s="27"/>
      <c r="N478" s="19"/>
      <c r="O478" s="21"/>
      <c r="P478" s="7">
        <v>0.28999999999999998</v>
      </c>
      <c r="Q478" s="7">
        <f>Table2[[#This Row],[Elevation
PILE TOP]]-Table2[[#This Row],[LENGTH(m.)
(Actual)]]</f>
        <v>0.28999999999999998</v>
      </c>
      <c r="R478" s="2"/>
      <c r="S478" s="7">
        <f>Table2[[#This Row],[N]]+Table2[[#This Row],[Pile 
Deviation 
N (m)]]</f>
        <v>1511706.5349999999</v>
      </c>
      <c r="T478" s="7">
        <f>Table2[[#This Row],[E]]+Table2[[#This Row],[Pile 
Deviation 
E (m)]]</f>
        <v>693977.30099999998</v>
      </c>
      <c r="W478" s="7">
        <v>0.28999999999999998</v>
      </c>
      <c r="X478" s="2" t="s">
        <v>40</v>
      </c>
      <c r="AA478" s="9">
        <v>46225</v>
      </c>
    </row>
    <row r="479" spans="1:27" ht="13.95" hidden="1" customHeight="1" x14ac:dyDescent="0.65">
      <c r="A479">
        <v>477</v>
      </c>
      <c r="B479" t="s">
        <v>29</v>
      </c>
      <c r="C479" s="6">
        <v>1511707.2080000001</v>
      </c>
      <c r="D479" s="6">
        <v>693980.63399999996</v>
      </c>
      <c r="E479" s="2" t="s">
        <v>35</v>
      </c>
      <c r="F479" s="1">
        <v>24</v>
      </c>
      <c r="G479" s="2" t="s">
        <v>31</v>
      </c>
      <c r="J479"/>
      <c r="K479" s="19"/>
      <c r="L479" s="21"/>
      <c r="M479" s="27"/>
      <c r="N479" s="19"/>
      <c r="O479" s="21"/>
      <c r="P479" s="7">
        <v>0.28999999999999998</v>
      </c>
      <c r="Q479" s="7">
        <f>Table2[[#This Row],[Elevation
PILE TOP]]-Table2[[#This Row],[LENGTH(m.)
(Actual)]]</f>
        <v>0.28999999999999998</v>
      </c>
      <c r="R479" s="2"/>
      <c r="S479" s="7">
        <f>Table2[[#This Row],[N]]+Table2[[#This Row],[Pile 
Deviation 
N (m)]]</f>
        <v>1511707.2080000001</v>
      </c>
      <c r="T479" s="7">
        <f>Table2[[#This Row],[E]]+Table2[[#This Row],[Pile 
Deviation 
E (m)]]</f>
        <v>693980.63399999996</v>
      </c>
      <c r="W479" s="7">
        <v>0.28999999999999998</v>
      </c>
      <c r="X479" s="2" t="s">
        <v>40</v>
      </c>
      <c r="AA479" s="9">
        <v>46224</v>
      </c>
    </row>
    <row r="480" spans="1:27" hidden="1" x14ac:dyDescent="0.65">
      <c r="A480">
        <v>478</v>
      </c>
      <c r="B480" t="s">
        <v>29</v>
      </c>
      <c r="C480" s="6">
        <v>1511707.8810000001</v>
      </c>
      <c r="D480" s="6">
        <v>693983.96699999995</v>
      </c>
      <c r="E480" s="2" t="s">
        <v>35</v>
      </c>
      <c r="F480" s="1">
        <v>24</v>
      </c>
      <c r="G480" s="2" t="s">
        <v>31</v>
      </c>
      <c r="J480"/>
      <c r="K480" s="19"/>
      <c r="L480" s="21"/>
      <c r="M480" s="27"/>
      <c r="N480" s="19"/>
      <c r="O480" s="21"/>
      <c r="P480" s="7">
        <v>0.28999999999999998</v>
      </c>
      <c r="Q480" s="7">
        <f>Table2[[#This Row],[Elevation
PILE TOP]]-Table2[[#This Row],[LENGTH(m.)
(Actual)]]</f>
        <v>0.28999999999999998</v>
      </c>
      <c r="R480" s="2"/>
      <c r="S480" s="7">
        <f>Table2[[#This Row],[N]]+Table2[[#This Row],[Pile 
Deviation 
N (m)]]</f>
        <v>1511707.8810000001</v>
      </c>
      <c r="T480" s="7">
        <f>Table2[[#This Row],[E]]+Table2[[#This Row],[Pile 
Deviation 
E (m)]]</f>
        <v>693983.96699999995</v>
      </c>
      <c r="W480" s="7">
        <v>0.28999999999999998</v>
      </c>
      <c r="X480" s="2" t="s">
        <v>40</v>
      </c>
      <c r="AA480" s="9">
        <v>46223</v>
      </c>
    </row>
    <row r="481" spans="1:27" ht="13.95" hidden="1" customHeight="1" x14ac:dyDescent="0.65">
      <c r="A481">
        <v>479</v>
      </c>
      <c r="B481" t="s">
        <v>29</v>
      </c>
      <c r="C481" s="6">
        <v>1511708.554</v>
      </c>
      <c r="D481" s="6">
        <v>693987.299</v>
      </c>
      <c r="E481" s="2" t="s">
        <v>35</v>
      </c>
      <c r="F481" s="1">
        <v>24</v>
      </c>
      <c r="G481" s="2" t="s">
        <v>31</v>
      </c>
      <c r="J481"/>
      <c r="K481" s="19"/>
      <c r="L481" s="21"/>
      <c r="M481" s="27"/>
      <c r="N481" s="19"/>
      <c r="O481" s="21"/>
      <c r="P481" s="7">
        <v>0.28999999999999998</v>
      </c>
      <c r="Q481" s="7">
        <f>Table2[[#This Row],[Elevation
PILE TOP]]-Table2[[#This Row],[LENGTH(m.)
(Actual)]]</f>
        <v>0.28999999999999998</v>
      </c>
      <c r="R481" s="2"/>
      <c r="S481" s="7">
        <f>Table2[[#This Row],[N]]+Table2[[#This Row],[Pile 
Deviation 
N (m)]]</f>
        <v>1511708.554</v>
      </c>
      <c r="T481" s="7">
        <f>Table2[[#This Row],[E]]+Table2[[#This Row],[Pile 
Deviation 
E (m)]]</f>
        <v>693987.299</v>
      </c>
      <c r="W481" s="7">
        <v>0.28999999999999998</v>
      </c>
      <c r="X481" s="2" t="s">
        <v>40</v>
      </c>
      <c r="AA481" s="9">
        <v>46221</v>
      </c>
    </row>
    <row r="482" spans="1:27" hidden="1" x14ac:dyDescent="0.65">
      <c r="A482">
        <v>480</v>
      </c>
      <c r="B482" t="s">
        <v>29</v>
      </c>
      <c r="C482" s="6">
        <v>1511709.148</v>
      </c>
      <c r="D482" s="6">
        <v>693990.24</v>
      </c>
      <c r="E482" s="2" t="s">
        <v>35</v>
      </c>
      <c r="F482" s="1">
        <v>24</v>
      </c>
      <c r="G482" s="2" t="s">
        <v>31</v>
      </c>
      <c r="J482"/>
      <c r="K482" s="19"/>
      <c r="L482" s="21"/>
      <c r="M482" s="27"/>
      <c r="N482" s="19"/>
      <c r="O482" s="21"/>
      <c r="P482" s="7">
        <v>0.28999999999999998</v>
      </c>
      <c r="Q482" s="7">
        <f>Table2[[#This Row],[Elevation
PILE TOP]]-Table2[[#This Row],[LENGTH(m.)
(Actual)]]</f>
        <v>0.28999999999999998</v>
      </c>
      <c r="R482" s="2"/>
      <c r="S482" s="7">
        <f>Table2[[#This Row],[N]]+Table2[[#This Row],[Pile 
Deviation 
N (m)]]</f>
        <v>1511709.148</v>
      </c>
      <c r="T482" s="7">
        <f>Table2[[#This Row],[E]]+Table2[[#This Row],[Pile 
Deviation 
E (m)]]</f>
        <v>693990.24</v>
      </c>
      <c r="W482" s="7">
        <v>0.28999999999999998</v>
      </c>
      <c r="X482" s="2" t="s">
        <v>40</v>
      </c>
      <c r="AA482" s="9">
        <v>46221</v>
      </c>
    </row>
    <row r="483" spans="1:27" ht="13.95" hidden="1" customHeight="1" x14ac:dyDescent="0.65">
      <c r="A483">
        <v>481</v>
      </c>
      <c r="B483" t="s">
        <v>29</v>
      </c>
      <c r="C483" s="6">
        <v>1511709.7420000001</v>
      </c>
      <c r="D483" s="6">
        <v>693993.18099999998</v>
      </c>
      <c r="E483" s="2" t="s">
        <v>35</v>
      </c>
      <c r="F483" s="1">
        <v>24</v>
      </c>
      <c r="G483" s="2" t="s">
        <v>31</v>
      </c>
      <c r="J483"/>
      <c r="K483" s="19"/>
      <c r="L483" s="21"/>
      <c r="M483" s="27"/>
      <c r="N483" s="19"/>
      <c r="O483" s="21"/>
      <c r="P483" s="7">
        <v>0.28999999999999998</v>
      </c>
      <c r="Q483" s="7">
        <f>Table2[[#This Row],[Elevation
PILE TOP]]-Table2[[#This Row],[LENGTH(m.)
(Actual)]]</f>
        <v>0.28999999999999998</v>
      </c>
      <c r="R483" s="2"/>
      <c r="S483" s="7">
        <f>Table2[[#This Row],[N]]+Table2[[#This Row],[Pile 
Deviation 
N (m)]]</f>
        <v>1511709.7420000001</v>
      </c>
      <c r="T483" s="7">
        <f>Table2[[#This Row],[E]]+Table2[[#This Row],[Pile 
Deviation 
E (m)]]</f>
        <v>693993.18099999998</v>
      </c>
      <c r="W483" s="7">
        <v>0.28999999999999998</v>
      </c>
      <c r="X483" s="2" t="s">
        <v>40</v>
      </c>
      <c r="AA483" s="9">
        <v>46220</v>
      </c>
    </row>
    <row r="484" spans="1:27" hidden="1" x14ac:dyDescent="0.65">
      <c r="A484">
        <v>482</v>
      </c>
      <c r="B484" t="s">
        <v>29</v>
      </c>
      <c r="C484" s="6">
        <v>1511710.3359999999</v>
      </c>
      <c r="D484" s="6">
        <v>693996.12100000004</v>
      </c>
      <c r="E484" s="2" t="s">
        <v>35</v>
      </c>
      <c r="F484" s="1">
        <v>24</v>
      </c>
      <c r="G484" s="2" t="s">
        <v>31</v>
      </c>
      <c r="J484"/>
      <c r="K484" s="19"/>
      <c r="L484" s="21"/>
      <c r="M484" s="27"/>
      <c r="N484" s="19"/>
      <c r="O484" s="21"/>
      <c r="P484" s="7">
        <v>0.28999999999999998</v>
      </c>
      <c r="Q484" s="7">
        <f>Table2[[#This Row],[Elevation
PILE TOP]]-Table2[[#This Row],[LENGTH(m.)
(Actual)]]</f>
        <v>0.28999999999999998</v>
      </c>
      <c r="R484" s="2"/>
      <c r="S484" s="7">
        <f>Table2[[#This Row],[N]]+Table2[[#This Row],[Pile 
Deviation 
N (m)]]</f>
        <v>1511710.3359999999</v>
      </c>
      <c r="T484" s="7">
        <f>Table2[[#This Row],[E]]+Table2[[#This Row],[Pile 
Deviation 
E (m)]]</f>
        <v>693996.12100000004</v>
      </c>
      <c r="W484" s="7">
        <v>0.28999999999999998</v>
      </c>
      <c r="X484" s="2" t="s">
        <v>40</v>
      </c>
      <c r="AA484" s="9">
        <v>46219</v>
      </c>
    </row>
    <row r="485" spans="1:27" ht="13.95" hidden="1" customHeight="1" x14ac:dyDescent="0.65">
      <c r="A485">
        <v>483</v>
      </c>
      <c r="B485" t="s">
        <v>29</v>
      </c>
      <c r="C485" s="6">
        <v>1511711.0090000001</v>
      </c>
      <c r="D485" s="6">
        <v>693999.45400000003</v>
      </c>
      <c r="E485" s="2" t="s">
        <v>35</v>
      </c>
      <c r="F485" s="1">
        <v>24</v>
      </c>
      <c r="G485" s="2" t="s">
        <v>31</v>
      </c>
      <c r="J485"/>
      <c r="K485" s="19"/>
      <c r="L485" s="21"/>
      <c r="M485" s="27"/>
      <c r="N485" s="19"/>
      <c r="O485" s="21"/>
      <c r="P485" s="7">
        <v>0.28999999999999998</v>
      </c>
      <c r="Q485" s="7">
        <f>Table2[[#This Row],[Elevation
PILE TOP]]-Table2[[#This Row],[LENGTH(m.)
(Actual)]]</f>
        <v>0.28999999999999998</v>
      </c>
      <c r="R485" s="2"/>
      <c r="S485" s="7">
        <f>Table2[[#This Row],[N]]+Table2[[#This Row],[Pile 
Deviation 
N (m)]]</f>
        <v>1511711.0090000001</v>
      </c>
      <c r="T485" s="7">
        <f>Table2[[#This Row],[E]]+Table2[[#This Row],[Pile 
Deviation 
E (m)]]</f>
        <v>693999.45400000003</v>
      </c>
      <c r="W485" s="7">
        <v>0.28999999999999998</v>
      </c>
      <c r="X485" s="2" t="s">
        <v>40</v>
      </c>
      <c r="AA485" s="9">
        <v>46206</v>
      </c>
    </row>
    <row r="486" spans="1:27" hidden="1" x14ac:dyDescent="0.65">
      <c r="A486">
        <v>484</v>
      </c>
      <c r="B486" t="s">
        <v>29</v>
      </c>
      <c r="C486" s="6">
        <v>1511711.682</v>
      </c>
      <c r="D486" s="6">
        <v>694002.78700000001</v>
      </c>
      <c r="E486" s="2" t="s">
        <v>35</v>
      </c>
      <c r="F486" s="1">
        <v>24</v>
      </c>
      <c r="G486" s="2" t="s">
        <v>31</v>
      </c>
      <c r="J486"/>
      <c r="K486" s="19"/>
      <c r="L486" s="21"/>
      <c r="M486" s="27"/>
      <c r="N486" s="19"/>
      <c r="O486" s="21"/>
      <c r="P486" s="7">
        <v>0.28999999999999998</v>
      </c>
      <c r="Q486" s="7">
        <f>Table2[[#This Row],[Elevation
PILE TOP]]-Table2[[#This Row],[LENGTH(m.)
(Actual)]]</f>
        <v>0.28999999999999998</v>
      </c>
      <c r="R486" s="2"/>
      <c r="S486" s="7">
        <f>Table2[[#This Row],[N]]+Table2[[#This Row],[Pile 
Deviation 
N (m)]]</f>
        <v>1511711.682</v>
      </c>
      <c r="T486" s="7">
        <f>Table2[[#This Row],[E]]+Table2[[#This Row],[Pile 
Deviation 
E (m)]]</f>
        <v>694002.78700000001</v>
      </c>
      <c r="W486" s="7">
        <v>0.28999999999999998</v>
      </c>
      <c r="X486" s="2" t="s">
        <v>40</v>
      </c>
      <c r="AA486" s="9">
        <v>46206</v>
      </c>
    </row>
    <row r="487" spans="1:27" ht="13.95" hidden="1" customHeight="1" x14ac:dyDescent="0.65">
      <c r="A487">
        <v>485</v>
      </c>
      <c r="B487" t="s">
        <v>29</v>
      </c>
      <c r="C487" s="6">
        <v>1511712.4140000001</v>
      </c>
      <c r="D487" s="6">
        <v>694006.41299999994</v>
      </c>
      <c r="E487" s="2" t="s">
        <v>35</v>
      </c>
      <c r="F487" s="1">
        <v>24</v>
      </c>
      <c r="G487" s="2" t="s">
        <v>31</v>
      </c>
      <c r="J487"/>
      <c r="K487" s="19"/>
      <c r="L487" s="21"/>
      <c r="M487" s="27"/>
      <c r="N487" s="19"/>
      <c r="O487" s="21"/>
      <c r="P487" s="7">
        <v>0.28999999999999998</v>
      </c>
      <c r="Q487" s="7">
        <f>Table2[[#This Row],[Elevation
PILE TOP]]-Table2[[#This Row],[LENGTH(m.)
(Actual)]]</f>
        <v>0.28999999999999998</v>
      </c>
      <c r="R487" s="2"/>
      <c r="S487" s="7">
        <f>Table2[[#This Row],[N]]+Table2[[#This Row],[Pile 
Deviation 
N (m)]]</f>
        <v>1511712.4140000001</v>
      </c>
      <c r="T487" s="7">
        <f>Table2[[#This Row],[E]]+Table2[[#This Row],[Pile 
Deviation 
E (m)]]</f>
        <v>694006.41299999994</v>
      </c>
      <c r="W487" s="7">
        <v>0.28999999999999998</v>
      </c>
      <c r="X487" s="2" t="s">
        <v>40</v>
      </c>
      <c r="AA487" s="9">
        <v>46207</v>
      </c>
    </row>
    <row r="488" spans="1:27" hidden="1" x14ac:dyDescent="0.65">
      <c r="A488">
        <v>486</v>
      </c>
      <c r="B488" t="s">
        <v>29</v>
      </c>
      <c r="C488" s="6">
        <v>1511703.9010000001</v>
      </c>
      <c r="D488" s="6">
        <v>693968.804</v>
      </c>
      <c r="E488" s="2" t="s">
        <v>30</v>
      </c>
      <c r="F488" s="1">
        <v>24</v>
      </c>
      <c r="G488" s="2" t="s">
        <v>31</v>
      </c>
      <c r="J488"/>
      <c r="K488" s="19"/>
      <c r="L488" s="21"/>
      <c r="M488" s="27"/>
      <c r="N488" s="19"/>
      <c r="O488" s="21"/>
      <c r="P488" s="7">
        <v>-0.17499999999999999</v>
      </c>
      <c r="Q488" s="7">
        <f>Table2[[#This Row],[Elevation
PILE TOP]]-Table2[[#This Row],[LENGTH(m.)
(Actual)]]</f>
        <v>-0.17499999999999999</v>
      </c>
      <c r="R488" s="2"/>
      <c r="S488" s="7">
        <f>Table2[[#This Row],[N]]+Table2[[#This Row],[Pile 
Deviation 
N (m)]]</f>
        <v>1511703.9010000001</v>
      </c>
      <c r="T488" s="7">
        <f>Table2[[#This Row],[E]]+Table2[[#This Row],[Pile 
Deviation 
E (m)]]</f>
        <v>693968.804</v>
      </c>
      <c r="W488" s="7">
        <v>-0.67500000000000004</v>
      </c>
      <c r="X488" s="2" t="s">
        <v>33</v>
      </c>
      <c r="AA488" s="9">
        <v>46230</v>
      </c>
    </row>
    <row r="489" spans="1:27" ht="13.95" hidden="1" customHeight="1" x14ac:dyDescent="0.65">
      <c r="A489">
        <v>487</v>
      </c>
      <c r="B489" t="s">
        <v>29</v>
      </c>
      <c r="C489" s="6">
        <v>1511704.0589999999</v>
      </c>
      <c r="D489" s="6">
        <v>693969.58900000004</v>
      </c>
      <c r="E489" s="2" t="s">
        <v>30</v>
      </c>
      <c r="F489" s="1">
        <v>24</v>
      </c>
      <c r="G489" s="2" t="s">
        <v>31</v>
      </c>
      <c r="J489"/>
      <c r="K489" s="19"/>
      <c r="L489" s="21"/>
      <c r="M489" s="27"/>
      <c r="N489" s="19"/>
      <c r="O489" s="21"/>
      <c r="P489" s="7">
        <v>-0.17499999999999999</v>
      </c>
      <c r="Q489" s="7">
        <f>Table2[[#This Row],[Elevation
PILE TOP]]-Table2[[#This Row],[LENGTH(m.)
(Actual)]]</f>
        <v>-0.17499999999999999</v>
      </c>
      <c r="R489" s="2"/>
      <c r="S489" s="7">
        <f>Table2[[#This Row],[N]]+Table2[[#This Row],[Pile 
Deviation 
N (m)]]</f>
        <v>1511704.0589999999</v>
      </c>
      <c r="T489" s="7">
        <f>Table2[[#This Row],[E]]+Table2[[#This Row],[Pile 
Deviation 
E (m)]]</f>
        <v>693969.58900000004</v>
      </c>
      <c r="W489" s="7">
        <v>-0.67500000000000004</v>
      </c>
      <c r="X489" s="2" t="s">
        <v>33</v>
      </c>
      <c r="AA489" s="9">
        <v>46230</v>
      </c>
    </row>
    <row r="490" spans="1:27" hidden="1" x14ac:dyDescent="0.65">
      <c r="A490">
        <v>488</v>
      </c>
      <c r="B490" t="s">
        <v>29</v>
      </c>
      <c r="C490" s="6">
        <v>1511703.0190000001</v>
      </c>
      <c r="D490" s="6">
        <v>693968.98300000001</v>
      </c>
      <c r="E490" s="2" t="s">
        <v>30</v>
      </c>
      <c r="F490" s="1">
        <v>24</v>
      </c>
      <c r="G490" s="2" t="s">
        <v>31</v>
      </c>
      <c r="J490"/>
      <c r="K490" s="19"/>
      <c r="L490" s="21"/>
      <c r="M490" s="27"/>
      <c r="N490" s="19"/>
      <c r="O490" s="21"/>
      <c r="P490" s="7">
        <v>-0.17499999999999999</v>
      </c>
      <c r="Q490" s="7">
        <f>Table2[[#This Row],[Elevation
PILE TOP]]-Table2[[#This Row],[LENGTH(m.)
(Actual)]]</f>
        <v>-0.17499999999999999</v>
      </c>
      <c r="R490" s="2"/>
      <c r="S490" s="7">
        <f>Table2[[#This Row],[N]]+Table2[[#This Row],[Pile 
Deviation 
N (m)]]</f>
        <v>1511703.0190000001</v>
      </c>
      <c r="T490" s="7">
        <f>Table2[[#This Row],[E]]+Table2[[#This Row],[Pile 
Deviation 
E (m)]]</f>
        <v>693968.98300000001</v>
      </c>
      <c r="W490" s="7">
        <v>-0.67500000000000004</v>
      </c>
      <c r="X490" s="2" t="s">
        <v>33</v>
      </c>
      <c r="AA490" s="9">
        <v>46230</v>
      </c>
    </row>
    <row r="491" spans="1:27" ht="13.95" hidden="1" customHeight="1" x14ac:dyDescent="0.65">
      <c r="A491">
        <v>489</v>
      </c>
      <c r="B491" t="s">
        <v>29</v>
      </c>
      <c r="C491" s="6">
        <v>1511703.1769999999</v>
      </c>
      <c r="D491" s="6">
        <v>693969.76699999999</v>
      </c>
      <c r="E491" s="2" t="s">
        <v>30</v>
      </c>
      <c r="F491" s="1">
        <v>24</v>
      </c>
      <c r="G491" s="2" t="s">
        <v>31</v>
      </c>
      <c r="J491"/>
      <c r="K491" s="19"/>
      <c r="L491" s="21"/>
      <c r="M491" s="27"/>
      <c r="N491" s="19"/>
      <c r="O491" s="21"/>
      <c r="P491" s="7">
        <v>-0.17499999999999999</v>
      </c>
      <c r="Q491" s="7">
        <f>Table2[[#This Row],[Elevation
PILE TOP]]-Table2[[#This Row],[LENGTH(m.)
(Actual)]]</f>
        <v>-0.17499999999999999</v>
      </c>
      <c r="R491" s="2"/>
      <c r="S491" s="7">
        <f>Table2[[#This Row],[N]]+Table2[[#This Row],[Pile 
Deviation 
N (m)]]</f>
        <v>1511703.1769999999</v>
      </c>
      <c r="T491" s="7">
        <f>Table2[[#This Row],[E]]+Table2[[#This Row],[Pile 
Deviation 
E (m)]]</f>
        <v>693969.76699999999</v>
      </c>
      <c r="W491" s="7">
        <v>-0.67500000000000004</v>
      </c>
      <c r="X491" s="2" t="s">
        <v>33</v>
      </c>
      <c r="AA491" s="9">
        <v>46230</v>
      </c>
    </row>
    <row r="492" spans="1:27" hidden="1" x14ac:dyDescent="0.65">
      <c r="A492">
        <v>490</v>
      </c>
      <c r="B492" t="s">
        <v>29</v>
      </c>
      <c r="C492" s="6">
        <v>1511705.1089999999</v>
      </c>
      <c r="D492" s="6">
        <v>693974.78399999999</v>
      </c>
      <c r="E492" s="2" t="s">
        <v>30</v>
      </c>
      <c r="F492" s="1">
        <v>24</v>
      </c>
      <c r="G492" s="2" t="s">
        <v>31</v>
      </c>
      <c r="J492"/>
      <c r="K492" s="19"/>
      <c r="L492" s="21"/>
      <c r="M492" s="27"/>
      <c r="N492" s="19"/>
      <c r="O492" s="21"/>
      <c r="P492" s="7">
        <v>-0.17499999999999999</v>
      </c>
      <c r="Q492" s="7">
        <f>Table2[[#This Row],[Elevation
PILE TOP]]-Table2[[#This Row],[LENGTH(m.)
(Actual)]]</f>
        <v>-0.17499999999999999</v>
      </c>
      <c r="R492" s="2"/>
      <c r="S492" s="7">
        <f>Table2[[#This Row],[N]]+Table2[[#This Row],[Pile 
Deviation 
N (m)]]</f>
        <v>1511705.1089999999</v>
      </c>
      <c r="T492" s="7">
        <f>Table2[[#This Row],[E]]+Table2[[#This Row],[Pile 
Deviation 
E (m)]]</f>
        <v>693974.78399999999</v>
      </c>
      <c r="W492" s="7">
        <v>-0.67500000000000004</v>
      </c>
      <c r="X492" s="2" t="s">
        <v>33</v>
      </c>
      <c r="AA492" s="9">
        <v>46227</v>
      </c>
    </row>
    <row r="493" spans="1:27" ht="13.95" hidden="1" customHeight="1" x14ac:dyDescent="0.65">
      <c r="A493">
        <v>491</v>
      </c>
      <c r="B493" t="s">
        <v>29</v>
      </c>
      <c r="C493" s="6">
        <v>1511705.267</v>
      </c>
      <c r="D493" s="6">
        <v>693975.56799999997</v>
      </c>
      <c r="E493" s="2" t="s">
        <v>30</v>
      </c>
      <c r="F493" s="1">
        <v>24</v>
      </c>
      <c r="G493" s="2" t="s">
        <v>31</v>
      </c>
      <c r="J493"/>
      <c r="K493" s="19"/>
      <c r="L493" s="21"/>
      <c r="M493" s="27"/>
      <c r="N493" s="19"/>
      <c r="O493" s="21"/>
      <c r="P493" s="7">
        <v>-0.17499999999999999</v>
      </c>
      <c r="Q493" s="7">
        <f>Table2[[#This Row],[Elevation
PILE TOP]]-Table2[[#This Row],[LENGTH(m.)
(Actual)]]</f>
        <v>-0.17499999999999999</v>
      </c>
      <c r="R493" s="2"/>
      <c r="S493" s="7">
        <f>Table2[[#This Row],[N]]+Table2[[#This Row],[Pile 
Deviation 
N (m)]]</f>
        <v>1511705.267</v>
      </c>
      <c r="T493" s="7">
        <f>Table2[[#This Row],[E]]+Table2[[#This Row],[Pile 
Deviation 
E (m)]]</f>
        <v>693975.56799999997</v>
      </c>
      <c r="W493" s="7">
        <v>-0.67500000000000004</v>
      </c>
      <c r="X493" s="2" t="s">
        <v>33</v>
      </c>
      <c r="AA493" s="9">
        <v>46227</v>
      </c>
    </row>
    <row r="494" spans="1:27" hidden="1" x14ac:dyDescent="0.65">
      <c r="A494">
        <v>492</v>
      </c>
      <c r="B494" t="s">
        <v>29</v>
      </c>
      <c r="C494" s="6">
        <v>1511704.226</v>
      </c>
      <c r="D494" s="6">
        <v>693974.96200000006</v>
      </c>
      <c r="E494" s="2" t="s">
        <v>30</v>
      </c>
      <c r="F494" s="1">
        <v>24</v>
      </c>
      <c r="G494" s="2" t="s">
        <v>31</v>
      </c>
      <c r="J494"/>
      <c r="K494" s="19"/>
      <c r="L494" s="21"/>
      <c r="M494" s="27"/>
      <c r="N494" s="19"/>
      <c r="O494" s="21"/>
      <c r="P494" s="7">
        <v>-0.17499999999999999</v>
      </c>
      <c r="Q494" s="7">
        <f>Table2[[#This Row],[Elevation
PILE TOP]]-Table2[[#This Row],[LENGTH(m.)
(Actual)]]</f>
        <v>-0.17499999999999999</v>
      </c>
      <c r="R494" s="2"/>
      <c r="S494" s="7">
        <f>Table2[[#This Row],[N]]+Table2[[#This Row],[Pile 
Deviation 
N (m)]]</f>
        <v>1511704.226</v>
      </c>
      <c r="T494" s="7">
        <f>Table2[[#This Row],[E]]+Table2[[#This Row],[Pile 
Deviation 
E (m)]]</f>
        <v>693974.96200000006</v>
      </c>
      <c r="W494" s="7">
        <v>-0.67500000000000004</v>
      </c>
      <c r="X494" s="2" t="s">
        <v>33</v>
      </c>
      <c r="AA494" s="9">
        <v>46227</v>
      </c>
    </row>
    <row r="495" spans="1:27" ht="13.95" hidden="1" customHeight="1" x14ac:dyDescent="0.65">
      <c r="A495">
        <v>493</v>
      </c>
      <c r="B495" t="s">
        <v>29</v>
      </c>
      <c r="C495" s="6">
        <v>1511704.385</v>
      </c>
      <c r="D495" s="6">
        <v>693975.74600000004</v>
      </c>
      <c r="E495" s="2" t="s">
        <v>30</v>
      </c>
      <c r="F495" s="1">
        <v>24</v>
      </c>
      <c r="G495" s="2" t="s">
        <v>31</v>
      </c>
      <c r="J495"/>
      <c r="K495" s="19"/>
      <c r="L495" s="21"/>
      <c r="M495" s="27"/>
      <c r="N495" s="19"/>
      <c r="O495" s="21"/>
      <c r="P495" s="7">
        <v>-0.17499999999999999</v>
      </c>
      <c r="Q495" s="7">
        <f>Table2[[#This Row],[Elevation
PILE TOP]]-Table2[[#This Row],[LENGTH(m.)
(Actual)]]</f>
        <v>-0.17499999999999999</v>
      </c>
      <c r="R495" s="2"/>
      <c r="S495" s="7">
        <f>Table2[[#This Row],[N]]+Table2[[#This Row],[Pile 
Deviation 
N (m)]]</f>
        <v>1511704.385</v>
      </c>
      <c r="T495" s="7">
        <f>Table2[[#This Row],[E]]+Table2[[#This Row],[Pile 
Deviation 
E (m)]]</f>
        <v>693975.74600000004</v>
      </c>
      <c r="W495" s="7">
        <v>-0.67500000000000004</v>
      </c>
      <c r="X495" s="2" t="s">
        <v>33</v>
      </c>
      <c r="AA495" s="9">
        <v>46227</v>
      </c>
    </row>
    <row r="496" spans="1:27" hidden="1" x14ac:dyDescent="0.65">
      <c r="A496">
        <v>494</v>
      </c>
      <c r="B496" t="s">
        <v>29</v>
      </c>
      <c r="C496" s="6">
        <v>1511706.227</v>
      </c>
      <c r="D496" s="6">
        <v>693980.32200000004</v>
      </c>
      <c r="E496" s="2" t="s">
        <v>30</v>
      </c>
      <c r="F496" s="1">
        <v>24</v>
      </c>
      <c r="G496" s="2" t="s">
        <v>31</v>
      </c>
      <c r="J496"/>
      <c r="K496" s="19"/>
      <c r="L496" s="21"/>
      <c r="M496" s="27"/>
      <c r="N496" s="19"/>
      <c r="O496" s="21"/>
      <c r="P496" s="7">
        <v>-0.17499999999999999</v>
      </c>
      <c r="Q496" s="7">
        <f>Table2[[#This Row],[Elevation
PILE TOP]]-Table2[[#This Row],[LENGTH(m.)
(Actual)]]</f>
        <v>-0.17499999999999999</v>
      </c>
      <c r="R496" s="2"/>
      <c r="S496" s="7">
        <f>Table2[[#This Row],[N]]+Table2[[#This Row],[Pile 
Deviation 
N (m)]]</f>
        <v>1511706.227</v>
      </c>
      <c r="T496" s="7">
        <f>Table2[[#This Row],[E]]+Table2[[#This Row],[Pile 
Deviation 
E (m)]]</f>
        <v>693980.32200000004</v>
      </c>
      <c r="W496" s="7">
        <v>-0.67500000000000004</v>
      </c>
      <c r="X496" s="2" t="s">
        <v>33</v>
      </c>
      <c r="AA496" s="9">
        <v>46227</v>
      </c>
    </row>
    <row r="497" spans="1:27" ht="13.95" hidden="1" customHeight="1" x14ac:dyDescent="0.65">
      <c r="A497">
        <v>495</v>
      </c>
      <c r="B497" t="s">
        <v>29</v>
      </c>
      <c r="C497" s="6">
        <v>1511706.385</v>
      </c>
      <c r="D497" s="6">
        <v>693981.10600000003</v>
      </c>
      <c r="E497" s="2" t="s">
        <v>30</v>
      </c>
      <c r="F497" s="1">
        <v>24</v>
      </c>
      <c r="G497" s="2" t="s">
        <v>31</v>
      </c>
      <c r="J497"/>
      <c r="K497" s="19"/>
      <c r="L497" s="21"/>
      <c r="M497" s="27"/>
      <c r="N497" s="19"/>
      <c r="O497" s="21"/>
      <c r="P497" s="7">
        <v>-0.17499999999999999</v>
      </c>
      <c r="Q497" s="7">
        <f>Table2[[#This Row],[Elevation
PILE TOP]]-Table2[[#This Row],[LENGTH(m.)
(Actual)]]</f>
        <v>-0.17499999999999999</v>
      </c>
      <c r="R497" s="2"/>
      <c r="S497" s="7">
        <f>Table2[[#This Row],[N]]+Table2[[#This Row],[Pile 
Deviation 
N (m)]]</f>
        <v>1511706.385</v>
      </c>
      <c r="T497" s="7">
        <f>Table2[[#This Row],[E]]+Table2[[#This Row],[Pile 
Deviation 
E (m)]]</f>
        <v>693981.10600000003</v>
      </c>
      <c r="W497" s="7">
        <v>-0.67500000000000004</v>
      </c>
      <c r="X497" s="2" t="s">
        <v>33</v>
      </c>
      <c r="AA497" s="9">
        <v>46227</v>
      </c>
    </row>
    <row r="498" spans="1:27" hidden="1" x14ac:dyDescent="0.65">
      <c r="A498">
        <v>496</v>
      </c>
      <c r="B498" t="s">
        <v>29</v>
      </c>
      <c r="C498" s="6">
        <v>1511705.345</v>
      </c>
      <c r="D498" s="6">
        <v>693980.5</v>
      </c>
      <c r="E498" s="2" t="s">
        <v>30</v>
      </c>
      <c r="F498" s="1">
        <v>24</v>
      </c>
      <c r="G498" s="2" t="s">
        <v>31</v>
      </c>
      <c r="J498"/>
      <c r="K498" s="19"/>
      <c r="L498" s="21"/>
      <c r="M498" s="27"/>
      <c r="N498" s="19"/>
      <c r="O498" s="21"/>
      <c r="P498" s="7">
        <v>-0.17499999999999999</v>
      </c>
      <c r="Q498" s="7">
        <f>Table2[[#This Row],[Elevation
PILE TOP]]-Table2[[#This Row],[LENGTH(m.)
(Actual)]]</f>
        <v>-0.17499999999999999</v>
      </c>
      <c r="R498" s="2"/>
      <c r="S498" s="7">
        <f>Table2[[#This Row],[N]]+Table2[[#This Row],[Pile 
Deviation 
N (m)]]</f>
        <v>1511705.345</v>
      </c>
      <c r="T498" s="7">
        <f>Table2[[#This Row],[E]]+Table2[[#This Row],[Pile 
Deviation 
E (m)]]</f>
        <v>693980.5</v>
      </c>
      <c r="W498" s="7">
        <v>-0.67500000000000004</v>
      </c>
      <c r="X498" s="2" t="s">
        <v>33</v>
      </c>
      <c r="AA498" s="9">
        <v>46227</v>
      </c>
    </row>
    <row r="499" spans="1:27" ht="13.95" hidden="1" customHeight="1" x14ac:dyDescent="0.65">
      <c r="A499">
        <v>497</v>
      </c>
      <c r="B499" t="s">
        <v>29</v>
      </c>
      <c r="C499" s="6">
        <v>1511705.503</v>
      </c>
      <c r="D499" s="6">
        <v>693981.28399999999</v>
      </c>
      <c r="E499" s="2" t="s">
        <v>30</v>
      </c>
      <c r="F499" s="1">
        <v>24</v>
      </c>
      <c r="G499" s="2" t="s">
        <v>31</v>
      </c>
      <c r="J499"/>
      <c r="K499" s="19"/>
      <c r="L499" s="21"/>
      <c r="M499" s="27"/>
      <c r="N499" s="19"/>
      <c r="O499" s="21"/>
      <c r="P499" s="7">
        <v>-0.17499999999999999</v>
      </c>
      <c r="Q499" s="7">
        <f>Table2[[#This Row],[Elevation
PILE TOP]]-Table2[[#This Row],[LENGTH(m.)
(Actual)]]</f>
        <v>-0.17499999999999999</v>
      </c>
      <c r="R499" s="2"/>
      <c r="S499" s="7">
        <f>Table2[[#This Row],[N]]+Table2[[#This Row],[Pile 
Deviation 
N (m)]]</f>
        <v>1511705.503</v>
      </c>
      <c r="T499" s="7">
        <f>Table2[[#This Row],[E]]+Table2[[#This Row],[Pile 
Deviation 
E (m)]]</f>
        <v>693981.28399999999</v>
      </c>
      <c r="W499" s="7">
        <v>-0.67500000000000004</v>
      </c>
      <c r="X499" s="2" t="s">
        <v>33</v>
      </c>
      <c r="AA499" s="9">
        <v>46227</v>
      </c>
    </row>
    <row r="500" spans="1:27" hidden="1" x14ac:dyDescent="0.65">
      <c r="A500">
        <v>498</v>
      </c>
      <c r="B500" t="s">
        <v>29</v>
      </c>
      <c r="C500" s="6">
        <v>1511707.345</v>
      </c>
      <c r="D500" s="6">
        <v>693985.86</v>
      </c>
      <c r="E500" s="2" t="s">
        <v>30</v>
      </c>
      <c r="F500" s="1">
        <v>24</v>
      </c>
      <c r="G500" s="2" t="s">
        <v>31</v>
      </c>
      <c r="J500"/>
      <c r="K500" s="19"/>
      <c r="L500" s="21"/>
      <c r="M500" s="27"/>
      <c r="N500" s="19"/>
      <c r="O500" s="21"/>
      <c r="P500" s="7">
        <v>-0.17499999999999999</v>
      </c>
      <c r="Q500" s="7">
        <f>Table2[[#This Row],[Elevation
PILE TOP]]-Table2[[#This Row],[LENGTH(m.)
(Actual)]]</f>
        <v>-0.17499999999999999</v>
      </c>
      <c r="R500" s="2"/>
      <c r="S500" s="7">
        <f>Table2[[#This Row],[N]]+Table2[[#This Row],[Pile 
Deviation 
N (m)]]</f>
        <v>1511707.345</v>
      </c>
      <c r="T500" s="7">
        <f>Table2[[#This Row],[E]]+Table2[[#This Row],[Pile 
Deviation 
E (m)]]</f>
        <v>693985.86</v>
      </c>
      <c r="W500" s="7">
        <v>-0.67500000000000004</v>
      </c>
      <c r="X500" s="2" t="s">
        <v>33</v>
      </c>
      <c r="AA500" s="9">
        <v>46228</v>
      </c>
    </row>
    <row r="501" spans="1:27" ht="13.95" hidden="1" customHeight="1" x14ac:dyDescent="0.65">
      <c r="A501">
        <v>499</v>
      </c>
      <c r="B501" t="s">
        <v>29</v>
      </c>
      <c r="C501" s="6">
        <v>1511707.504</v>
      </c>
      <c r="D501" s="6">
        <v>693986.64399999997</v>
      </c>
      <c r="E501" s="2" t="s">
        <v>30</v>
      </c>
      <c r="F501" s="1">
        <v>24</v>
      </c>
      <c r="G501" s="2" t="s">
        <v>31</v>
      </c>
      <c r="J501"/>
      <c r="K501" s="19"/>
      <c r="L501" s="21"/>
      <c r="M501" s="27"/>
      <c r="N501" s="19"/>
      <c r="O501" s="21"/>
      <c r="P501" s="7">
        <v>-0.17499999999999999</v>
      </c>
      <c r="Q501" s="7">
        <f>Table2[[#This Row],[Elevation
PILE TOP]]-Table2[[#This Row],[LENGTH(m.)
(Actual)]]</f>
        <v>-0.17499999999999999</v>
      </c>
      <c r="R501" s="2"/>
      <c r="S501" s="7">
        <f>Table2[[#This Row],[N]]+Table2[[#This Row],[Pile 
Deviation 
N (m)]]</f>
        <v>1511707.504</v>
      </c>
      <c r="T501" s="7">
        <f>Table2[[#This Row],[E]]+Table2[[#This Row],[Pile 
Deviation 
E (m)]]</f>
        <v>693986.64399999997</v>
      </c>
      <c r="W501" s="7">
        <v>-0.67500000000000004</v>
      </c>
      <c r="X501" s="2" t="s">
        <v>33</v>
      </c>
      <c r="AA501" s="9">
        <v>46228</v>
      </c>
    </row>
    <row r="502" spans="1:27" hidden="1" x14ac:dyDescent="0.65">
      <c r="A502">
        <v>500</v>
      </c>
      <c r="B502" t="s">
        <v>29</v>
      </c>
      <c r="C502" s="6">
        <v>1511706.463</v>
      </c>
      <c r="D502" s="6">
        <v>693986.03799999994</v>
      </c>
      <c r="E502" s="2" t="s">
        <v>30</v>
      </c>
      <c r="F502" s="1">
        <v>24</v>
      </c>
      <c r="G502" s="2" t="s">
        <v>31</v>
      </c>
      <c r="J502"/>
      <c r="K502" s="19"/>
      <c r="L502" s="21"/>
      <c r="M502" s="27"/>
      <c r="N502" s="19"/>
      <c r="O502" s="21"/>
      <c r="P502" s="7">
        <v>-0.17499999999999999</v>
      </c>
      <c r="Q502" s="7">
        <f>Table2[[#This Row],[Elevation
PILE TOP]]-Table2[[#This Row],[LENGTH(m.)
(Actual)]]</f>
        <v>-0.17499999999999999</v>
      </c>
      <c r="R502" s="2"/>
      <c r="S502" s="7">
        <f>Table2[[#This Row],[N]]+Table2[[#This Row],[Pile 
Deviation 
N (m)]]</f>
        <v>1511706.463</v>
      </c>
      <c r="T502" s="7">
        <f>Table2[[#This Row],[E]]+Table2[[#This Row],[Pile 
Deviation 
E (m)]]</f>
        <v>693986.03799999994</v>
      </c>
      <c r="W502" s="7">
        <v>-0.67500000000000004</v>
      </c>
      <c r="X502" s="2" t="s">
        <v>33</v>
      </c>
      <c r="AA502" s="9">
        <v>46228</v>
      </c>
    </row>
    <row r="503" spans="1:27" ht="13.95" hidden="1" customHeight="1" x14ac:dyDescent="0.65">
      <c r="A503">
        <v>501</v>
      </c>
      <c r="B503" t="s">
        <v>29</v>
      </c>
      <c r="C503" s="6">
        <v>1511706.622</v>
      </c>
      <c r="D503" s="6">
        <v>693986.82200000004</v>
      </c>
      <c r="E503" s="2" t="s">
        <v>30</v>
      </c>
      <c r="F503" s="1">
        <v>24</v>
      </c>
      <c r="G503" s="2" t="s">
        <v>31</v>
      </c>
      <c r="J503"/>
      <c r="K503" s="19"/>
      <c r="L503" s="21"/>
      <c r="M503" s="27"/>
      <c r="N503" s="19"/>
      <c r="O503" s="21"/>
      <c r="P503" s="7">
        <v>-0.17499999999999999</v>
      </c>
      <c r="Q503" s="7">
        <f>Table2[[#This Row],[Elevation
PILE TOP]]-Table2[[#This Row],[LENGTH(m.)
(Actual)]]</f>
        <v>-0.17499999999999999</v>
      </c>
      <c r="R503" s="2"/>
      <c r="S503" s="7">
        <f>Table2[[#This Row],[N]]+Table2[[#This Row],[Pile 
Deviation 
N (m)]]</f>
        <v>1511706.622</v>
      </c>
      <c r="T503" s="7">
        <f>Table2[[#This Row],[E]]+Table2[[#This Row],[Pile 
Deviation 
E (m)]]</f>
        <v>693986.82200000004</v>
      </c>
      <c r="W503" s="7">
        <v>-0.67500000000000004</v>
      </c>
      <c r="X503" s="2" t="s">
        <v>33</v>
      </c>
      <c r="AA503" s="9">
        <v>46228</v>
      </c>
    </row>
    <row r="504" spans="1:27" hidden="1" x14ac:dyDescent="0.65">
      <c r="A504">
        <v>502</v>
      </c>
      <c r="B504" t="s">
        <v>29</v>
      </c>
      <c r="C504" s="6">
        <v>1511708.4639999999</v>
      </c>
      <c r="D504" s="6">
        <v>693991.39800000004</v>
      </c>
      <c r="E504" s="2" t="s">
        <v>30</v>
      </c>
      <c r="F504" s="1">
        <v>24</v>
      </c>
      <c r="G504" s="2" t="s">
        <v>31</v>
      </c>
      <c r="J504"/>
      <c r="K504" s="19"/>
      <c r="L504" s="21"/>
      <c r="M504" s="27"/>
      <c r="N504" s="19"/>
      <c r="O504" s="21"/>
      <c r="P504" s="7">
        <v>-0.17499999999999999</v>
      </c>
      <c r="Q504" s="7">
        <f>Table2[[#This Row],[Elevation
PILE TOP]]-Table2[[#This Row],[LENGTH(m.)
(Actual)]]</f>
        <v>-0.17499999999999999</v>
      </c>
      <c r="R504" s="2"/>
      <c r="S504" s="7">
        <f>Table2[[#This Row],[N]]+Table2[[#This Row],[Pile 
Deviation 
N (m)]]</f>
        <v>1511708.4639999999</v>
      </c>
      <c r="T504" s="7">
        <f>Table2[[#This Row],[E]]+Table2[[#This Row],[Pile 
Deviation 
E (m)]]</f>
        <v>693991.39800000004</v>
      </c>
      <c r="W504" s="7">
        <v>-0.67500000000000004</v>
      </c>
      <c r="X504" s="2" t="s">
        <v>33</v>
      </c>
      <c r="AA504" s="9">
        <v>46228</v>
      </c>
    </row>
    <row r="505" spans="1:27" ht="13.95" hidden="1" customHeight="1" x14ac:dyDescent="0.65">
      <c r="A505">
        <v>503</v>
      </c>
      <c r="B505" t="s">
        <v>29</v>
      </c>
      <c r="C505" s="6">
        <v>1511708.622</v>
      </c>
      <c r="D505" s="6">
        <v>693992.18200000003</v>
      </c>
      <c r="E505" s="2" t="s">
        <v>30</v>
      </c>
      <c r="F505" s="1">
        <v>24</v>
      </c>
      <c r="G505" s="2" t="s">
        <v>31</v>
      </c>
      <c r="J505"/>
      <c r="K505" s="19"/>
      <c r="L505" s="21"/>
      <c r="M505" s="27"/>
      <c r="N505" s="19"/>
      <c r="O505" s="21"/>
      <c r="P505" s="7">
        <v>-0.17499999999999999</v>
      </c>
      <c r="Q505" s="7">
        <f>Table2[[#This Row],[Elevation
PILE TOP]]-Table2[[#This Row],[LENGTH(m.)
(Actual)]]</f>
        <v>-0.17499999999999999</v>
      </c>
      <c r="R505" s="2"/>
      <c r="S505" s="7">
        <f>Table2[[#This Row],[N]]+Table2[[#This Row],[Pile 
Deviation 
N (m)]]</f>
        <v>1511708.622</v>
      </c>
      <c r="T505" s="7">
        <f>Table2[[#This Row],[E]]+Table2[[#This Row],[Pile 
Deviation 
E (m)]]</f>
        <v>693992.18200000003</v>
      </c>
      <c r="W505" s="7">
        <v>-0.67500000000000004</v>
      </c>
      <c r="X505" s="2" t="s">
        <v>33</v>
      </c>
      <c r="AA505" s="9">
        <v>46228</v>
      </c>
    </row>
    <row r="506" spans="1:27" hidden="1" x14ac:dyDescent="0.65">
      <c r="A506">
        <v>504</v>
      </c>
      <c r="B506" t="s">
        <v>29</v>
      </c>
      <c r="C506" s="6">
        <v>1511707.5819999999</v>
      </c>
      <c r="D506" s="6">
        <v>693991.576</v>
      </c>
      <c r="E506" s="2" t="s">
        <v>30</v>
      </c>
      <c r="F506" s="1">
        <v>24</v>
      </c>
      <c r="G506" s="2" t="s">
        <v>31</v>
      </c>
      <c r="J506"/>
      <c r="K506" s="19"/>
      <c r="L506" s="21"/>
      <c r="M506" s="27"/>
      <c r="N506" s="19"/>
      <c r="O506" s="21"/>
      <c r="P506" s="7">
        <v>-0.17499999999999999</v>
      </c>
      <c r="Q506" s="7">
        <f>Table2[[#This Row],[Elevation
PILE TOP]]-Table2[[#This Row],[LENGTH(m.)
(Actual)]]</f>
        <v>-0.17499999999999999</v>
      </c>
      <c r="R506" s="2"/>
      <c r="S506" s="7">
        <f>Table2[[#This Row],[N]]+Table2[[#This Row],[Pile 
Deviation 
N (m)]]</f>
        <v>1511707.5819999999</v>
      </c>
      <c r="T506" s="7">
        <f>Table2[[#This Row],[E]]+Table2[[#This Row],[Pile 
Deviation 
E (m)]]</f>
        <v>693991.576</v>
      </c>
      <c r="W506" s="7">
        <v>-0.67500000000000004</v>
      </c>
      <c r="X506" s="2" t="s">
        <v>33</v>
      </c>
      <c r="AA506" s="9">
        <v>46228</v>
      </c>
    </row>
    <row r="507" spans="1:27" ht="13.95" hidden="1" customHeight="1" x14ac:dyDescent="0.65">
      <c r="A507">
        <v>505</v>
      </c>
      <c r="B507" t="s">
        <v>29</v>
      </c>
      <c r="C507" s="6">
        <v>1511707.74</v>
      </c>
      <c r="D507" s="6">
        <v>693992.36100000003</v>
      </c>
      <c r="E507" s="2" t="s">
        <v>30</v>
      </c>
      <c r="F507" s="1">
        <v>24</v>
      </c>
      <c r="G507" s="2" t="s">
        <v>31</v>
      </c>
      <c r="J507"/>
      <c r="K507" s="19"/>
      <c r="L507" s="21"/>
      <c r="M507" s="27"/>
      <c r="N507" s="19"/>
      <c r="O507" s="21"/>
      <c r="P507" s="7">
        <v>-0.17499999999999999</v>
      </c>
      <c r="Q507" s="7">
        <f>Table2[[#This Row],[Elevation
PILE TOP]]-Table2[[#This Row],[LENGTH(m.)
(Actual)]]</f>
        <v>-0.17499999999999999</v>
      </c>
      <c r="R507" s="2"/>
      <c r="S507" s="7">
        <f>Table2[[#This Row],[N]]+Table2[[#This Row],[Pile 
Deviation 
N (m)]]</f>
        <v>1511707.74</v>
      </c>
      <c r="T507" s="7">
        <f>Table2[[#This Row],[E]]+Table2[[#This Row],[Pile 
Deviation 
E (m)]]</f>
        <v>693992.36100000003</v>
      </c>
      <c r="W507" s="7">
        <v>-0.67500000000000004</v>
      </c>
      <c r="X507" s="2" t="s">
        <v>33</v>
      </c>
      <c r="AA507" s="9">
        <v>46228</v>
      </c>
    </row>
    <row r="508" spans="1:27" hidden="1" x14ac:dyDescent="0.65">
      <c r="A508">
        <v>506</v>
      </c>
      <c r="B508" t="s">
        <v>29</v>
      </c>
      <c r="C508" s="6">
        <v>1511709.523</v>
      </c>
      <c r="D508" s="6">
        <v>693996.64199999999</v>
      </c>
      <c r="E508" s="2" t="s">
        <v>30</v>
      </c>
      <c r="F508" s="1">
        <v>24</v>
      </c>
      <c r="G508" s="2" t="s">
        <v>31</v>
      </c>
      <c r="J508"/>
      <c r="K508" s="19"/>
      <c r="L508" s="21"/>
      <c r="M508" s="27"/>
      <c r="N508" s="19"/>
      <c r="O508" s="21"/>
      <c r="P508" s="7">
        <v>-0.17499999999999999</v>
      </c>
      <c r="Q508" s="7">
        <f>Table2[[#This Row],[Elevation
PILE TOP]]-Table2[[#This Row],[LENGTH(m.)
(Actual)]]</f>
        <v>-0.17499999999999999</v>
      </c>
      <c r="R508" s="2"/>
      <c r="S508" s="7">
        <f>Table2[[#This Row],[N]]+Table2[[#This Row],[Pile 
Deviation 
N (m)]]</f>
        <v>1511709.523</v>
      </c>
      <c r="T508" s="7">
        <f>Table2[[#This Row],[E]]+Table2[[#This Row],[Pile 
Deviation 
E (m)]]</f>
        <v>693996.64199999999</v>
      </c>
      <c r="W508" s="7">
        <v>-0.67500000000000004</v>
      </c>
      <c r="X508" s="2" t="s">
        <v>33</v>
      </c>
      <c r="AA508" s="9">
        <v>46230</v>
      </c>
    </row>
    <row r="509" spans="1:27" ht="13.95" hidden="1" customHeight="1" x14ac:dyDescent="0.65">
      <c r="A509">
        <v>507</v>
      </c>
      <c r="B509" t="s">
        <v>29</v>
      </c>
      <c r="C509" s="6">
        <v>1511709.6810000001</v>
      </c>
      <c r="D509" s="6">
        <v>693997.42700000003</v>
      </c>
      <c r="E509" s="2" t="s">
        <v>30</v>
      </c>
      <c r="F509" s="1">
        <v>24</v>
      </c>
      <c r="G509" s="2" t="s">
        <v>31</v>
      </c>
      <c r="J509"/>
      <c r="K509" s="19"/>
      <c r="L509" s="21"/>
      <c r="M509" s="27"/>
      <c r="N509" s="19"/>
      <c r="O509" s="21"/>
      <c r="P509" s="7">
        <v>-0.17499999999999999</v>
      </c>
      <c r="Q509" s="7">
        <f>Table2[[#This Row],[Elevation
PILE TOP]]-Table2[[#This Row],[LENGTH(m.)
(Actual)]]</f>
        <v>-0.17499999999999999</v>
      </c>
      <c r="R509" s="2"/>
      <c r="S509" s="7">
        <f>Table2[[#This Row],[N]]+Table2[[#This Row],[Pile 
Deviation 
N (m)]]</f>
        <v>1511709.6810000001</v>
      </c>
      <c r="T509" s="7">
        <f>Table2[[#This Row],[E]]+Table2[[#This Row],[Pile 
Deviation 
E (m)]]</f>
        <v>693997.42700000003</v>
      </c>
      <c r="W509" s="7">
        <v>-0.67500000000000004</v>
      </c>
      <c r="X509" s="2" t="s">
        <v>33</v>
      </c>
      <c r="AA509" s="9">
        <v>46230</v>
      </c>
    </row>
    <row r="510" spans="1:27" hidden="1" x14ac:dyDescent="0.65">
      <c r="A510">
        <v>508</v>
      </c>
      <c r="B510" t="s">
        <v>29</v>
      </c>
      <c r="C510" s="6">
        <v>1511708.6410000001</v>
      </c>
      <c r="D510" s="6">
        <v>693996.821</v>
      </c>
      <c r="E510" s="2" t="s">
        <v>30</v>
      </c>
      <c r="F510" s="1">
        <v>24</v>
      </c>
      <c r="G510" s="2" t="s">
        <v>31</v>
      </c>
      <c r="J510"/>
      <c r="K510" s="19"/>
      <c r="L510" s="21"/>
      <c r="M510" s="27"/>
      <c r="N510" s="19"/>
      <c r="O510" s="21"/>
      <c r="P510" s="7">
        <v>-0.17499999999999999</v>
      </c>
      <c r="Q510" s="7">
        <f>Table2[[#This Row],[Elevation
PILE TOP]]-Table2[[#This Row],[LENGTH(m.)
(Actual)]]</f>
        <v>-0.17499999999999999</v>
      </c>
      <c r="R510" s="2"/>
      <c r="S510" s="7">
        <f>Table2[[#This Row],[N]]+Table2[[#This Row],[Pile 
Deviation 
N (m)]]</f>
        <v>1511708.6410000001</v>
      </c>
      <c r="T510" s="7">
        <f>Table2[[#This Row],[E]]+Table2[[#This Row],[Pile 
Deviation 
E (m)]]</f>
        <v>693996.821</v>
      </c>
      <c r="W510" s="7">
        <v>-0.67500000000000004</v>
      </c>
      <c r="X510" s="2" t="s">
        <v>33</v>
      </c>
      <c r="AA510" s="9">
        <v>46230</v>
      </c>
    </row>
    <row r="511" spans="1:27" ht="13.95" hidden="1" customHeight="1" x14ac:dyDescent="0.65">
      <c r="A511">
        <v>509</v>
      </c>
      <c r="B511" t="s">
        <v>29</v>
      </c>
      <c r="C511" s="6">
        <v>1511708.7990000001</v>
      </c>
      <c r="D511" s="6">
        <v>693997.60499999998</v>
      </c>
      <c r="E511" s="2" t="s">
        <v>30</v>
      </c>
      <c r="F511" s="1">
        <v>24</v>
      </c>
      <c r="G511" s="2" t="s">
        <v>31</v>
      </c>
      <c r="J511"/>
      <c r="K511" s="19"/>
      <c r="L511" s="21"/>
      <c r="M511" s="27"/>
      <c r="N511" s="19"/>
      <c r="O511" s="21"/>
      <c r="P511" s="7">
        <v>-0.17499999999999999</v>
      </c>
      <c r="Q511" s="7">
        <f>Table2[[#This Row],[Elevation
PILE TOP]]-Table2[[#This Row],[LENGTH(m.)
(Actual)]]</f>
        <v>-0.17499999999999999</v>
      </c>
      <c r="R511" s="2"/>
      <c r="S511" s="7">
        <f>Table2[[#This Row],[N]]+Table2[[#This Row],[Pile 
Deviation 
N (m)]]</f>
        <v>1511708.7990000001</v>
      </c>
      <c r="T511" s="7">
        <f>Table2[[#This Row],[E]]+Table2[[#This Row],[Pile 
Deviation 
E (m)]]</f>
        <v>693997.60499999998</v>
      </c>
      <c r="W511" s="7">
        <v>-0.67500000000000004</v>
      </c>
      <c r="X511" s="2" t="s">
        <v>33</v>
      </c>
      <c r="AA511" s="9">
        <v>46230</v>
      </c>
    </row>
    <row r="512" spans="1:27" hidden="1" x14ac:dyDescent="0.65">
      <c r="A512">
        <v>510</v>
      </c>
      <c r="B512" t="s">
        <v>29</v>
      </c>
      <c r="C512" s="6">
        <v>1511710.4310000001</v>
      </c>
      <c r="D512" s="6">
        <v>694002.27399999998</v>
      </c>
      <c r="E512" s="2" t="s">
        <v>30</v>
      </c>
      <c r="F512" s="1">
        <v>24</v>
      </c>
      <c r="G512" s="2" t="s">
        <v>31</v>
      </c>
      <c r="J512"/>
      <c r="K512" s="19"/>
      <c r="L512" s="21"/>
      <c r="M512" s="27"/>
      <c r="N512" s="19"/>
      <c r="O512" s="21"/>
      <c r="P512" s="7">
        <v>-0.17499999999999999</v>
      </c>
      <c r="Q512" s="7">
        <f>Table2[[#This Row],[Elevation
PILE TOP]]-Table2[[#This Row],[LENGTH(m.)
(Actual)]]</f>
        <v>-0.17499999999999999</v>
      </c>
      <c r="R512" s="2"/>
      <c r="S512" s="7">
        <f>Table2[[#This Row],[N]]+Table2[[#This Row],[Pile 
Deviation 
N (m)]]</f>
        <v>1511710.4310000001</v>
      </c>
      <c r="T512" s="7">
        <f>Table2[[#This Row],[E]]+Table2[[#This Row],[Pile 
Deviation 
E (m)]]</f>
        <v>694002.27399999998</v>
      </c>
      <c r="W512" s="7">
        <v>-0.67500000000000004</v>
      </c>
      <c r="X512" s="2" t="s">
        <v>37</v>
      </c>
      <c r="AA512" s="9">
        <v>46206</v>
      </c>
    </row>
    <row r="513" spans="1:27" ht="13.95" hidden="1" customHeight="1" x14ac:dyDescent="0.65">
      <c r="A513">
        <v>511</v>
      </c>
      <c r="B513" t="s">
        <v>29</v>
      </c>
      <c r="C513" s="6">
        <v>1511709.6470000001</v>
      </c>
      <c r="D513" s="6">
        <v>694002.43200000003</v>
      </c>
      <c r="E513" s="2" t="s">
        <v>30</v>
      </c>
      <c r="F513" s="1">
        <v>24</v>
      </c>
      <c r="G513" s="2" t="s">
        <v>31</v>
      </c>
      <c r="J513"/>
      <c r="K513" s="19"/>
      <c r="L513" s="21"/>
      <c r="M513" s="27"/>
      <c r="N513" s="19"/>
      <c r="O513" s="21"/>
      <c r="P513" s="7">
        <v>-0.17499999999999999</v>
      </c>
      <c r="Q513" s="7">
        <f>Table2[[#This Row],[Elevation
PILE TOP]]-Table2[[#This Row],[LENGTH(m.)
(Actual)]]</f>
        <v>-0.17499999999999999</v>
      </c>
      <c r="R513" s="2"/>
      <c r="S513" s="7">
        <f>Table2[[#This Row],[N]]+Table2[[#This Row],[Pile 
Deviation 
N (m)]]</f>
        <v>1511709.6470000001</v>
      </c>
      <c r="T513" s="7">
        <f>Table2[[#This Row],[E]]+Table2[[#This Row],[Pile 
Deviation 
E (m)]]</f>
        <v>694002.43200000003</v>
      </c>
      <c r="W513" s="7">
        <v>-0.67500000000000004</v>
      </c>
      <c r="X513" s="2" t="s">
        <v>37</v>
      </c>
      <c r="AA513" s="9">
        <v>46206</v>
      </c>
    </row>
    <row r="514" spans="1:27" hidden="1" x14ac:dyDescent="0.65">
      <c r="A514">
        <v>512</v>
      </c>
      <c r="B514" t="s">
        <v>29</v>
      </c>
      <c r="C514" s="6">
        <v>1511711.72</v>
      </c>
      <c r="D514" s="6">
        <v>694007.52300000004</v>
      </c>
      <c r="E514" s="2" t="s">
        <v>30</v>
      </c>
      <c r="F514" s="1">
        <v>24</v>
      </c>
      <c r="G514" s="2" t="s">
        <v>31</v>
      </c>
      <c r="J514"/>
      <c r="K514" s="19"/>
      <c r="L514" s="21"/>
      <c r="M514" s="27"/>
      <c r="N514" s="19"/>
      <c r="O514" s="21"/>
      <c r="P514" s="7">
        <v>-0.17499999999999999</v>
      </c>
      <c r="Q514" s="7">
        <f>Table2[[#This Row],[Elevation
PILE TOP]]-Table2[[#This Row],[LENGTH(m.)
(Actual)]]</f>
        <v>-0.17499999999999999</v>
      </c>
      <c r="R514" s="2"/>
      <c r="S514" s="7">
        <f>Table2[[#This Row],[N]]+Table2[[#This Row],[Pile 
Deviation 
N (m)]]</f>
        <v>1511711.72</v>
      </c>
      <c r="T514" s="7">
        <f>Table2[[#This Row],[E]]+Table2[[#This Row],[Pile 
Deviation 
E (m)]]</f>
        <v>694007.52300000004</v>
      </c>
      <c r="W514" s="7">
        <v>-0.67500000000000004</v>
      </c>
      <c r="X514" s="2" t="s">
        <v>33</v>
      </c>
      <c r="AA514" s="9">
        <v>46207</v>
      </c>
    </row>
    <row r="515" spans="1:27" ht="13.95" hidden="1" customHeight="1" x14ac:dyDescent="0.65">
      <c r="A515">
        <v>513</v>
      </c>
      <c r="B515" t="s">
        <v>29</v>
      </c>
      <c r="C515" s="6">
        <v>1511711.879</v>
      </c>
      <c r="D515" s="6">
        <v>694008.30700000003</v>
      </c>
      <c r="E515" s="2" t="s">
        <v>30</v>
      </c>
      <c r="F515" s="1">
        <v>24</v>
      </c>
      <c r="G515" s="2" t="s">
        <v>31</v>
      </c>
      <c r="J515"/>
      <c r="K515" s="19"/>
      <c r="L515" s="21"/>
      <c r="M515" s="27"/>
      <c r="N515" s="19"/>
      <c r="O515" s="21"/>
      <c r="P515" s="7">
        <v>-0.17499999999999999</v>
      </c>
      <c r="Q515" s="7">
        <f>Table2[[#This Row],[Elevation
PILE TOP]]-Table2[[#This Row],[LENGTH(m.)
(Actual)]]</f>
        <v>-0.17499999999999999</v>
      </c>
      <c r="R515" s="2"/>
      <c r="S515" s="7">
        <f>Table2[[#This Row],[N]]+Table2[[#This Row],[Pile 
Deviation 
N (m)]]</f>
        <v>1511711.879</v>
      </c>
      <c r="T515" s="7">
        <f>Table2[[#This Row],[E]]+Table2[[#This Row],[Pile 
Deviation 
E (m)]]</f>
        <v>694008.30700000003</v>
      </c>
      <c r="W515" s="7">
        <v>-0.67500000000000004</v>
      </c>
      <c r="X515" s="2" t="s">
        <v>33</v>
      </c>
      <c r="AA515" s="9">
        <v>46207</v>
      </c>
    </row>
    <row r="516" spans="1:27" hidden="1" x14ac:dyDescent="0.65">
      <c r="A516">
        <v>514</v>
      </c>
      <c r="B516" t="s">
        <v>29</v>
      </c>
      <c r="C516" s="6">
        <v>1511710.838</v>
      </c>
      <c r="D516" s="6">
        <v>694007.701</v>
      </c>
      <c r="E516" s="2" t="s">
        <v>30</v>
      </c>
      <c r="F516" s="1">
        <v>24</v>
      </c>
      <c r="G516" s="2" t="s">
        <v>31</v>
      </c>
      <c r="J516"/>
      <c r="K516" s="19"/>
      <c r="L516" s="21"/>
      <c r="M516" s="27"/>
      <c r="N516" s="19"/>
      <c r="O516" s="21"/>
      <c r="P516" s="7">
        <v>-0.17499999999999999</v>
      </c>
      <c r="Q516" s="7">
        <f>Table2[[#This Row],[Elevation
PILE TOP]]-Table2[[#This Row],[LENGTH(m.)
(Actual)]]</f>
        <v>-0.17499999999999999</v>
      </c>
      <c r="R516" s="2"/>
      <c r="S516" s="7">
        <f>Table2[[#This Row],[N]]+Table2[[#This Row],[Pile 
Deviation 
N (m)]]</f>
        <v>1511710.838</v>
      </c>
      <c r="T516" s="7">
        <f>Table2[[#This Row],[E]]+Table2[[#This Row],[Pile 
Deviation 
E (m)]]</f>
        <v>694007.701</v>
      </c>
      <c r="W516" s="7">
        <v>-0.67500000000000004</v>
      </c>
      <c r="X516" s="2" t="s">
        <v>33</v>
      </c>
      <c r="AA516" s="9">
        <v>46207</v>
      </c>
    </row>
    <row r="517" spans="1:27" ht="13.95" hidden="1" customHeight="1" x14ac:dyDescent="0.65">
      <c r="A517">
        <v>515</v>
      </c>
      <c r="B517" t="s">
        <v>29</v>
      </c>
      <c r="C517" s="6">
        <v>1511710.996</v>
      </c>
      <c r="D517" s="6">
        <v>694008.48499999999</v>
      </c>
      <c r="E517" s="2" t="s">
        <v>30</v>
      </c>
      <c r="F517" s="1">
        <v>24</v>
      </c>
      <c r="G517" s="2" t="s">
        <v>31</v>
      </c>
      <c r="J517"/>
      <c r="K517" s="19"/>
      <c r="L517" s="21"/>
      <c r="M517" s="27"/>
      <c r="N517" s="19"/>
      <c r="O517" s="21"/>
      <c r="P517" s="7">
        <v>-0.17499999999999999</v>
      </c>
      <c r="Q517" s="7">
        <f>Table2[[#This Row],[Elevation
PILE TOP]]-Table2[[#This Row],[LENGTH(m.)
(Actual)]]</f>
        <v>-0.17499999999999999</v>
      </c>
      <c r="R517" s="2"/>
      <c r="S517" s="7">
        <f>Table2[[#This Row],[N]]+Table2[[#This Row],[Pile 
Deviation 
N (m)]]</f>
        <v>1511710.996</v>
      </c>
      <c r="T517" s="7">
        <f>Table2[[#This Row],[E]]+Table2[[#This Row],[Pile 
Deviation 
E (m)]]</f>
        <v>694008.48499999999</v>
      </c>
      <c r="W517" s="7">
        <v>-0.67500000000000004</v>
      </c>
      <c r="X517" s="2" t="s">
        <v>33</v>
      </c>
      <c r="AA517" s="9">
        <v>46207</v>
      </c>
    </row>
    <row r="518" spans="1:27" x14ac:dyDescent="0.65">
      <c r="A518">
        <v>516</v>
      </c>
      <c r="B518" t="s">
        <v>29</v>
      </c>
      <c r="C518" s="6">
        <v>1511760.3670000001</v>
      </c>
      <c r="D518" s="6">
        <v>694002.39099999995</v>
      </c>
      <c r="E518" s="2" t="s">
        <v>30</v>
      </c>
      <c r="F518" s="1">
        <v>24</v>
      </c>
      <c r="G518" s="2" t="s">
        <v>48</v>
      </c>
      <c r="J518"/>
      <c r="K518" s="19"/>
      <c r="L518" s="21"/>
      <c r="M518" s="27"/>
      <c r="N518" s="19"/>
      <c r="O518" s="21"/>
      <c r="P518" s="7">
        <v>-0.17499999999999999</v>
      </c>
      <c r="Q518" s="7">
        <f>Table2[[#This Row],[Elevation
PILE TOP]]-Table2[[#This Row],[LENGTH(m.)
(Actual)]]</f>
        <v>-0.17499999999999999</v>
      </c>
      <c r="R518" s="2"/>
      <c r="S518" s="7">
        <f>Table2[[#This Row],[N]]+Table2[[#This Row],[Pile 
Deviation 
N (m)]]</f>
        <v>1511760.3670000001</v>
      </c>
      <c r="T518" s="7">
        <f>Table2[[#This Row],[E]]+Table2[[#This Row],[Pile 
Deviation 
E (m)]]</f>
        <v>694002.39099999995</v>
      </c>
      <c r="W518" s="7">
        <v>-0.67500000000000004</v>
      </c>
      <c r="X518" s="2" t="s">
        <v>33</v>
      </c>
      <c r="AA518" s="9">
        <v>46195</v>
      </c>
    </row>
    <row r="519" spans="1:27" ht="13.95" customHeight="1" x14ac:dyDescent="0.65">
      <c r="A519">
        <v>517</v>
      </c>
      <c r="B519" t="s">
        <v>29</v>
      </c>
      <c r="C519" s="6">
        <v>1511760.5249999999</v>
      </c>
      <c r="D519" s="6">
        <v>694003.17599999998</v>
      </c>
      <c r="E519" s="2" t="s">
        <v>30</v>
      </c>
      <c r="F519" s="1">
        <v>24</v>
      </c>
      <c r="G519" s="2" t="s">
        <v>48</v>
      </c>
      <c r="J519"/>
      <c r="K519" s="19"/>
      <c r="L519" s="21"/>
      <c r="M519" s="27"/>
      <c r="N519" s="19"/>
      <c r="O519" s="21"/>
      <c r="P519" s="7">
        <v>-0.17499999999999999</v>
      </c>
      <c r="Q519" s="7">
        <f>Table2[[#This Row],[Elevation
PILE TOP]]-Table2[[#This Row],[LENGTH(m.)
(Actual)]]</f>
        <v>-0.17499999999999999</v>
      </c>
      <c r="R519" s="2"/>
      <c r="S519" s="7">
        <f>Table2[[#This Row],[N]]+Table2[[#This Row],[Pile 
Deviation 
N (m)]]</f>
        <v>1511760.5249999999</v>
      </c>
      <c r="T519" s="7">
        <f>Table2[[#This Row],[E]]+Table2[[#This Row],[Pile 
Deviation 
E (m)]]</f>
        <v>694003.17599999998</v>
      </c>
      <c r="W519" s="7">
        <v>-0.67500000000000004</v>
      </c>
      <c r="X519" s="2" t="s">
        <v>33</v>
      </c>
      <c r="AA519" s="9">
        <v>46195</v>
      </c>
    </row>
    <row r="520" spans="1:27" x14ac:dyDescent="0.65">
      <c r="A520">
        <v>518</v>
      </c>
      <c r="B520" t="s">
        <v>29</v>
      </c>
      <c r="C520" s="6">
        <v>1511759.4850000001</v>
      </c>
      <c r="D520" s="6">
        <v>694002.57</v>
      </c>
      <c r="E520" s="2" t="s">
        <v>30</v>
      </c>
      <c r="F520" s="1">
        <v>24</v>
      </c>
      <c r="G520" s="2" t="s">
        <v>48</v>
      </c>
      <c r="J520"/>
      <c r="K520" s="19"/>
      <c r="L520" s="21"/>
      <c r="M520" s="27"/>
      <c r="N520" s="19"/>
      <c r="O520" s="21"/>
      <c r="P520" s="7">
        <v>-0.17499999999999999</v>
      </c>
      <c r="Q520" s="7">
        <f>Table2[[#This Row],[Elevation
PILE TOP]]-Table2[[#This Row],[LENGTH(m.)
(Actual)]]</f>
        <v>-0.17499999999999999</v>
      </c>
      <c r="R520" s="2"/>
      <c r="S520" s="7">
        <f>Table2[[#This Row],[N]]+Table2[[#This Row],[Pile 
Deviation 
N (m)]]</f>
        <v>1511759.4850000001</v>
      </c>
      <c r="T520" s="7">
        <f>Table2[[#This Row],[E]]+Table2[[#This Row],[Pile 
Deviation 
E (m)]]</f>
        <v>694002.57</v>
      </c>
      <c r="W520" s="7">
        <v>-0.67500000000000004</v>
      </c>
      <c r="X520" s="2" t="s">
        <v>33</v>
      </c>
      <c r="AA520" s="9">
        <v>46195</v>
      </c>
    </row>
    <row r="521" spans="1:27" ht="13.95" customHeight="1" x14ac:dyDescent="0.65">
      <c r="A521">
        <v>519</v>
      </c>
      <c r="B521" t="s">
        <v>29</v>
      </c>
      <c r="C521" s="6">
        <v>1511759.6429999999</v>
      </c>
      <c r="D521" s="6">
        <v>694003.35400000005</v>
      </c>
      <c r="E521" s="2" t="s">
        <v>30</v>
      </c>
      <c r="F521" s="1">
        <v>24</v>
      </c>
      <c r="G521" s="2" t="s">
        <v>48</v>
      </c>
      <c r="J521"/>
      <c r="K521" s="19"/>
      <c r="L521" s="21"/>
      <c r="M521" s="27"/>
      <c r="N521" s="19"/>
      <c r="O521" s="21"/>
      <c r="P521" s="7">
        <v>-0.17499999999999999</v>
      </c>
      <c r="Q521" s="7">
        <f>Table2[[#This Row],[Elevation
PILE TOP]]-Table2[[#This Row],[LENGTH(m.)
(Actual)]]</f>
        <v>-0.17499999999999999</v>
      </c>
      <c r="R521" s="2"/>
      <c r="S521" s="7">
        <f>Table2[[#This Row],[N]]+Table2[[#This Row],[Pile 
Deviation 
N (m)]]</f>
        <v>1511759.6429999999</v>
      </c>
      <c r="T521" s="7">
        <f>Table2[[#This Row],[E]]+Table2[[#This Row],[Pile 
Deviation 
E (m)]]</f>
        <v>694003.35400000005</v>
      </c>
      <c r="W521" s="7">
        <v>-0.67500000000000004</v>
      </c>
      <c r="X521" s="2" t="s">
        <v>33</v>
      </c>
      <c r="AA521" s="9">
        <v>46195</v>
      </c>
    </row>
    <row r="522" spans="1:27" x14ac:dyDescent="0.65">
      <c r="A522">
        <v>520</v>
      </c>
      <c r="B522" t="s">
        <v>29</v>
      </c>
      <c r="C522" s="6">
        <v>1511761.575</v>
      </c>
      <c r="D522" s="6">
        <v>694008.37100000004</v>
      </c>
      <c r="E522" s="2" t="s">
        <v>30</v>
      </c>
      <c r="F522" s="1">
        <v>24</v>
      </c>
      <c r="G522" s="2" t="s">
        <v>48</v>
      </c>
      <c r="J522"/>
      <c r="K522" s="19"/>
      <c r="L522" s="21"/>
      <c r="M522" s="27"/>
      <c r="N522" s="19"/>
      <c r="O522" s="21"/>
      <c r="P522" s="7">
        <v>-0.17499999999999999</v>
      </c>
      <c r="Q522" s="7">
        <f>Table2[[#This Row],[Elevation
PILE TOP]]-Table2[[#This Row],[LENGTH(m.)
(Actual)]]</f>
        <v>-0.17499999999999999</v>
      </c>
      <c r="R522" s="2"/>
      <c r="S522" s="7">
        <f>Table2[[#This Row],[N]]+Table2[[#This Row],[Pile 
Deviation 
N (m)]]</f>
        <v>1511761.575</v>
      </c>
      <c r="T522" s="7">
        <f>Table2[[#This Row],[E]]+Table2[[#This Row],[Pile 
Deviation 
E (m)]]</f>
        <v>694008.37100000004</v>
      </c>
      <c r="W522" s="7">
        <v>-0.67500000000000004</v>
      </c>
      <c r="X522" s="2" t="s">
        <v>33</v>
      </c>
      <c r="AA522" s="9">
        <v>46195</v>
      </c>
    </row>
    <row r="523" spans="1:27" ht="13.95" customHeight="1" x14ac:dyDescent="0.65">
      <c r="A523">
        <v>521</v>
      </c>
      <c r="B523" t="s">
        <v>29</v>
      </c>
      <c r="C523" s="6">
        <v>1511761.733</v>
      </c>
      <c r="D523" s="6">
        <v>694009.15500000003</v>
      </c>
      <c r="E523" s="2" t="s">
        <v>30</v>
      </c>
      <c r="F523" s="1">
        <v>24</v>
      </c>
      <c r="G523" s="2" t="s">
        <v>48</v>
      </c>
      <c r="J523"/>
      <c r="K523" s="19"/>
      <c r="L523" s="21"/>
      <c r="M523" s="27"/>
      <c r="N523" s="19"/>
      <c r="O523" s="21"/>
      <c r="P523" s="7">
        <v>-0.17499999999999999</v>
      </c>
      <c r="Q523" s="7">
        <f>Table2[[#This Row],[Elevation
PILE TOP]]-Table2[[#This Row],[LENGTH(m.)
(Actual)]]</f>
        <v>-0.17499999999999999</v>
      </c>
      <c r="R523" s="2"/>
      <c r="S523" s="7">
        <f>Table2[[#This Row],[N]]+Table2[[#This Row],[Pile 
Deviation 
N (m)]]</f>
        <v>1511761.733</v>
      </c>
      <c r="T523" s="7">
        <f>Table2[[#This Row],[E]]+Table2[[#This Row],[Pile 
Deviation 
E (m)]]</f>
        <v>694009.15500000003</v>
      </c>
      <c r="W523" s="7">
        <v>-0.67500000000000004</v>
      </c>
      <c r="X523" s="2" t="s">
        <v>33</v>
      </c>
      <c r="AA523" s="9">
        <v>46195</v>
      </c>
    </row>
    <row r="524" spans="1:27" x14ac:dyDescent="0.65">
      <c r="A524">
        <v>522</v>
      </c>
      <c r="B524" t="s">
        <v>29</v>
      </c>
      <c r="C524" s="6">
        <v>1511760.692</v>
      </c>
      <c r="D524" s="6">
        <v>694008.549</v>
      </c>
      <c r="E524" s="2" t="s">
        <v>30</v>
      </c>
      <c r="F524" s="1">
        <v>24</v>
      </c>
      <c r="G524" s="2" t="s">
        <v>48</v>
      </c>
      <c r="J524"/>
      <c r="K524" s="19"/>
      <c r="L524" s="21"/>
      <c r="M524" s="27"/>
      <c r="N524" s="19"/>
      <c r="O524" s="21"/>
      <c r="P524" s="7">
        <v>-0.17499999999999999</v>
      </c>
      <c r="Q524" s="7">
        <f>Table2[[#This Row],[Elevation
PILE TOP]]-Table2[[#This Row],[LENGTH(m.)
(Actual)]]</f>
        <v>-0.17499999999999999</v>
      </c>
      <c r="R524" s="2"/>
      <c r="S524" s="7">
        <f>Table2[[#This Row],[N]]+Table2[[#This Row],[Pile 
Deviation 
N (m)]]</f>
        <v>1511760.692</v>
      </c>
      <c r="T524" s="7">
        <f>Table2[[#This Row],[E]]+Table2[[#This Row],[Pile 
Deviation 
E (m)]]</f>
        <v>694008.549</v>
      </c>
      <c r="W524" s="7">
        <v>-0.67500000000000004</v>
      </c>
      <c r="X524" s="2" t="s">
        <v>33</v>
      </c>
      <c r="AA524" s="9">
        <v>46195</v>
      </c>
    </row>
    <row r="525" spans="1:27" ht="13.95" customHeight="1" x14ac:dyDescent="0.65">
      <c r="A525">
        <v>523</v>
      </c>
      <c r="B525" t="s">
        <v>29</v>
      </c>
      <c r="C525" s="6">
        <v>1511760.851</v>
      </c>
      <c r="D525" s="6">
        <v>694009.33299999998</v>
      </c>
      <c r="E525" s="2" t="s">
        <v>30</v>
      </c>
      <c r="F525" s="1">
        <v>24</v>
      </c>
      <c r="G525" s="2" t="s">
        <v>48</v>
      </c>
      <c r="J525"/>
      <c r="K525" s="19"/>
      <c r="L525" s="21"/>
      <c r="M525" s="27"/>
      <c r="N525" s="19"/>
      <c r="O525" s="21"/>
      <c r="P525" s="7">
        <v>-0.17499999999999999</v>
      </c>
      <c r="Q525" s="7">
        <f>Table2[[#This Row],[Elevation
PILE TOP]]-Table2[[#This Row],[LENGTH(m.)
(Actual)]]</f>
        <v>-0.17499999999999999</v>
      </c>
      <c r="R525" s="2"/>
      <c r="S525" s="7">
        <f>Table2[[#This Row],[N]]+Table2[[#This Row],[Pile 
Deviation 
N (m)]]</f>
        <v>1511760.851</v>
      </c>
      <c r="T525" s="7">
        <f>Table2[[#This Row],[E]]+Table2[[#This Row],[Pile 
Deviation 
E (m)]]</f>
        <v>694009.33299999998</v>
      </c>
      <c r="W525" s="7">
        <v>-0.67500000000000004</v>
      </c>
      <c r="X525" s="2" t="s">
        <v>33</v>
      </c>
      <c r="AA525" s="9">
        <v>46195</v>
      </c>
    </row>
    <row r="526" spans="1:27" x14ac:dyDescent="0.65">
      <c r="A526">
        <v>524</v>
      </c>
      <c r="B526" t="s">
        <v>29</v>
      </c>
      <c r="C526" s="6">
        <v>1511762.693</v>
      </c>
      <c r="D526" s="6">
        <v>694013.90899999999</v>
      </c>
      <c r="E526" s="2" t="s">
        <v>30</v>
      </c>
      <c r="F526" s="1">
        <v>24</v>
      </c>
      <c r="G526" s="2" t="s">
        <v>48</v>
      </c>
      <c r="J526"/>
      <c r="K526" s="19"/>
      <c r="L526" s="21"/>
      <c r="M526" s="27"/>
      <c r="N526" s="19"/>
      <c r="O526" s="21"/>
      <c r="P526" s="7">
        <v>-0.17499999999999999</v>
      </c>
      <c r="Q526" s="7">
        <f>Table2[[#This Row],[Elevation
PILE TOP]]-Table2[[#This Row],[LENGTH(m.)
(Actual)]]</f>
        <v>-0.17499999999999999</v>
      </c>
      <c r="R526" s="2"/>
      <c r="S526" s="7">
        <f>Table2[[#This Row],[N]]+Table2[[#This Row],[Pile 
Deviation 
N (m)]]</f>
        <v>1511762.693</v>
      </c>
      <c r="T526" s="7">
        <f>Table2[[#This Row],[E]]+Table2[[#This Row],[Pile 
Deviation 
E (m)]]</f>
        <v>694013.90899999999</v>
      </c>
      <c r="W526" s="7">
        <v>-0.67500000000000004</v>
      </c>
      <c r="X526" s="2" t="s">
        <v>33</v>
      </c>
      <c r="AA526" s="9">
        <v>46196</v>
      </c>
    </row>
    <row r="527" spans="1:27" ht="13.95" customHeight="1" x14ac:dyDescent="0.65">
      <c r="A527">
        <v>525</v>
      </c>
      <c r="B527" t="s">
        <v>29</v>
      </c>
      <c r="C527" s="6">
        <v>1511762.851</v>
      </c>
      <c r="D527" s="6">
        <v>694014.69299999997</v>
      </c>
      <c r="E527" s="2" t="s">
        <v>30</v>
      </c>
      <c r="F527" s="1">
        <v>24</v>
      </c>
      <c r="G527" s="2" t="s">
        <v>48</v>
      </c>
      <c r="J527"/>
      <c r="K527" s="19"/>
      <c r="L527" s="21"/>
      <c r="M527" s="27"/>
      <c r="N527" s="19"/>
      <c r="O527" s="21"/>
      <c r="P527" s="7">
        <v>-0.17499999999999999</v>
      </c>
      <c r="Q527" s="7">
        <f>Table2[[#This Row],[Elevation
PILE TOP]]-Table2[[#This Row],[LENGTH(m.)
(Actual)]]</f>
        <v>-0.17499999999999999</v>
      </c>
      <c r="R527" s="2"/>
      <c r="S527" s="7">
        <f>Table2[[#This Row],[N]]+Table2[[#This Row],[Pile 
Deviation 
N (m)]]</f>
        <v>1511762.851</v>
      </c>
      <c r="T527" s="7">
        <f>Table2[[#This Row],[E]]+Table2[[#This Row],[Pile 
Deviation 
E (m)]]</f>
        <v>694014.69299999997</v>
      </c>
      <c r="W527" s="7">
        <v>-0.67500000000000004</v>
      </c>
      <c r="X527" s="2" t="s">
        <v>33</v>
      </c>
      <c r="AA527" s="9">
        <v>46196</v>
      </c>
    </row>
    <row r="528" spans="1:27" x14ac:dyDescent="0.65">
      <c r="A528">
        <v>526</v>
      </c>
      <c r="B528" t="s">
        <v>29</v>
      </c>
      <c r="C528" s="6">
        <v>1511761.811</v>
      </c>
      <c r="D528" s="6">
        <v>694014.08700000006</v>
      </c>
      <c r="E528" s="2" t="s">
        <v>30</v>
      </c>
      <c r="F528" s="1">
        <v>24</v>
      </c>
      <c r="G528" s="2" t="s">
        <v>48</v>
      </c>
      <c r="J528"/>
      <c r="K528" s="19"/>
      <c r="L528" s="21"/>
      <c r="M528" s="27"/>
      <c r="N528" s="19"/>
      <c r="O528" s="21"/>
      <c r="P528" s="7">
        <v>-0.17499999999999999</v>
      </c>
      <c r="Q528" s="7">
        <f>Table2[[#This Row],[Elevation
PILE TOP]]-Table2[[#This Row],[LENGTH(m.)
(Actual)]]</f>
        <v>-0.17499999999999999</v>
      </c>
      <c r="R528" s="2"/>
      <c r="S528" s="7">
        <f>Table2[[#This Row],[N]]+Table2[[#This Row],[Pile 
Deviation 
N (m)]]</f>
        <v>1511761.811</v>
      </c>
      <c r="T528" s="7">
        <f>Table2[[#This Row],[E]]+Table2[[#This Row],[Pile 
Deviation 
E (m)]]</f>
        <v>694014.08700000006</v>
      </c>
      <c r="W528" s="7">
        <v>-0.67500000000000004</v>
      </c>
      <c r="X528" s="2" t="s">
        <v>33</v>
      </c>
      <c r="AA528" s="9">
        <v>46196</v>
      </c>
    </row>
    <row r="529" spans="1:27" ht="13.95" customHeight="1" x14ac:dyDescent="0.65">
      <c r="A529">
        <v>527</v>
      </c>
      <c r="B529" t="s">
        <v>29</v>
      </c>
      <c r="C529" s="6">
        <v>1511761.969</v>
      </c>
      <c r="D529" s="6">
        <v>694014.87100000004</v>
      </c>
      <c r="E529" s="2" t="s">
        <v>30</v>
      </c>
      <c r="F529" s="1">
        <v>24</v>
      </c>
      <c r="G529" s="2" t="s">
        <v>48</v>
      </c>
      <c r="J529"/>
      <c r="K529" s="19"/>
      <c r="L529" s="21"/>
      <c r="M529" s="27"/>
      <c r="N529" s="19"/>
      <c r="O529" s="21"/>
      <c r="P529" s="7">
        <v>-0.17499999999999999</v>
      </c>
      <c r="Q529" s="7">
        <f>Table2[[#This Row],[Elevation
PILE TOP]]-Table2[[#This Row],[LENGTH(m.)
(Actual)]]</f>
        <v>-0.17499999999999999</v>
      </c>
      <c r="R529" s="2"/>
      <c r="S529" s="7">
        <f>Table2[[#This Row],[N]]+Table2[[#This Row],[Pile 
Deviation 
N (m)]]</f>
        <v>1511761.969</v>
      </c>
      <c r="T529" s="7">
        <f>Table2[[#This Row],[E]]+Table2[[#This Row],[Pile 
Deviation 
E (m)]]</f>
        <v>694014.87100000004</v>
      </c>
      <c r="W529" s="7">
        <v>-0.67500000000000004</v>
      </c>
      <c r="X529" s="2" t="s">
        <v>33</v>
      </c>
      <c r="AA529" s="9">
        <v>46196</v>
      </c>
    </row>
    <row r="530" spans="1:27" x14ac:dyDescent="0.65">
      <c r="A530">
        <v>528</v>
      </c>
      <c r="B530" t="s">
        <v>29</v>
      </c>
      <c r="C530" s="6">
        <v>1511763.8119999999</v>
      </c>
      <c r="D530" s="6">
        <v>694019.44700000004</v>
      </c>
      <c r="E530" s="2" t="s">
        <v>30</v>
      </c>
      <c r="F530" s="1">
        <v>24</v>
      </c>
      <c r="G530" s="2" t="s">
        <v>48</v>
      </c>
      <c r="J530"/>
      <c r="K530" s="19"/>
      <c r="L530" s="21"/>
      <c r="M530" s="27"/>
      <c r="N530" s="19"/>
      <c r="O530" s="21"/>
      <c r="P530" s="7">
        <v>-0.17499999999999999</v>
      </c>
      <c r="Q530" s="7">
        <f>Table2[[#This Row],[Elevation
PILE TOP]]-Table2[[#This Row],[LENGTH(m.)
(Actual)]]</f>
        <v>-0.17499999999999999</v>
      </c>
      <c r="R530" s="2"/>
      <c r="S530" s="7">
        <f>Table2[[#This Row],[N]]+Table2[[#This Row],[Pile 
Deviation 
N (m)]]</f>
        <v>1511763.8119999999</v>
      </c>
      <c r="T530" s="7">
        <f>Table2[[#This Row],[E]]+Table2[[#This Row],[Pile 
Deviation 
E (m)]]</f>
        <v>694019.44700000004</v>
      </c>
      <c r="W530" s="7">
        <v>-0.67500000000000004</v>
      </c>
      <c r="X530" s="2" t="s">
        <v>33</v>
      </c>
      <c r="AA530" s="9">
        <v>46196</v>
      </c>
    </row>
    <row r="531" spans="1:27" ht="13.95" customHeight="1" x14ac:dyDescent="0.65">
      <c r="A531">
        <v>529</v>
      </c>
      <c r="B531" t="s">
        <v>29</v>
      </c>
      <c r="C531" s="6">
        <v>1511763.97</v>
      </c>
      <c r="D531" s="6">
        <v>694020.23100000003</v>
      </c>
      <c r="E531" s="2" t="s">
        <v>30</v>
      </c>
      <c r="F531" s="1">
        <v>24</v>
      </c>
      <c r="G531" s="2" t="s">
        <v>48</v>
      </c>
      <c r="J531"/>
      <c r="K531" s="19"/>
      <c r="L531" s="21"/>
      <c r="M531" s="27"/>
      <c r="N531" s="19"/>
      <c r="O531" s="21"/>
      <c r="P531" s="7">
        <v>-0.17499999999999999</v>
      </c>
      <c r="Q531" s="7">
        <f>Table2[[#This Row],[Elevation
PILE TOP]]-Table2[[#This Row],[LENGTH(m.)
(Actual)]]</f>
        <v>-0.17499999999999999</v>
      </c>
      <c r="R531" s="2"/>
      <c r="S531" s="7">
        <f>Table2[[#This Row],[N]]+Table2[[#This Row],[Pile 
Deviation 
N (m)]]</f>
        <v>1511763.97</v>
      </c>
      <c r="T531" s="7">
        <f>Table2[[#This Row],[E]]+Table2[[#This Row],[Pile 
Deviation 
E (m)]]</f>
        <v>694020.23100000003</v>
      </c>
      <c r="W531" s="7">
        <v>-0.67500000000000004</v>
      </c>
      <c r="X531" s="2" t="s">
        <v>33</v>
      </c>
      <c r="AA531" s="9">
        <v>46196</v>
      </c>
    </row>
    <row r="532" spans="1:27" x14ac:dyDescent="0.65">
      <c r="A532">
        <v>530</v>
      </c>
      <c r="B532" t="s">
        <v>29</v>
      </c>
      <c r="C532" s="6">
        <v>1511762.929</v>
      </c>
      <c r="D532" s="6">
        <v>694019.625</v>
      </c>
      <c r="E532" s="2" t="s">
        <v>30</v>
      </c>
      <c r="F532" s="1">
        <v>24</v>
      </c>
      <c r="G532" s="2" t="s">
        <v>48</v>
      </c>
      <c r="J532"/>
      <c r="K532" s="19"/>
      <c r="L532" s="21"/>
      <c r="M532" s="27"/>
      <c r="N532" s="19"/>
      <c r="O532" s="21"/>
      <c r="P532" s="7">
        <v>-0.17499999999999999</v>
      </c>
      <c r="Q532" s="7">
        <f>Table2[[#This Row],[Elevation
PILE TOP]]-Table2[[#This Row],[LENGTH(m.)
(Actual)]]</f>
        <v>-0.17499999999999999</v>
      </c>
      <c r="R532" s="2"/>
      <c r="S532" s="7">
        <f>Table2[[#This Row],[N]]+Table2[[#This Row],[Pile 
Deviation 
N (m)]]</f>
        <v>1511762.929</v>
      </c>
      <c r="T532" s="7">
        <f>Table2[[#This Row],[E]]+Table2[[#This Row],[Pile 
Deviation 
E (m)]]</f>
        <v>694019.625</v>
      </c>
      <c r="W532" s="7">
        <v>-0.67500000000000004</v>
      </c>
      <c r="X532" s="2" t="s">
        <v>33</v>
      </c>
      <c r="AA532" s="9">
        <v>46196</v>
      </c>
    </row>
    <row r="533" spans="1:27" ht="13.95" customHeight="1" x14ac:dyDescent="0.65">
      <c r="A533">
        <v>531</v>
      </c>
      <c r="B533" t="s">
        <v>29</v>
      </c>
      <c r="C533" s="6">
        <v>1511763.088</v>
      </c>
      <c r="D533" s="6">
        <v>694020.40899999999</v>
      </c>
      <c r="E533" s="2" t="s">
        <v>30</v>
      </c>
      <c r="F533" s="1">
        <v>24</v>
      </c>
      <c r="G533" s="2" t="s">
        <v>48</v>
      </c>
      <c r="J533"/>
      <c r="K533" s="19"/>
      <c r="L533" s="21"/>
      <c r="M533" s="27"/>
      <c r="N533" s="19"/>
      <c r="O533" s="21"/>
      <c r="P533" s="7">
        <v>-0.17499999999999999</v>
      </c>
      <c r="Q533" s="7">
        <f>Table2[[#This Row],[Elevation
PILE TOP]]-Table2[[#This Row],[LENGTH(m.)
(Actual)]]</f>
        <v>-0.17499999999999999</v>
      </c>
      <c r="R533" s="2"/>
      <c r="S533" s="7">
        <f>Table2[[#This Row],[N]]+Table2[[#This Row],[Pile 
Deviation 
N (m)]]</f>
        <v>1511763.088</v>
      </c>
      <c r="T533" s="7">
        <f>Table2[[#This Row],[E]]+Table2[[#This Row],[Pile 
Deviation 
E (m)]]</f>
        <v>694020.40899999999</v>
      </c>
      <c r="W533" s="7">
        <v>-0.67500000000000004</v>
      </c>
      <c r="X533" s="2" t="s">
        <v>33</v>
      </c>
      <c r="AA533" s="9">
        <v>46196</v>
      </c>
    </row>
    <row r="534" spans="1:27" x14ac:dyDescent="0.65">
      <c r="A534">
        <v>532</v>
      </c>
      <c r="B534" t="s">
        <v>29</v>
      </c>
      <c r="C534" s="6">
        <v>1511764.93</v>
      </c>
      <c r="D534" s="6">
        <v>694024.98499999999</v>
      </c>
      <c r="E534" s="2" t="s">
        <v>30</v>
      </c>
      <c r="F534" s="1">
        <v>24</v>
      </c>
      <c r="G534" s="2" t="s">
        <v>48</v>
      </c>
      <c r="J534"/>
      <c r="K534" s="19"/>
      <c r="L534" s="21"/>
      <c r="M534" s="27"/>
      <c r="N534" s="19"/>
      <c r="O534" s="21"/>
      <c r="P534" s="7">
        <v>-0.17499999999999999</v>
      </c>
      <c r="Q534" s="7">
        <f>Table2[[#This Row],[Elevation
PILE TOP]]-Table2[[#This Row],[LENGTH(m.)
(Actual)]]</f>
        <v>-0.17499999999999999</v>
      </c>
      <c r="R534" s="2"/>
      <c r="S534" s="7">
        <f>Table2[[#This Row],[N]]+Table2[[#This Row],[Pile 
Deviation 
N (m)]]</f>
        <v>1511764.93</v>
      </c>
      <c r="T534" s="7">
        <f>Table2[[#This Row],[E]]+Table2[[#This Row],[Pile 
Deviation 
E (m)]]</f>
        <v>694024.98499999999</v>
      </c>
      <c r="W534" s="7">
        <v>-0.67500000000000004</v>
      </c>
      <c r="X534" s="2" t="s">
        <v>33</v>
      </c>
      <c r="AA534" s="9">
        <v>46197</v>
      </c>
    </row>
    <row r="535" spans="1:27" ht="13.95" customHeight="1" x14ac:dyDescent="0.65">
      <c r="A535">
        <v>533</v>
      </c>
      <c r="B535" t="s">
        <v>29</v>
      </c>
      <c r="C535" s="6">
        <v>1511765.088</v>
      </c>
      <c r="D535" s="6">
        <v>694025.76899999997</v>
      </c>
      <c r="E535" s="2" t="s">
        <v>30</v>
      </c>
      <c r="F535" s="1">
        <v>24</v>
      </c>
      <c r="G535" s="2" t="s">
        <v>48</v>
      </c>
      <c r="J535"/>
      <c r="K535" s="19"/>
      <c r="L535" s="21"/>
      <c r="M535" s="27"/>
      <c r="N535" s="19"/>
      <c r="O535" s="21"/>
      <c r="P535" s="7">
        <v>-0.17499999999999999</v>
      </c>
      <c r="Q535" s="7">
        <f>Table2[[#This Row],[Elevation
PILE TOP]]-Table2[[#This Row],[LENGTH(m.)
(Actual)]]</f>
        <v>-0.17499999999999999</v>
      </c>
      <c r="R535" s="2"/>
      <c r="S535" s="7">
        <f>Table2[[#This Row],[N]]+Table2[[#This Row],[Pile 
Deviation 
N (m)]]</f>
        <v>1511765.088</v>
      </c>
      <c r="T535" s="7">
        <f>Table2[[#This Row],[E]]+Table2[[#This Row],[Pile 
Deviation 
E (m)]]</f>
        <v>694025.76899999997</v>
      </c>
      <c r="W535" s="7">
        <v>-0.67500000000000004</v>
      </c>
      <c r="X535" s="2" t="s">
        <v>33</v>
      </c>
      <c r="AA535" s="9">
        <v>46197</v>
      </c>
    </row>
    <row r="536" spans="1:27" x14ac:dyDescent="0.65">
      <c r="A536">
        <v>534</v>
      </c>
      <c r="B536" t="s">
        <v>29</v>
      </c>
      <c r="C536" s="6">
        <v>1511764.048</v>
      </c>
      <c r="D536" s="6">
        <v>694025.16299999994</v>
      </c>
      <c r="E536" s="2" t="s">
        <v>30</v>
      </c>
      <c r="F536" s="1">
        <v>24</v>
      </c>
      <c r="G536" s="2" t="s">
        <v>48</v>
      </c>
      <c r="J536"/>
      <c r="K536" s="19"/>
      <c r="L536" s="21"/>
      <c r="M536" s="27"/>
      <c r="N536" s="19"/>
      <c r="O536" s="21"/>
      <c r="P536" s="7">
        <v>-0.17499999999999999</v>
      </c>
      <c r="Q536" s="7">
        <f>Table2[[#This Row],[Elevation
PILE TOP]]-Table2[[#This Row],[LENGTH(m.)
(Actual)]]</f>
        <v>-0.17499999999999999</v>
      </c>
      <c r="R536" s="2"/>
      <c r="S536" s="7">
        <f>Table2[[#This Row],[N]]+Table2[[#This Row],[Pile 
Deviation 
N (m)]]</f>
        <v>1511764.048</v>
      </c>
      <c r="T536" s="7">
        <f>Table2[[#This Row],[E]]+Table2[[#This Row],[Pile 
Deviation 
E (m)]]</f>
        <v>694025.16299999994</v>
      </c>
      <c r="W536" s="7">
        <v>-0.67500000000000004</v>
      </c>
      <c r="X536" s="2" t="s">
        <v>33</v>
      </c>
      <c r="AA536" s="9">
        <v>46197</v>
      </c>
    </row>
    <row r="537" spans="1:27" ht="13.95" customHeight="1" x14ac:dyDescent="0.65">
      <c r="A537">
        <v>535</v>
      </c>
      <c r="B537" t="s">
        <v>29</v>
      </c>
      <c r="C537" s="6">
        <v>1511764.206</v>
      </c>
      <c r="D537" s="6">
        <v>694025.94799999997</v>
      </c>
      <c r="E537" s="2" t="s">
        <v>30</v>
      </c>
      <c r="F537" s="1">
        <v>24</v>
      </c>
      <c r="G537" s="2" t="s">
        <v>48</v>
      </c>
      <c r="J537"/>
      <c r="K537" s="19"/>
      <c r="L537" s="21"/>
      <c r="M537" s="27"/>
      <c r="N537" s="19"/>
      <c r="O537" s="21"/>
      <c r="P537" s="7">
        <v>-0.17499999999999999</v>
      </c>
      <c r="Q537" s="7">
        <f>Table2[[#This Row],[Elevation
PILE TOP]]-Table2[[#This Row],[LENGTH(m.)
(Actual)]]</f>
        <v>-0.17499999999999999</v>
      </c>
      <c r="R537" s="2"/>
      <c r="S537" s="7">
        <f>Table2[[#This Row],[N]]+Table2[[#This Row],[Pile 
Deviation 
N (m)]]</f>
        <v>1511764.206</v>
      </c>
      <c r="T537" s="7">
        <f>Table2[[#This Row],[E]]+Table2[[#This Row],[Pile 
Deviation 
E (m)]]</f>
        <v>694025.94799999997</v>
      </c>
      <c r="W537" s="7">
        <v>-0.67500000000000004</v>
      </c>
      <c r="X537" s="2" t="s">
        <v>33</v>
      </c>
      <c r="AA537" s="9">
        <v>46197</v>
      </c>
    </row>
    <row r="538" spans="1:27" x14ac:dyDescent="0.65">
      <c r="A538">
        <v>536</v>
      </c>
      <c r="B538" t="s">
        <v>29</v>
      </c>
      <c r="C538" s="6">
        <v>1511765.9890000001</v>
      </c>
      <c r="D538" s="6">
        <v>694030.22900000005</v>
      </c>
      <c r="E538" s="2" t="s">
        <v>30</v>
      </c>
      <c r="F538" s="1">
        <v>24</v>
      </c>
      <c r="G538" s="2" t="s">
        <v>48</v>
      </c>
      <c r="J538"/>
      <c r="K538" s="19"/>
      <c r="L538" s="21"/>
      <c r="M538" s="27"/>
      <c r="N538" s="19"/>
      <c r="O538" s="21"/>
      <c r="P538" s="7">
        <v>-0.17499999999999999</v>
      </c>
      <c r="Q538" s="7">
        <f>Table2[[#This Row],[Elevation
PILE TOP]]-Table2[[#This Row],[LENGTH(m.)
(Actual)]]</f>
        <v>-0.17499999999999999</v>
      </c>
      <c r="R538" s="2"/>
      <c r="S538" s="7">
        <f>Table2[[#This Row],[N]]+Table2[[#This Row],[Pile 
Deviation 
N (m)]]</f>
        <v>1511765.9890000001</v>
      </c>
      <c r="T538" s="7">
        <f>Table2[[#This Row],[E]]+Table2[[#This Row],[Pile 
Deviation 
E (m)]]</f>
        <v>694030.22900000005</v>
      </c>
      <c r="W538" s="7">
        <v>-0.67500000000000004</v>
      </c>
      <c r="X538" s="2" t="s">
        <v>33</v>
      </c>
      <c r="AA538" s="9">
        <v>46197</v>
      </c>
    </row>
    <row r="539" spans="1:27" ht="13.95" customHeight="1" x14ac:dyDescent="0.65">
      <c r="A539">
        <v>537</v>
      </c>
      <c r="B539" t="s">
        <v>29</v>
      </c>
      <c r="C539" s="6">
        <v>1511766.1470000001</v>
      </c>
      <c r="D539" s="6">
        <v>694031.01399999997</v>
      </c>
      <c r="E539" s="2" t="s">
        <v>30</v>
      </c>
      <c r="F539" s="1">
        <v>24</v>
      </c>
      <c r="G539" s="2" t="s">
        <v>48</v>
      </c>
      <c r="J539"/>
      <c r="K539" s="19"/>
      <c r="L539" s="21"/>
      <c r="M539" s="27"/>
      <c r="N539" s="19"/>
      <c r="O539" s="21"/>
      <c r="P539" s="7">
        <v>-0.17499999999999999</v>
      </c>
      <c r="Q539" s="7">
        <f>Table2[[#This Row],[Elevation
PILE TOP]]-Table2[[#This Row],[LENGTH(m.)
(Actual)]]</f>
        <v>-0.17499999999999999</v>
      </c>
      <c r="R539" s="2"/>
      <c r="S539" s="7">
        <f>Table2[[#This Row],[N]]+Table2[[#This Row],[Pile 
Deviation 
N (m)]]</f>
        <v>1511766.1470000001</v>
      </c>
      <c r="T539" s="7">
        <f>Table2[[#This Row],[E]]+Table2[[#This Row],[Pile 
Deviation 
E (m)]]</f>
        <v>694031.01399999997</v>
      </c>
      <c r="W539" s="7">
        <v>-0.67500000000000004</v>
      </c>
      <c r="X539" s="2" t="s">
        <v>33</v>
      </c>
      <c r="AA539" s="9">
        <v>46197</v>
      </c>
    </row>
    <row r="540" spans="1:27" x14ac:dyDescent="0.65">
      <c r="A540">
        <v>538</v>
      </c>
      <c r="B540" t="s">
        <v>29</v>
      </c>
      <c r="C540" s="6">
        <v>1511765.1070000001</v>
      </c>
      <c r="D540" s="6">
        <v>694030.40800000005</v>
      </c>
      <c r="E540" s="2" t="s">
        <v>30</v>
      </c>
      <c r="F540" s="1">
        <v>24</v>
      </c>
      <c r="G540" s="2" t="s">
        <v>48</v>
      </c>
      <c r="J540"/>
      <c r="K540" s="19"/>
      <c r="L540" s="21"/>
      <c r="M540" s="27"/>
      <c r="N540" s="19"/>
      <c r="O540" s="21"/>
      <c r="P540" s="7">
        <v>-0.17499999999999999</v>
      </c>
      <c r="Q540" s="7">
        <f>Table2[[#This Row],[Elevation
PILE TOP]]-Table2[[#This Row],[LENGTH(m.)
(Actual)]]</f>
        <v>-0.17499999999999999</v>
      </c>
      <c r="R540" s="2"/>
      <c r="S540" s="7">
        <f>Table2[[#This Row],[N]]+Table2[[#This Row],[Pile 
Deviation 
N (m)]]</f>
        <v>1511765.1070000001</v>
      </c>
      <c r="T540" s="7">
        <f>Table2[[#This Row],[E]]+Table2[[#This Row],[Pile 
Deviation 
E (m)]]</f>
        <v>694030.40800000005</v>
      </c>
      <c r="W540" s="7">
        <v>-0.67500000000000004</v>
      </c>
      <c r="X540" s="2" t="s">
        <v>33</v>
      </c>
      <c r="AA540" s="9">
        <v>46197</v>
      </c>
    </row>
    <row r="541" spans="1:27" ht="13.95" customHeight="1" x14ac:dyDescent="0.65">
      <c r="A541">
        <v>539</v>
      </c>
      <c r="B541" t="s">
        <v>29</v>
      </c>
      <c r="C541" s="6">
        <v>1511765.2649999999</v>
      </c>
      <c r="D541" s="6">
        <v>694031.19200000004</v>
      </c>
      <c r="E541" s="2" t="s">
        <v>30</v>
      </c>
      <c r="F541" s="1">
        <v>24</v>
      </c>
      <c r="G541" s="2" t="s">
        <v>48</v>
      </c>
      <c r="J541"/>
      <c r="K541" s="19"/>
      <c r="L541" s="21"/>
      <c r="M541" s="27"/>
      <c r="N541" s="19"/>
      <c r="O541" s="21"/>
      <c r="P541" s="7">
        <v>-0.17499999999999999</v>
      </c>
      <c r="Q541" s="7">
        <f>Table2[[#This Row],[Elevation
PILE TOP]]-Table2[[#This Row],[LENGTH(m.)
(Actual)]]</f>
        <v>-0.17499999999999999</v>
      </c>
      <c r="R541" s="2"/>
      <c r="S541" s="7">
        <f>Table2[[#This Row],[N]]+Table2[[#This Row],[Pile 
Deviation 
N (m)]]</f>
        <v>1511765.2649999999</v>
      </c>
      <c r="T541" s="7">
        <f>Table2[[#This Row],[E]]+Table2[[#This Row],[Pile 
Deviation 
E (m)]]</f>
        <v>694031.19200000004</v>
      </c>
      <c r="W541" s="7">
        <v>-0.67500000000000004</v>
      </c>
      <c r="X541" s="2" t="s">
        <v>33</v>
      </c>
      <c r="AA541" s="9">
        <v>46197</v>
      </c>
    </row>
    <row r="542" spans="1:27" x14ac:dyDescent="0.65">
      <c r="A542">
        <v>540</v>
      </c>
      <c r="B542" t="s">
        <v>29</v>
      </c>
      <c r="C542" s="6">
        <v>1511767.0379999999</v>
      </c>
      <c r="D542" s="6">
        <v>694035.42500000005</v>
      </c>
      <c r="E542" s="2" t="s">
        <v>30</v>
      </c>
      <c r="F542" s="1">
        <v>24</v>
      </c>
      <c r="G542" s="2" t="s">
        <v>48</v>
      </c>
      <c r="J542"/>
      <c r="K542" s="19"/>
      <c r="L542" s="21"/>
      <c r="M542" s="27"/>
      <c r="N542" s="19"/>
      <c r="O542" s="21"/>
      <c r="P542" s="7">
        <v>-0.17499999999999999</v>
      </c>
      <c r="Q542" s="7">
        <f>Table2[[#This Row],[Elevation
PILE TOP]]-Table2[[#This Row],[LENGTH(m.)
(Actual)]]</f>
        <v>-0.17499999999999999</v>
      </c>
      <c r="R542" s="2"/>
      <c r="S542" s="7">
        <f>Table2[[#This Row],[N]]+Table2[[#This Row],[Pile 
Deviation 
N (m)]]</f>
        <v>1511767.0379999999</v>
      </c>
      <c r="T542" s="7">
        <f>Table2[[#This Row],[E]]+Table2[[#This Row],[Pile 
Deviation 
E (m)]]</f>
        <v>694035.42500000005</v>
      </c>
      <c r="W542" s="7">
        <v>-0.67500000000000004</v>
      </c>
      <c r="X542" s="2" t="s">
        <v>33</v>
      </c>
      <c r="AA542" s="9">
        <v>46198</v>
      </c>
    </row>
    <row r="543" spans="1:27" ht="13.95" customHeight="1" x14ac:dyDescent="0.65">
      <c r="A543">
        <v>541</v>
      </c>
      <c r="B543" t="s">
        <v>29</v>
      </c>
      <c r="C543" s="6">
        <v>1511767.1969999999</v>
      </c>
      <c r="D543" s="6">
        <v>694036.20900000003</v>
      </c>
      <c r="E543" s="2" t="s">
        <v>30</v>
      </c>
      <c r="F543" s="1">
        <v>24</v>
      </c>
      <c r="G543" s="2" t="s">
        <v>48</v>
      </c>
      <c r="J543"/>
      <c r="K543" s="19"/>
      <c r="L543" s="21"/>
      <c r="M543" s="27"/>
      <c r="N543" s="19"/>
      <c r="O543" s="21"/>
      <c r="P543" s="7">
        <v>-0.17499999999999999</v>
      </c>
      <c r="Q543" s="7">
        <f>Table2[[#This Row],[Elevation
PILE TOP]]-Table2[[#This Row],[LENGTH(m.)
(Actual)]]</f>
        <v>-0.17499999999999999</v>
      </c>
      <c r="R543" s="2"/>
      <c r="S543" s="7">
        <f>Table2[[#This Row],[N]]+Table2[[#This Row],[Pile 
Deviation 
N (m)]]</f>
        <v>1511767.1969999999</v>
      </c>
      <c r="T543" s="7">
        <f>Table2[[#This Row],[E]]+Table2[[#This Row],[Pile 
Deviation 
E (m)]]</f>
        <v>694036.20900000003</v>
      </c>
      <c r="W543" s="7">
        <v>-0.67500000000000004</v>
      </c>
      <c r="X543" s="2" t="s">
        <v>33</v>
      </c>
      <c r="AA543" s="9">
        <v>46198</v>
      </c>
    </row>
    <row r="544" spans="1:27" x14ac:dyDescent="0.65">
      <c r="A544">
        <v>542</v>
      </c>
      <c r="B544" t="s">
        <v>29</v>
      </c>
      <c r="C544" s="6">
        <v>1511766.156</v>
      </c>
      <c r="D544" s="6">
        <v>694035.603</v>
      </c>
      <c r="E544" s="2" t="s">
        <v>30</v>
      </c>
      <c r="F544" s="1">
        <v>24</v>
      </c>
      <c r="G544" s="2" t="s">
        <v>48</v>
      </c>
      <c r="J544"/>
      <c r="K544" s="19"/>
      <c r="L544" s="21"/>
      <c r="M544" s="27"/>
      <c r="N544" s="19"/>
      <c r="O544" s="21"/>
      <c r="P544" s="7">
        <v>-0.17499999999999999</v>
      </c>
      <c r="Q544" s="7">
        <f>Table2[[#This Row],[Elevation
PILE TOP]]-Table2[[#This Row],[LENGTH(m.)
(Actual)]]</f>
        <v>-0.17499999999999999</v>
      </c>
      <c r="R544" s="2"/>
      <c r="S544" s="7">
        <f>Table2[[#This Row],[N]]+Table2[[#This Row],[Pile 
Deviation 
N (m)]]</f>
        <v>1511766.156</v>
      </c>
      <c r="T544" s="7">
        <f>Table2[[#This Row],[E]]+Table2[[#This Row],[Pile 
Deviation 
E (m)]]</f>
        <v>694035.603</v>
      </c>
      <c r="W544" s="7">
        <v>-0.67500000000000004</v>
      </c>
      <c r="X544" s="2" t="s">
        <v>33</v>
      </c>
      <c r="AA544" s="9">
        <v>46198</v>
      </c>
    </row>
    <row r="545" spans="1:27" ht="13.95" customHeight="1" x14ac:dyDescent="0.65">
      <c r="A545">
        <v>543</v>
      </c>
      <c r="B545" t="s">
        <v>29</v>
      </c>
      <c r="C545" s="6">
        <v>1511766.314</v>
      </c>
      <c r="D545" s="6">
        <v>694036.38699999999</v>
      </c>
      <c r="E545" s="2" t="s">
        <v>30</v>
      </c>
      <c r="F545" s="1">
        <v>24</v>
      </c>
      <c r="G545" s="2" t="s">
        <v>48</v>
      </c>
      <c r="J545"/>
      <c r="K545" s="19"/>
      <c r="L545" s="21"/>
      <c r="M545" s="27"/>
      <c r="N545" s="19"/>
      <c r="O545" s="21"/>
      <c r="P545" s="7">
        <v>-0.17499999999999999</v>
      </c>
      <c r="Q545" s="7">
        <f>Table2[[#This Row],[Elevation
PILE TOP]]-Table2[[#This Row],[LENGTH(m.)
(Actual)]]</f>
        <v>-0.17499999999999999</v>
      </c>
      <c r="R545" s="2"/>
      <c r="S545" s="7">
        <f>Table2[[#This Row],[N]]+Table2[[#This Row],[Pile 
Deviation 
N (m)]]</f>
        <v>1511766.314</v>
      </c>
      <c r="T545" s="7">
        <f>Table2[[#This Row],[E]]+Table2[[#This Row],[Pile 
Deviation 
E (m)]]</f>
        <v>694036.38699999999</v>
      </c>
      <c r="W545" s="7">
        <v>-0.67500000000000004</v>
      </c>
      <c r="X545" s="2" t="s">
        <v>33</v>
      </c>
      <c r="AA545" s="9">
        <v>46198</v>
      </c>
    </row>
    <row r="546" spans="1:27" x14ac:dyDescent="0.65">
      <c r="A546">
        <v>544</v>
      </c>
      <c r="B546" t="s">
        <v>29</v>
      </c>
      <c r="C546" s="6">
        <v>1511768.206</v>
      </c>
      <c r="D546" s="6">
        <v>694040.95299999998</v>
      </c>
      <c r="E546" s="2" t="s">
        <v>30</v>
      </c>
      <c r="F546" s="1">
        <v>24</v>
      </c>
      <c r="G546" s="2" t="s">
        <v>48</v>
      </c>
      <c r="J546"/>
      <c r="K546" s="19"/>
      <c r="L546" s="21"/>
      <c r="M546" s="27"/>
      <c r="N546" s="19"/>
      <c r="O546" s="21"/>
      <c r="P546" s="7">
        <v>-0.17499999999999999</v>
      </c>
      <c r="Q546" s="7">
        <f>Table2[[#This Row],[Elevation
PILE TOP]]-Table2[[#This Row],[LENGTH(m.)
(Actual)]]</f>
        <v>-0.17499999999999999</v>
      </c>
      <c r="R546" s="2"/>
      <c r="S546" s="7">
        <f>Table2[[#This Row],[N]]+Table2[[#This Row],[Pile 
Deviation 
N (m)]]</f>
        <v>1511768.206</v>
      </c>
      <c r="T546" s="7">
        <f>Table2[[#This Row],[E]]+Table2[[#This Row],[Pile 
Deviation 
E (m)]]</f>
        <v>694040.95299999998</v>
      </c>
      <c r="W546" s="7">
        <v>-0.67500000000000004</v>
      </c>
      <c r="X546" s="2" t="s">
        <v>33</v>
      </c>
      <c r="AA546" s="9">
        <v>46198</v>
      </c>
    </row>
    <row r="547" spans="1:27" ht="13.95" customHeight="1" x14ac:dyDescent="0.65">
      <c r="A547">
        <v>545</v>
      </c>
      <c r="B547" t="s">
        <v>29</v>
      </c>
      <c r="C547" s="6">
        <v>1511768.3840000001</v>
      </c>
      <c r="D547" s="6">
        <v>694041.83499999996</v>
      </c>
      <c r="E547" s="2" t="s">
        <v>30</v>
      </c>
      <c r="F547" s="1">
        <v>24</v>
      </c>
      <c r="G547" s="2" t="s">
        <v>48</v>
      </c>
      <c r="J547"/>
      <c r="K547" s="19"/>
      <c r="L547" s="21"/>
      <c r="M547" s="27"/>
      <c r="N547" s="19"/>
      <c r="O547" s="21"/>
      <c r="P547" s="7">
        <v>-0.17499999999999999</v>
      </c>
      <c r="Q547" s="7">
        <f>Table2[[#This Row],[Elevation
PILE TOP]]-Table2[[#This Row],[LENGTH(m.)
(Actual)]]</f>
        <v>-0.17499999999999999</v>
      </c>
      <c r="R547" s="2"/>
      <c r="S547" s="7">
        <f>Table2[[#This Row],[N]]+Table2[[#This Row],[Pile 
Deviation 
N (m)]]</f>
        <v>1511768.3840000001</v>
      </c>
      <c r="T547" s="7">
        <f>Table2[[#This Row],[E]]+Table2[[#This Row],[Pile 
Deviation 
E (m)]]</f>
        <v>694041.83499999996</v>
      </c>
      <c r="W547" s="7">
        <v>-0.67500000000000004</v>
      </c>
      <c r="X547" s="2" t="s">
        <v>33</v>
      </c>
      <c r="AA547" s="9">
        <v>46198</v>
      </c>
    </row>
    <row r="548" spans="1:27" x14ac:dyDescent="0.65">
      <c r="A548">
        <v>546</v>
      </c>
      <c r="B548" t="s">
        <v>29</v>
      </c>
      <c r="C548" s="6">
        <v>1511767.4210000001</v>
      </c>
      <c r="D548" s="6">
        <v>694041.11100000003</v>
      </c>
      <c r="E548" s="2" t="s">
        <v>30</v>
      </c>
      <c r="F548" s="1">
        <v>24</v>
      </c>
      <c r="G548" s="2" t="s">
        <v>48</v>
      </c>
      <c r="J548"/>
      <c r="K548" s="19"/>
      <c r="L548" s="21"/>
      <c r="M548" s="27"/>
      <c r="N548" s="19"/>
      <c r="O548" s="21"/>
      <c r="P548" s="7">
        <v>-0.17499999999999999</v>
      </c>
      <c r="Q548" s="7">
        <f>Table2[[#This Row],[Elevation
PILE TOP]]-Table2[[#This Row],[LENGTH(m.)
(Actual)]]</f>
        <v>-0.17499999999999999</v>
      </c>
      <c r="R548" s="2"/>
      <c r="S548" s="7">
        <f>Table2[[#This Row],[N]]+Table2[[#This Row],[Pile 
Deviation 
N (m)]]</f>
        <v>1511767.4210000001</v>
      </c>
      <c r="T548" s="7">
        <f>Table2[[#This Row],[E]]+Table2[[#This Row],[Pile 
Deviation 
E (m)]]</f>
        <v>694041.11100000003</v>
      </c>
      <c r="W548" s="7">
        <v>-0.67500000000000004</v>
      </c>
      <c r="X548" s="2" t="s">
        <v>33</v>
      </c>
      <c r="AA548" s="9">
        <v>46198</v>
      </c>
    </row>
    <row r="549" spans="1:27" ht="13.95" customHeight="1" x14ac:dyDescent="0.65">
      <c r="A549">
        <v>547</v>
      </c>
      <c r="B549" t="s">
        <v>29</v>
      </c>
      <c r="C549" s="6">
        <v>1511767.6</v>
      </c>
      <c r="D549" s="6">
        <v>694041.99300000002</v>
      </c>
      <c r="E549" s="2" t="s">
        <v>30</v>
      </c>
      <c r="F549" s="1">
        <v>24</v>
      </c>
      <c r="G549" s="2" t="s">
        <v>48</v>
      </c>
      <c r="J549"/>
      <c r="K549" s="19"/>
      <c r="L549" s="21"/>
      <c r="M549" s="27"/>
      <c r="N549" s="19"/>
      <c r="O549" s="21"/>
      <c r="P549" s="7">
        <v>-0.17499999999999999</v>
      </c>
      <c r="Q549" s="7">
        <f>Table2[[#This Row],[Elevation
PILE TOP]]-Table2[[#This Row],[LENGTH(m.)
(Actual)]]</f>
        <v>-0.17499999999999999</v>
      </c>
      <c r="R549" s="2"/>
      <c r="S549" s="7">
        <f>Table2[[#This Row],[N]]+Table2[[#This Row],[Pile 
Deviation 
N (m)]]</f>
        <v>1511767.6</v>
      </c>
      <c r="T549" s="7">
        <f>Table2[[#This Row],[E]]+Table2[[#This Row],[Pile 
Deviation 
E (m)]]</f>
        <v>694041.99300000002</v>
      </c>
      <c r="W549" s="7">
        <v>-0.67500000000000004</v>
      </c>
      <c r="X549" s="2" t="s">
        <v>33</v>
      </c>
      <c r="AA549" s="9">
        <v>46198</v>
      </c>
    </row>
    <row r="550" spans="1:27" x14ac:dyDescent="0.65">
      <c r="A550">
        <v>548</v>
      </c>
      <c r="B550" t="s">
        <v>29</v>
      </c>
      <c r="C550" s="6">
        <v>1511759.081</v>
      </c>
      <c r="D550" s="6">
        <v>694005.14599999995</v>
      </c>
      <c r="E550" s="2" t="s">
        <v>35</v>
      </c>
      <c r="F550" s="1">
        <v>24</v>
      </c>
      <c r="G550" s="2" t="s">
        <v>48</v>
      </c>
      <c r="J550"/>
      <c r="K550" s="19"/>
      <c r="L550" s="21"/>
      <c r="M550" s="27"/>
      <c r="N550" s="19"/>
      <c r="O550" s="21"/>
      <c r="P550" s="7">
        <v>0.28999999999999998</v>
      </c>
      <c r="Q550" s="7">
        <f>Table2[[#This Row],[Elevation
PILE TOP]]-Table2[[#This Row],[LENGTH(m.)
(Actual)]]</f>
        <v>0.28999999999999998</v>
      </c>
      <c r="R550" s="2"/>
      <c r="S550" s="7">
        <f>Table2[[#This Row],[N]]+Table2[[#This Row],[Pile 
Deviation 
N (m)]]</f>
        <v>1511759.081</v>
      </c>
      <c r="T550" s="7">
        <f>Table2[[#This Row],[E]]+Table2[[#This Row],[Pile 
Deviation 
E (m)]]</f>
        <v>694005.14599999995</v>
      </c>
      <c r="W550" s="7">
        <v>0.28999999999999998</v>
      </c>
      <c r="X550" s="2" t="s">
        <v>40</v>
      </c>
      <c r="AA550" s="9">
        <v>46202</v>
      </c>
    </row>
    <row r="551" spans="1:27" ht="13.95" customHeight="1" x14ac:dyDescent="0.65">
      <c r="A551">
        <v>549</v>
      </c>
      <c r="B551" t="s">
        <v>29</v>
      </c>
      <c r="C551" s="6">
        <v>1511759.675</v>
      </c>
      <c r="D551" s="6">
        <v>694008.08700000006</v>
      </c>
      <c r="E551" s="2" t="s">
        <v>35</v>
      </c>
      <c r="F551" s="1">
        <v>24</v>
      </c>
      <c r="G551" s="2" t="s">
        <v>48</v>
      </c>
      <c r="J551"/>
      <c r="K551" s="19"/>
      <c r="L551" s="21"/>
      <c r="M551" s="27"/>
      <c r="N551" s="19"/>
      <c r="O551" s="21"/>
      <c r="P551" s="7">
        <v>0.28999999999999998</v>
      </c>
      <c r="Q551" s="7">
        <f>Table2[[#This Row],[Elevation
PILE TOP]]-Table2[[#This Row],[LENGTH(m.)
(Actual)]]</f>
        <v>0.28999999999999998</v>
      </c>
      <c r="R551" s="2"/>
      <c r="S551" s="7">
        <f>Table2[[#This Row],[N]]+Table2[[#This Row],[Pile 
Deviation 
N (m)]]</f>
        <v>1511759.675</v>
      </c>
      <c r="T551" s="7">
        <f>Table2[[#This Row],[E]]+Table2[[#This Row],[Pile 
Deviation 
E (m)]]</f>
        <v>694008.08700000006</v>
      </c>
      <c r="W551" s="7">
        <v>0.28999999999999998</v>
      </c>
      <c r="X551" s="2" t="s">
        <v>40</v>
      </c>
      <c r="AA551" s="9">
        <v>46202</v>
      </c>
    </row>
    <row r="552" spans="1:27" x14ac:dyDescent="0.65">
      <c r="A552">
        <v>550</v>
      </c>
      <c r="B552" t="s">
        <v>29</v>
      </c>
      <c r="C552" s="6">
        <v>1511760.348</v>
      </c>
      <c r="D552" s="6">
        <v>694011.42</v>
      </c>
      <c r="E552" s="2" t="s">
        <v>35</v>
      </c>
      <c r="F552" s="1">
        <v>24</v>
      </c>
      <c r="G552" s="2" t="s">
        <v>48</v>
      </c>
      <c r="J552"/>
      <c r="K552" s="19"/>
      <c r="L552" s="21"/>
      <c r="M552" s="27"/>
      <c r="N552" s="19"/>
      <c r="O552" s="21"/>
      <c r="P552" s="7">
        <v>0.28999999999999998</v>
      </c>
      <c r="Q552" s="7">
        <f>Table2[[#This Row],[Elevation
PILE TOP]]-Table2[[#This Row],[LENGTH(m.)
(Actual)]]</f>
        <v>0.28999999999999998</v>
      </c>
      <c r="R552" s="2"/>
      <c r="S552" s="7">
        <f>Table2[[#This Row],[N]]+Table2[[#This Row],[Pile 
Deviation 
N (m)]]</f>
        <v>1511760.348</v>
      </c>
      <c r="T552" s="7">
        <f>Table2[[#This Row],[E]]+Table2[[#This Row],[Pile 
Deviation 
E (m)]]</f>
        <v>694011.42</v>
      </c>
      <c r="W552" s="7">
        <v>0.28999999999999998</v>
      </c>
      <c r="X552" s="2" t="s">
        <v>40</v>
      </c>
      <c r="AA552" s="9">
        <v>46203</v>
      </c>
    </row>
    <row r="553" spans="1:27" ht="13.95" customHeight="1" x14ac:dyDescent="0.65">
      <c r="A553">
        <v>551</v>
      </c>
      <c r="B553" t="s">
        <v>29</v>
      </c>
      <c r="C553" s="6">
        <v>1511761.0209999999</v>
      </c>
      <c r="D553" s="6">
        <v>694014.75199999998</v>
      </c>
      <c r="E553" s="2" t="s">
        <v>35</v>
      </c>
      <c r="F553" s="1">
        <v>24</v>
      </c>
      <c r="G553" s="2" t="s">
        <v>48</v>
      </c>
      <c r="J553"/>
      <c r="K553" s="19"/>
      <c r="L553" s="21"/>
      <c r="M553" s="27"/>
      <c r="N553" s="19"/>
      <c r="O553" s="21"/>
      <c r="P553" s="7">
        <v>0.28999999999999998</v>
      </c>
      <c r="Q553" s="7">
        <f>Table2[[#This Row],[Elevation
PILE TOP]]-Table2[[#This Row],[LENGTH(m.)
(Actual)]]</f>
        <v>0.28999999999999998</v>
      </c>
      <c r="R553" s="2"/>
      <c r="S553" s="7">
        <f>Table2[[#This Row],[N]]+Table2[[#This Row],[Pile 
Deviation 
N (m)]]</f>
        <v>1511761.0209999999</v>
      </c>
      <c r="T553" s="7">
        <f>Table2[[#This Row],[E]]+Table2[[#This Row],[Pile 
Deviation 
E (m)]]</f>
        <v>694014.75199999998</v>
      </c>
      <c r="W553" s="7">
        <v>0.28999999999999998</v>
      </c>
      <c r="X553" s="2" t="s">
        <v>40</v>
      </c>
      <c r="AA553" s="9">
        <v>46203</v>
      </c>
    </row>
    <row r="554" spans="1:27" hidden="1" x14ac:dyDescent="0.65">
      <c r="A554">
        <v>552</v>
      </c>
      <c r="B554" t="s">
        <v>29</v>
      </c>
      <c r="C554" s="6">
        <v>1511761.6939999999</v>
      </c>
      <c r="D554" s="6">
        <v>694018.08499999996</v>
      </c>
      <c r="E554" s="2" t="s">
        <v>35</v>
      </c>
      <c r="F554" s="1">
        <v>24</v>
      </c>
      <c r="G554" s="2" t="s">
        <v>48</v>
      </c>
      <c r="J554"/>
      <c r="K554" s="19"/>
      <c r="L554" s="21"/>
      <c r="M554" s="27"/>
      <c r="N554" s="19"/>
      <c r="O554" s="21"/>
      <c r="P554" s="7">
        <v>0.28999999999999998</v>
      </c>
      <c r="Q554" s="7">
        <f>Table2[[#This Row],[Elevation
PILE TOP]]-Table2[[#This Row],[LENGTH(m.)
(Actual)]]</f>
        <v>0.28999999999999998</v>
      </c>
      <c r="R554" s="2"/>
      <c r="S554" s="7">
        <f>Table2[[#This Row],[N]]+Table2[[#This Row],[Pile 
Deviation 
N (m)]]</f>
        <v>1511761.6939999999</v>
      </c>
      <c r="T554" s="7">
        <f>Table2[[#This Row],[E]]+Table2[[#This Row],[Pile 
Deviation 
E (m)]]</f>
        <v>694018.08499999996</v>
      </c>
      <c r="W554" s="7">
        <v>0.28999999999999998</v>
      </c>
      <c r="X554" s="2" t="s">
        <v>40</v>
      </c>
      <c r="AA554" s="9">
        <v>46204</v>
      </c>
    </row>
    <row r="555" spans="1:27" ht="13.95" hidden="1" customHeight="1" x14ac:dyDescent="0.65">
      <c r="A555">
        <v>553</v>
      </c>
      <c r="B555" t="s">
        <v>29</v>
      </c>
      <c r="C555" s="6">
        <v>1511762.3670000001</v>
      </c>
      <c r="D555" s="6">
        <v>694021.41799999995</v>
      </c>
      <c r="E555" s="2" t="s">
        <v>35</v>
      </c>
      <c r="F555" s="1">
        <v>24</v>
      </c>
      <c r="G555" s="2" t="s">
        <v>48</v>
      </c>
      <c r="J555"/>
      <c r="K555" s="19"/>
      <c r="L555" s="21"/>
      <c r="M555" s="27"/>
      <c r="N555" s="19"/>
      <c r="O555" s="21"/>
      <c r="P555" s="7">
        <v>0.28999999999999998</v>
      </c>
      <c r="Q555" s="7">
        <f>Table2[[#This Row],[Elevation
PILE TOP]]-Table2[[#This Row],[LENGTH(m.)
(Actual)]]</f>
        <v>0.28999999999999998</v>
      </c>
      <c r="R555" s="2"/>
      <c r="S555" s="7">
        <f>Table2[[#This Row],[N]]+Table2[[#This Row],[Pile 
Deviation 
N (m)]]</f>
        <v>1511762.3670000001</v>
      </c>
      <c r="T555" s="7">
        <f>Table2[[#This Row],[E]]+Table2[[#This Row],[Pile 
Deviation 
E (m)]]</f>
        <v>694021.41799999995</v>
      </c>
      <c r="W555" s="7">
        <v>0.28999999999999998</v>
      </c>
      <c r="X555" s="2" t="s">
        <v>40</v>
      </c>
      <c r="AA555" s="9">
        <v>46205</v>
      </c>
    </row>
    <row r="556" spans="1:27" hidden="1" x14ac:dyDescent="0.65">
      <c r="A556">
        <v>554</v>
      </c>
      <c r="B556" t="s">
        <v>29</v>
      </c>
      <c r="C556" s="6">
        <v>1511762.9609999999</v>
      </c>
      <c r="D556" s="6">
        <v>694024.35800000001</v>
      </c>
      <c r="E556" s="2" t="s">
        <v>35</v>
      </c>
      <c r="F556" s="1">
        <v>24</v>
      </c>
      <c r="G556" s="2" t="s">
        <v>48</v>
      </c>
      <c r="J556"/>
      <c r="K556" s="19"/>
      <c r="L556" s="21"/>
      <c r="M556" s="27"/>
      <c r="N556" s="19"/>
      <c r="O556" s="21"/>
      <c r="P556" s="7">
        <v>0.28999999999999998</v>
      </c>
      <c r="Q556" s="7">
        <f>Table2[[#This Row],[Elevation
PILE TOP]]-Table2[[#This Row],[LENGTH(m.)
(Actual)]]</f>
        <v>0.28999999999999998</v>
      </c>
      <c r="R556" s="2"/>
      <c r="S556" s="7">
        <f>Table2[[#This Row],[N]]+Table2[[#This Row],[Pile 
Deviation 
N (m)]]</f>
        <v>1511762.9609999999</v>
      </c>
      <c r="T556" s="7">
        <f>Table2[[#This Row],[E]]+Table2[[#This Row],[Pile 
Deviation 
E (m)]]</f>
        <v>694024.35800000001</v>
      </c>
      <c r="W556" s="7">
        <v>0.28999999999999998</v>
      </c>
      <c r="X556" s="2" t="s">
        <v>40</v>
      </c>
      <c r="AA556" s="9">
        <v>46205</v>
      </c>
    </row>
    <row r="557" spans="1:27" ht="13.95" customHeight="1" x14ac:dyDescent="0.65">
      <c r="A557">
        <v>555</v>
      </c>
      <c r="B557" t="s">
        <v>29</v>
      </c>
      <c r="C557" s="6">
        <v>1511763.5549999999</v>
      </c>
      <c r="D557" s="6">
        <v>694027.299</v>
      </c>
      <c r="E557" s="2" t="s">
        <v>35</v>
      </c>
      <c r="F557" s="1">
        <v>24</v>
      </c>
      <c r="G557" s="2" t="s">
        <v>48</v>
      </c>
      <c r="J557"/>
      <c r="K557" s="19"/>
      <c r="L557" s="21"/>
      <c r="M557" s="27"/>
      <c r="N557" s="19"/>
      <c r="O557" s="21"/>
      <c r="P557" s="7">
        <v>0.28999999999999998</v>
      </c>
      <c r="Q557" s="7">
        <f>Table2[[#This Row],[Elevation
PILE TOP]]-Table2[[#This Row],[LENGTH(m.)
(Actual)]]</f>
        <v>0.28999999999999998</v>
      </c>
      <c r="R557" s="2"/>
      <c r="S557" s="7">
        <f>Table2[[#This Row],[N]]+Table2[[#This Row],[Pile 
Deviation 
N (m)]]</f>
        <v>1511763.5549999999</v>
      </c>
      <c r="T557" s="7">
        <f>Table2[[#This Row],[E]]+Table2[[#This Row],[Pile 
Deviation 
E (m)]]</f>
        <v>694027.299</v>
      </c>
      <c r="W557" s="7">
        <v>0.28999999999999998</v>
      </c>
      <c r="X557" s="2" t="s">
        <v>40</v>
      </c>
      <c r="AA557" s="9">
        <v>46195</v>
      </c>
    </row>
    <row r="558" spans="1:27" x14ac:dyDescent="0.65">
      <c r="A558">
        <v>556</v>
      </c>
      <c r="B558" t="s">
        <v>29</v>
      </c>
      <c r="C558" s="6">
        <v>1511764.149</v>
      </c>
      <c r="D558" s="6">
        <v>694030.24</v>
      </c>
      <c r="E558" s="2" t="s">
        <v>35</v>
      </c>
      <c r="F558" s="1">
        <v>24</v>
      </c>
      <c r="G558" s="2" t="s">
        <v>48</v>
      </c>
      <c r="J558"/>
      <c r="K558" s="19"/>
      <c r="L558" s="21"/>
      <c r="M558" s="27"/>
      <c r="N558" s="19"/>
      <c r="O558" s="21"/>
      <c r="P558" s="7">
        <v>0.28999999999999998</v>
      </c>
      <c r="Q558" s="7">
        <f>Table2[[#This Row],[Elevation
PILE TOP]]-Table2[[#This Row],[LENGTH(m.)
(Actual)]]</f>
        <v>0.28999999999999998</v>
      </c>
      <c r="R558" s="2"/>
      <c r="S558" s="7">
        <f>Table2[[#This Row],[N]]+Table2[[#This Row],[Pile 
Deviation 
N (m)]]</f>
        <v>1511764.149</v>
      </c>
      <c r="T558" s="7">
        <f>Table2[[#This Row],[E]]+Table2[[#This Row],[Pile 
Deviation 
E (m)]]</f>
        <v>694030.24</v>
      </c>
      <c r="W558" s="7">
        <v>0.28999999999999998</v>
      </c>
      <c r="X558" s="2" t="s">
        <v>40</v>
      </c>
      <c r="AA558" s="9">
        <v>46195</v>
      </c>
    </row>
    <row r="559" spans="1:27" ht="13.95" customHeight="1" x14ac:dyDescent="0.65">
      <c r="A559">
        <v>557</v>
      </c>
      <c r="B559" t="s">
        <v>29</v>
      </c>
      <c r="C559" s="6">
        <v>1511764.8219999999</v>
      </c>
      <c r="D559" s="6">
        <v>694033.57200000004</v>
      </c>
      <c r="E559" s="2" t="s">
        <v>35</v>
      </c>
      <c r="F559" s="1">
        <v>24</v>
      </c>
      <c r="G559" s="2" t="s">
        <v>48</v>
      </c>
      <c r="J559"/>
      <c r="K559" s="19"/>
      <c r="L559" s="21"/>
      <c r="M559" s="27"/>
      <c r="N559" s="19"/>
      <c r="O559" s="21"/>
      <c r="P559" s="7">
        <v>0.28999999999999998</v>
      </c>
      <c r="Q559" s="7">
        <f>Table2[[#This Row],[Elevation
PILE TOP]]-Table2[[#This Row],[LENGTH(m.)
(Actual)]]</f>
        <v>0.28999999999999998</v>
      </c>
      <c r="R559" s="2"/>
      <c r="S559" s="7">
        <f>Table2[[#This Row],[N]]+Table2[[#This Row],[Pile 
Deviation 
N (m)]]</f>
        <v>1511764.8219999999</v>
      </c>
      <c r="T559" s="7">
        <f>Table2[[#This Row],[E]]+Table2[[#This Row],[Pile 
Deviation 
E (m)]]</f>
        <v>694033.57200000004</v>
      </c>
      <c r="W559" s="7">
        <v>0.28999999999999998</v>
      </c>
      <c r="X559" s="2" t="s">
        <v>40</v>
      </c>
      <c r="AA559" s="9">
        <v>46196</v>
      </c>
    </row>
    <row r="560" spans="1:27" x14ac:dyDescent="0.65">
      <c r="A560">
        <v>558</v>
      </c>
      <c r="B560" t="s">
        <v>29</v>
      </c>
      <c r="C560" s="6">
        <v>1511765.4950000001</v>
      </c>
      <c r="D560" s="6">
        <v>694036.90500000003</v>
      </c>
      <c r="E560" s="2" t="s">
        <v>35</v>
      </c>
      <c r="F560" s="1">
        <v>24</v>
      </c>
      <c r="G560" s="2" t="s">
        <v>48</v>
      </c>
      <c r="J560"/>
      <c r="K560" s="19"/>
      <c r="L560" s="21"/>
      <c r="M560" s="27"/>
      <c r="N560" s="19"/>
      <c r="O560" s="21"/>
      <c r="P560" s="7">
        <v>0.28999999999999998</v>
      </c>
      <c r="Q560" s="7">
        <f>Table2[[#This Row],[Elevation
PILE TOP]]-Table2[[#This Row],[LENGTH(m.)
(Actual)]]</f>
        <v>0.28999999999999998</v>
      </c>
      <c r="R560" s="2"/>
      <c r="S560" s="7">
        <f>Table2[[#This Row],[N]]+Table2[[#This Row],[Pile 
Deviation 
N (m)]]</f>
        <v>1511765.4950000001</v>
      </c>
      <c r="T560" s="7">
        <f>Table2[[#This Row],[E]]+Table2[[#This Row],[Pile 
Deviation 
E (m)]]</f>
        <v>694036.90500000003</v>
      </c>
      <c r="W560" s="7">
        <v>0.28999999999999998</v>
      </c>
      <c r="X560" s="2" t="s">
        <v>40</v>
      </c>
      <c r="AA560" s="9">
        <v>46196</v>
      </c>
    </row>
    <row r="561" spans="1:27" ht="13.95" customHeight="1" x14ac:dyDescent="0.65">
      <c r="A561">
        <v>559</v>
      </c>
      <c r="B561" t="s">
        <v>29</v>
      </c>
      <c r="C561" s="6">
        <v>1511766.0889999999</v>
      </c>
      <c r="D561" s="6">
        <v>694039.84600000002</v>
      </c>
      <c r="E561" s="2" t="s">
        <v>35</v>
      </c>
      <c r="F561" s="1">
        <v>24</v>
      </c>
      <c r="G561" s="2" t="s">
        <v>48</v>
      </c>
      <c r="J561"/>
      <c r="K561" s="19"/>
      <c r="L561" s="21"/>
      <c r="M561" s="27"/>
      <c r="N561" s="19"/>
      <c r="O561" s="21"/>
      <c r="P561" s="7">
        <v>0.28999999999999998</v>
      </c>
      <c r="Q561" s="7">
        <f>Table2[[#This Row],[Elevation
PILE TOP]]-Table2[[#This Row],[LENGTH(m.)
(Actual)]]</f>
        <v>0.28999999999999998</v>
      </c>
      <c r="R561" s="2"/>
      <c r="S561" s="7">
        <f>Table2[[#This Row],[N]]+Table2[[#This Row],[Pile 
Deviation 
N (m)]]</f>
        <v>1511766.0889999999</v>
      </c>
      <c r="T561" s="7">
        <f>Table2[[#This Row],[E]]+Table2[[#This Row],[Pile 
Deviation 
E (m)]]</f>
        <v>694039.84600000002</v>
      </c>
      <c r="W561" s="7">
        <v>0.28999999999999998</v>
      </c>
      <c r="X561" s="2" t="s">
        <v>40</v>
      </c>
      <c r="AA561" s="9">
        <v>46197</v>
      </c>
    </row>
    <row r="562" spans="1:27" x14ac:dyDescent="0.65">
      <c r="A562">
        <v>560</v>
      </c>
      <c r="B562" t="s">
        <v>29</v>
      </c>
      <c r="C562" s="6">
        <v>1511756.5330000001</v>
      </c>
      <c r="D562" s="6">
        <v>694005.66099999996</v>
      </c>
      <c r="E562" s="2" t="s">
        <v>35</v>
      </c>
      <c r="F562" s="1">
        <v>24</v>
      </c>
      <c r="G562" s="2" t="s">
        <v>48</v>
      </c>
      <c r="J562"/>
      <c r="K562" s="19"/>
      <c r="L562" s="21"/>
      <c r="M562" s="27"/>
      <c r="N562" s="19"/>
      <c r="O562" s="21"/>
      <c r="P562" s="7">
        <v>0.28999999999999998</v>
      </c>
      <c r="Q562" s="7">
        <f>Table2[[#This Row],[Elevation
PILE TOP]]-Table2[[#This Row],[LENGTH(m.)
(Actual)]]</f>
        <v>0.28999999999999998</v>
      </c>
      <c r="R562" s="2"/>
      <c r="S562" s="7">
        <f>Table2[[#This Row],[N]]+Table2[[#This Row],[Pile 
Deviation 
N (m)]]</f>
        <v>1511756.5330000001</v>
      </c>
      <c r="T562" s="7">
        <f>Table2[[#This Row],[E]]+Table2[[#This Row],[Pile 
Deviation 
E (m)]]</f>
        <v>694005.66099999996</v>
      </c>
      <c r="W562" s="7">
        <v>0.28999999999999998</v>
      </c>
      <c r="X562" s="2" t="s">
        <v>40</v>
      </c>
      <c r="AA562" s="9">
        <v>46202</v>
      </c>
    </row>
    <row r="563" spans="1:27" ht="13.95" customHeight="1" x14ac:dyDescent="0.65">
      <c r="A563">
        <v>561</v>
      </c>
      <c r="B563" t="s">
        <v>29</v>
      </c>
      <c r="C563" s="6">
        <v>1511757.706</v>
      </c>
      <c r="D563" s="6">
        <v>694005.65599999996</v>
      </c>
      <c r="E563" s="2" t="s">
        <v>41</v>
      </c>
      <c r="F563" s="1">
        <v>26</v>
      </c>
      <c r="G563" s="2" t="s">
        <v>48</v>
      </c>
      <c r="J563"/>
      <c r="K563" s="19"/>
      <c r="L563" s="21"/>
      <c r="M563" s="27"/>
      <c r="N563" s="19"/>
      <c r="O563" s="21"/>
      <c r="P563" s="7">
        <v>0.35</v>
      </c>
      <c r="Q563" s="7">
        <f>Table2[[#This Row],[Elevation
PILE TOP]]-Table2[[#This Row],[LENGTH(m.)
(Actual)]]</f>
        <v>0.35</v>
      </c>
      <c r="R563" s="2"/>
      <c r="S563" s="7">
        <f>Table2[[#This Row],[N]]+Table2[[#This Row],[Pile 
Deviation 
N (m)]]</f>
        <v>1511757.706</v>
      </c>
      <c r="T563" s="7">
        <f>Table2[[#This Row],[E]]+Table2[[#This Row],[Pile 
Deviation 
E (m)]]</f>
        <v>694005.65599999996</v>
      </c>
      <c r="W563" s="7">
        <v>-0.15</v>
      </c>
      <c r="X563" s="2" t="s">
        <v>42</v>
      </c>
      <c r="AA563" s="9">
        <v>46202</v>
      </c>
    </row>
    <row r="564" spans="1:27" x14ac:dyDescent="0.65">
      <c r="A564">
        <v>562</v>
      </c>
      <c r="B564" t="s">
        <v>29</v>
      </c>
      <c r="C564" s="6">
        <v>1511759.618</v>
      </c>
      <c r="D564" s="6">
        <v>694006.92599999998</v>
      </c>
      <c r="E564" s="2" t="s">
        <v>41</v>
      </c>
      <c r="F564" s="1">
        <v>26</v>
      </c>
      <c r="G564" s="2" t="s">
        <v>48</v>
      </c>
      <c r="J564"/>
      <c r="K564" s="19"/>
      <c r="L564" s="21"/>
      <c r="M564" s="27"/>
      <c r="N564" s="19"/>
      <c r="O564" s="21"/>
      <c r="P564" s="7">
        <v>0.35</v>
      </c>
      <c r="Q564" s="7">
        <f>Table2[[#This Row],[Elevation
PILE TOP]]-Table2[[#This Row],[LENGTH(m.)
(Actual)]]</f>
        <v>0.35</v>
      </c>
      <c r="R564" s="2"/>
      <c r="S564" s="7">
        <f>Table2[[#This Row],[N]]+Table2[[#This Row],[Pile 
Deviation 
N (m)]]</f>
        <v>1511759.618</v>
      </c>
      <c r="T564" s="7">
        <f>Table2[[#This Row],[E]]+Table2[[#This Row],[Pile 
Deviation 
E (m)]]</f>
        <v>694006.92599999998</v>
      </c>
      <c r="W564" s="7">
        <v>-0.15</v>
      </c>
      <c r="X564" s="2" t="s">
        <v>42</v>
      </c>
      <c r="AA564" s="9">
        <v>46202</v>
      </c>
    </row>
    <row r="565" spans="1:27" ht="13.95" customHeight="1" x14ac:dyDescent="0.65">
      <c r="A565">
        <v>563</v>
      </c>
      <c r="B565" t="s">
        <v>29</v>
      </c>
      <c r="C565" s="6">
        <v>1511760.0730000001</v>
      </c>
      <c r="D565" s="6">
        <v>694009.17700000003</v>
      </c>
      <c r="E565" s="2" t="s">
        <v>41</v>
      </c>
      <c r="F565" s="1">
        <v>26</v>
      </c>
      <c r="G565" s="2" t="s">
        <v>48</v>
      </c>
      <c r="J565"/>
      <c r="K565" s="19"/>
      <c r="L565" s="21"/>
      <c r="M565" s="27"/>
      <c r="N565" s="19"/>
      <c r="O565" s="21"/>
      <c r="P565" s="7">
        <v>0.35</v>
      </c>
      <c r="Q565" s="7">
        <f>Table2[[#This Row],[Elevation
PILE TOP]]-Table2[[#This Row],[LENGTH(m.)
(Actual)]]</f>
        <v>0.35</v>
      </c>
      <c r="R565" s="2"/>
      <c r="S565" s="7">
        <f>Table2[[#This Row],[N]]+Table2[[#This Row],[Pile 
Deviation 
N (m)]]</f>
        <v>1511760.0730000001</v>
      </c>
      <c r="T565" s="7">
        <f>Table2[[#This Row],[E]]+Table2[[#This Row],[Pile 
Deviation 
E (m)]]</f>
        <v>694009.17700000003</v>
      </c>
      <c r="W565" s="7">
        <v>-0.15</v>
      </c>
      <c r="X565" s="2" t="s">
        <v>42</v>
      </c>
      <c r="AA565" s="9">
        <v>46202</v>
      </c>
    </row>
    <row r="566" spans="1:27" x14ac:dyDescent="0.65">
      <c r="A566">
        <v>564</v>
      </c>
      <c r="B566" t="s">
        <v>29</v>
      </c>
      <c r="C566" s="6">
        <v>1511758.8030000001</v>
      </c>
      <c r="D566" s="6">
        <v>694011.09</v>
      </c>
      <c r="E566" s="2" t="s">
        <v>41</v>
      </c>
      <c r="F566" s="1">
        <v>26</v>
      </c>
      <c r="G566" s="2" t="s">
        <v>48</v>
      </c>
      <c r="J566"/>
      <c r="K566" s="19"/>
      <c r="L566" s="21"/>
      <c r="M566" s="27"/>
      <c r="N566" s="19"/>
      <c r="O566" s="21"/>
      <c r="P566" s="7">
        <v>0.35</v>
      </c>
      <c r="Q566" s="7">
        <f>Table2[[#This Row],[Elevation
PILE TOP]]-Table2[[#This Row],[LENGTH(m.)
(Actual)]]</f>
        <v>0.35</v>
      </c>
      <c r="R566" s="2"/>
      <c r="S566" s="7">
        <f>Table2[[#This Row],[N]]+Table2[[#This Row],[Pile 
Deviation 
N (m)]]</f>
        <v>1511758.8030000001</v>
      </c>
      <c r="T566" s="7">
        <f>Table2[[#This Row],[E]]+Table2[[#This Row],[Pile 
Deviation 
E (m)]]</f>
        <v>694011.09</v>
      </c>
      <c r="W566" s="7">
        <v>-0.15</v>
      </c>
      <c r="X566" s="2" t="s">
        <v>42</v>
      </c>
      <c r="AA566" s="9">
        <v>46203</v>
      </c>
    </row>
    <row r="567" spans="1:27" ht="13.95" hidden="1" customHeight="1" x14ac:dyDescent="0.65">
      <c r="A567">
        <v>565</v>
      </c>
      <c r="B567" t="s">
        <v>29</v>
      </c>
      <c r="C567" s="6">
        <v>1511756.5519999999</v>
      </c>
      <c r="D567" s="6">
        <v>694011.54399999999</v>
      </c>
      <c r="E567" s="2" t="s">
        <v>41</v>
      </c>
      <c r="F567" s="1">
        <v>26</v>
      </c>
      <c r="G567" s="2" t="s">
        <v>48</v>
      </c>
      <c r="J567"/>
      <c r="K567" s="19"/>
      <c r="L567" s="21"/>
      <c r="M567" s="27"/>
      <c r="N567" s="19"/>
      <c r="O567" s="21"/>
      <c r="P567" s="7">
        <v>0.35</v>
      </c>
      <c r="Q567" s="7">
        <f>Table2[[#This Row],[Elevation
PILE TOP]]-Table2[[#This Row],[LENGTH(m.)
(Actual)]]</f>
        <v>0.35</v>
      </c>
      <c r="R567" s="2"/>
      <c r="S567" s="7">
        <f>Table2[[#This Row],[N]]+Table2[[#This Row],[Pile 
Deviation 
N (m)]]</f>
        <v>1511756.5519999999</v>
      </c>
      <c r="T567" s="7">
        <f>Table2[[#This Row],[E]]+Table2[[#This Row],[Pile 
Deviation 
E (m)]]</f>
        <v>694011.54399999999</v>
      </c>
      <c r="W567" s="7">
        <v>-0.15</v>
      </c>
      <c r="X567" s="2" t="s">
        <v>42</v>
      </c>
      <c r="AA567" s="9">
        <v>46209</v>
      </c>
    </row>
    <row r="568" spans="1:27" hidden="1" x14ac:dyDescent="0.65">
      <c r="A568">
        <v>566</v>
      </c>
      <c r="B568" t="s">
        <v>29</v>
      </c>
      <c r="C568" s="6">
        <v>1511754.639</v>
      </c>
      <c r="D568" s="6">
        <v>694010.27399999998</v>
      </c>
      <c r="E568" s="2" t="s">
        <v>41</v>
      </c>
      <c r="F568" s="1">
        <v>26</v>
      </c>
      <c r="G568" s="2" t="s">
        <v>48</v>
      </c>
      <c r="J568"/>
      <c r="K568" s="19"/>
      <c r="L568" s="21"/>
      <c r="M568" s="27"/>
      <c r="N568" s="19"/>
      <c r="O568" s="21"/>
      <c r="P568" s="7">
        <v>0.35</v>
      </c>
      <c r="Q568" s="7">
        <f>Table2[[#This Row],[Elevation
PILE TOP]]-Table2[[#This Row],[LENGTH(m.)
(Actual)]]</f>
        <v>0.35</v>
      </c>
      <c r="R568" s="2"/>
      <c r="S568" s="7">
        <f>Table2[[#This Row],[N]]+Table2[[#This Row],[Pile 
Deviation 
N (m)]]</f>
        <v>1511754.639</v>
      </c>
      <c r="T568" s="7">
        <f>Table2[[#This Row],[E]]+Table2[[#This Row],[Pile 
Deviation 
E (m)]]</f>
        <v>694010.27399999998</v>
      </c>
      <c r="W568" s="7">
        <v>-0.15</v>
      </c>
      <c r="X568" s="2" t="s">
        <v>42</v>
      </c>
      <c r="AA568" s="9">
        <v>46209</v>
      </c>
    </row>
    <row r="569" spans="1:27" ht="13.95" hidden="1" customHeight="1" x14ac:dyDescent="0.65">
      <c r="A569">
        <v>567</v>
      </c>
      <c r="B569" t="s">
        <v>29</v>
      </c>
      <c r="C569" s="6">
        <v>1511754.1850000001</v>
      </c>
      <c r="D569" s="6">
        <v>694008.02300000004</v>
      </c>
      <c r="E569" s="2" t="s">
        <v>41</v>
      </c>
      <c r="F569" s="1">
        <v>26</v>
      </c>
      <c r="G569" s="2" t="s">
        <v>48</v>
      </c>
      <c r="J569"/>
      <c r="K569" s="19"/>
      <c r="L569" s="21"/>
      <c r="M569" s="27"/>
      <c r="N569" s="19"/>
      <c r="O569" s="21"/>
      <c r="P569" s="7">
        <v>0.35</v>
      </c>
      <c r="Q569" s="7">
        <f>Table2[[#This Row],[Elevation
PILE TOP]]-Table2[[#This Row],[LENGTH(m.)
(Actual)]]</f>
        <v>0.35</v>
      </c>
      <c r="R569" s="2"/>
      <c r="S569" s="7">
        <f>Table2[[#This Row],[N]]+Table2[[#This Row],[Pile 
Deviation 
N (m)]]</f>
        <v>1511754.1850000001</v>
      </c>
      <c r="T569" s="7">
        <f>Table2[[#This Row],[E]]+Table2[[#This Row],[Pile 
Deviation 
E (m)]]</f>
        <v>694008.02300000004</v>
      </c>
      <c r="W569" s="7">
        <v>-0.15</v>
      </c>
      <c r="X569" s="2" t="s">
        <v>42</v>
      </c>
      <c r="AA569" s="9">
        <v>46209</v>
      </c>
    </row>
    <row r="570" spans="1:27" hidden="1" x14ac:dyDescent="0.65">
      <c r="A570">
        <v>568</v>
      </c>
      <c r="B570" t="s">
        <v>29</v>
      </c>
      <c r="C570" s="6">
        <v>1511755.4550000001</v>
      </c>
      <c r="D570" s="6">
        <v>694006.11</v>
      </c>
      <c r="E570" s="2" t="s">
        <v>41</v>
      </c>
      <c r="F570" s="1">
        <v>26</v>
      </c>
      <c r="G570" s="2" t="s">
        <v>48</v>
      </c>
      <c r="J570"/>
      <c r="K570" s="19"/>
      <c r="L570" s="21"/>
      <c r="M570" s="27"/>
      <c r="N570" s="19"/>
      <c r="O570" s="21"/>
      <c r="P570" s="7">
        <v>0.35</v>
      </c>
      <c r="Q570" s="7">
        <f>Table2[[#This Row],[Elevation
PILE TOP]]-Table2[[#This Row],[LENGTH(m.)
(Actual)]]</f>
        <v>0.35</v>
      </c>
      <c r="R570" s="2"/>
      <c r="S570" s="7">
        <f>Table2[[#This Row],[N]]+Table2[[#This Row],[Pile 
Deviation 
N (m)]]</f>
        <v>1511755.4550000001</v>
      </c>
      <c r="T570" s="7">
        <f>Table2[[#This Row],[E]]+Table2[[#This Row],[Pile 
Deviation 
E (m)]]</f>
        <v>694006.11</v>
      </c>
      <c r="W570" s="7">
        <v>-0.15</v>
      </c>
      <c r="X570" s="2" t="s">
        <v>42</v>
      </c>
      <c r="AA570" s="9">
        <v>46210</v>
      </c>
    </row>
    <row r="571" spans="1:27" ht="13.95" customHeight="1" x14ac:dyDescent="0.65">
      <c r="A571">
        <v>569</v>
      </c>
      <c r="B571" t="s">
        <v>29</v>
      </c>
      <c r="C571" s="6">
        <v>1511757.1259999999</v>
      </c>
      <c r="D571" s="6">
        <v>694008.60100000002</v>
      </c>
      <c r="E571" s="2" t="s">
        <v>35</v>
      </c>
      <c r="F571" s="1">
        <v>24</v>
      </c>
      <c r="G571" s="2" t="s">
        <v>48</v>
      </c>
      <c r="J571"/>
      <c r="K571" s="19"/>
      <c r="L571" s="21"/>
      <c r="M571" s="27"/>
      <c r="N571" s="19"/>
      <c r="O571" s="21"/>
      <c r="P571" s="7">
        <v>0.28999999999999998</v>
      </c>
      <c r="Q571" s="7">
        <f>Table2[[#This Row],[Elevation
PILE TOP]]-Table2[[#This Row],[LENGTH(m.)
(Actual)]]</f>
        <v>0.28999999999999998</v>
      </c>
      <c r="R571" s="2"/>
      <c r="S571" s="7">
        <f>Table2[[#This Row],[N]]+Table2[[#This Row],[Pile 
Deviation 
N (m)]]</f>
        <v>1511757.1259999999</v>
      </c>
      <c r="T571" s="7">
        <f>Table2[[#This Row],[E]]+Table2[[#This Row],[Pile 
Deviation 
E (m)]]</f>
        <v>694008.60100000002</v>
      </c>
      <c r="W571" s="7">
        <v>0.28999999999999998</v>
      </c>
      <c r="X571" s="2" t="s">
        <v>40</v>
      </c>
      <c r="AA571" s="9">
        <v>46202</v>
      </c>
    </row>
    <row r="572" spans="1:27" x14ac:dyDescent="0.65">
      <c r="A572">
        <v>570</v>
      </c>
      <c r="B572" t="s">
        <v>29</v>
      </c>
      <c r="C572" s="6">
        <v>1511757.8</v>
      </c>
      <c r="D572" s="6">
        <v>694011.93400000001</v>
      </c>
      <c r="E572" s="2" t="s">
        <v>35</v>
      </c>
      <c r="F572" s="1">
        <v>24</v>
      </c>
      <c r="G572" s="2" t="s">
        <v>48</v>
      </c>
      <c r="J572"/>
      <c r="K572" s="19"/>
      <c r="L572" s="21"/>
      <c r="M572" s="27"/>
      <c r="N572" s="19"/>
      <c r="O572" s="21"/>
      <c r="P572" s="7">
        <v>0.28999999999999998</v>
      </c>
      <c r="Q572" s="7">
        <f>Table2[[#This Row],[Elevation
PILE TOP]]-Table2[[#This Row],[LENGTH(m.)
(Actual)]]</f>
        <v>0.28999999999999998</v>
      </c>
      <c r="R572" s="2"/>
      <c r="S572" s="7">
        <f>Table2[[#This Row],[N]]+Table2[[#This Row],[Pile 
Deviation 
N (m)]]</f>
        <v>1511757.8</v>
      </c>
      <c r="T572" s="7">
        <f>Table2[[#This Row],[E]]+Table2[[#This Row],[Pile 
Deviation 
E (m)]]</f>
        <v>694011.93400000001</v>
      </c>
      <c r="W572" s="7">
        <v>0.28999999999999998</v>
      </c>
      <c r="X572" s="2" t="s">
        <v>40</v>
      </c>
      <c r="AA572" s="9">
        <v>46203</v>
      </c>
    </row>
    <row r="573" spans="1:27" ht="13.95" customHeight="1" x14ac:dyDescent="0.65">
      <c r="A573">
        <v>571</v>
      </c>
      <c r="B573" t="s">
        <v>29</v>
      </c>
      <c r="C573" s="6">
        <v>1511759.0519999999</v>
      </c>
      <c r="D573" s="6">
        <v>694012.326</v>
      </c>
      <c r="E573" s="2" t="s">
        <v>41</v>
      </c>
      <c r="F573" s="1">
        <v>26</v>
      </c>
      <c r="G573" s="2" t="s">
        <v>48</v>
      </c>
      <c r="J573"/>
      <c r="K573" s="19"/>
      <c r="L573" s="21"/>
      <c r="M573" s="27"/>
      <c r="N573" s="19"/>
      <c r="O573" s="21"/>
      <c r="P573" s="7">
        <v>0.35</v>
      </c>
      <c r="Q573" s="7">
        <f>Table2[[#This Row],[Elevation
PILE TOP]]-Table2[[#This Row],[LENGTH(m.)
(Actual)]]</f>
        <v>0.35</v>
      </c>
      <c r="R573" s="2"/>
      <c r="S573" s="7">
        <f>Table2[[#This Row],[N]]+Table2[[#This Row],[Pile 
Deviation 
N (m)]]</f>
        <v>1511759.0519999999</v>
      </c>
      <c r="T573" s="7">
        <f>Table2[[#This Row],[E]]+Table2[[#This Row],[Pile 
Deviation 
E (m)]]</f>
        <v>694012.326</v>
      </c>
      <c r="W573" s="7">
        <v>-0.15</v>
      </c>
      <c r="X573" s="2" t="s">
        <v>42</v>
      </c>
      <c r="AA573" s="9">
        <v>46203</v>
      </c>
    </row>
    <row r="574" spans="1:27" x14ac:dyDescent="0.65">
      <c r="A574">
        <v>572</v>
      </c>
      <c r="B574" t="s">
        <v>29</v>
      </c>
      <c r="C574" s="6">
        <v>1511760.9650000001</v>
      </c>
      <c r="D574" s="6">
        <v>694013.59600000002</v>
      </c>
      <c r="E574" s="2" t="s">
        <v>41</v>
      </c>
      <c r="F574" s="1">
        <v>26</v>
      </c>
      <c r="G574" s="2" t="s">
        <v>48</v>
      </c>
      <c r="J574"/>
      <c r="K574" s="19"/>
      <c r="L574" s="21"/>
      <c r="M574" s="27"/>
      <c r="N574" s="19"/>
      <c r="O574" s="21"/>
      <c r="P574" s="7">
        <v>0.35</v>
      </c>
      <c r="Q574" s="7">
        <f>Table2[[#This Row],[Elevation
PILE TOP]]-Table2[[#This Row],[LENGTH(m.)
(Actual)]]</f>
        <v>0.35</v>
      </c>
      <c r="R574" s="2"/>
      <c r="S574" s="7">
        <f>Table2[[#This Row],[N]]+Table2[[#This Row],[Pile 
Deviation 
N (m)]]</f>
        <v>1511760.9650000001</v>
      </c>
      <c r="T574" s="7">
        <f>Table2[[#This Row],[E]]+Table2[[#This Row],[Pile 
Deviation 
E (m)]]</f>
        <v>694013.59600000002</v>
      </c>
      <c r="W574" s="7">
        <v>-0.15</v>
      </c>
      <c r="X574" s="2" t="s">
        <v>42</v>
      </c>
      <c r="AA574" s="9">
        <v>46203</v>
      </c>
    </row>
    <row r="575" spans="1:27" ht="13.95" hidden="1" customHeight="1" x14ac:dyDescent="0.65">
      <c r="A575">
        <v>573</v>
      </c>
      <c r="B575" t="s">
        <v>29</v>
      </c>
      <c r="C575" s="6">
        <v>1511761.42</v>
      </c>
      <c r="D575" s="6">
        <v>694015.84600000002</v>
      </c>
      <c r="E575" s="2" t="s">
        <v>41</v>
      </c>
      <c r="F575" s="1">
        <v>26</v>
      </c>
      <c r="G575" s="2" t="s">
        <v>48</v>
      </c>
      <c r="J575"/>
      <c r="K575" s="19"/>
      <c r="L575" s="21"/>
      <c r="M575" s="27"/>
      <c r="N575" s="19"/>
      <c r="O575" s="21"/>
      <c r="P575" s="7">
        <v>0.35</v>
      </c>
      <c r="Q575" s="7">
        <f>Table2[[#This Row],[Elevation
PILE TOP]]-Table2[[#This Row],[LENGTH(m.)
(Actual)]]</f>
        <v>0.35</v>
      </c>
      <c r="R575" s="2"/>
      <c r="S575" s="7">
        <f>Table2[[#This Row],[N]]+Table2[[#This Row],[Pile 
Deviation 
N (m)]]</f>
        <v>1511761.42</v>
      </c>
      <c r="T575" s="7">
        <f>Table2[[#This Row],[E]]+Table2[[#This Row],[Pile 
Deviation 
E (m)]]</f>
        <v>694015.84600000002</v>
      </c>
      <c r="W575" s="7">
        <v>-0.15</v>
      </c>
      <c r="X575" s="2" t="s">
        <v>42</v>
      </c>
      <c r="AA575" s="9">
        <v>46204</v>
      </c>
    </row>
    <row r="576" spans="1:27" hidden="1" x14ac:dyDescent="0.65">
      <c r="A576">
        <v>574</v>
      </c>
      <c r="B576" t="s">
        <v>29</v>
      </c>
      <c r="C576" s="6">
        <v>1511760.15</v>
      </c>
      <c r="D576" s="6">
        <v>694017.75899999996</v>
      </c>
      <c r="E576" s="2" t="s">
        <v>41</v>
      </c>
      <c r="F576" s="1">
        <v>26</v>
      </c>
      <c r="G576" s="2" t="s">
        <v>48</v>
      </c>
      <c r="J576"/>
      <c r="K576" s="19"/>
      <c r="L576" s="21"/>
      <c r="M576" s="27"/>
      <c r="N576" s="19"/>
      <c r="O576" s="21"/>
      <c r="P576" s="7">
        <v>0.35</v>
      </c>
      <c r="Q576" s="7">
        <f>Table2[[#This Row],[Elevation
PILE TOP]]-Table2[[#This Row],[LENGTH(m.)
(Actual)]]</f>
        <v>0.35</v>
      </c>
      <c r="R576" s="2"/>
      <c r="S576" s="7">
        <f>Table2[[#This Row],[N]]+Table2[[#This Row],[Pile 
Deviation 
N (m)]]</f>
        <v>1511760.15</v>
      </c>
      <c r="T576" s="7">
        <f>Table2[[#This Row],[E]]+Table2[[#This Row],[Pile 
Deviation 
E (m)]]</f>
        <v>694017.75899999996</v>
      </c>
      <c r="W576" s="7">
        <v>-0.15</v>
      </c>
      <c r="X576" s="2" t="s">
        <v>42</v>
      </c>
      <c r="AA576" s="9">
        <v>46204</v>
      </c>
    </row>
    <row r="577" spans="1:27" ht="13.95" hidden="1" customHeight="1" x14ac:dyDescent="0.65">
      <c r="A577">
        <v>575</v>
      </c>
      <c r="B577" t="s">
        <v>29</v>
      </c>
      <c r="C577" s="6">
        <v>1511757.899</v>
      </c>
      <c r="D577" s="6">
        <v>694018.21400000004</v>
      </c>
      <c r="E577" s="2" t="s">
        <v>41</v>
      </c>
      <c r="F577" s="1">
        <v>26</v>
      </c>
      <c r="G577" s="2" t="s">
        <v>48</v>
      </c>
      <c r="J577"/>
      <c r="K577" s="19"/>
      <c r="L577" s="21"/>
      <c r="M577" s="27"/>
      <c r="N577" s="19"/>
      <c r="O577" s="21"/>
      <c r="P577" s="7">
        <v>0.35</v>
      </c>
      <c r="Q577" s="7">
        <f>Table2[[#This Row],[Elevation
PILE TOP]]-Table2[[#This Row],[LENGTH(m.)
(Actual)]]</f>
        <v>0.35</v>
      </c>
      <c r="R577" s="2"/>
      <c r="S577" s="7">
        <f>Table2[[#This Row],[N]]+Table2[[#This Row],[Pile 
Deviation 
N (m)]]</f>
        <v>1511757.899</v>
      </c>
      <c r="T577" s="7">
        <f>Table2[[#This Row],[E]]+Table2[[#This Row],[Pile 
Deviation 
E (m)]]</f>
        <v>694018.21400000004</v>
      </c>
      <c r="W577" s="7">
        <v>-0.15</v>
      </c>
      <c r="X577" s="2" t="s">
        <v>42</v>
      </c>
      <c r="AA577" s="9">
        <v>46207</v>
      </c>
    </row>
    <row r="578" spans="1:27" hidden="1" x14ac:dyDescent="0.65">
      <c r="A578">
        <v>576</v>
      </c>
      <c r="B578" t="s">
        <v>29</v>
      </c>
      <c r="C578" s="6">
        <v>1511755.986</v>
      </c>
      <c r="D578" s="6">
        <v>694016.94400000002</v>
      </c>
      <c r="E578" s="2" t="s">
        <v>41</v>
      </c>
      <c r="F578" s="1">
        <v>26</v>
      </c>
      <c r="G578" s="2" t="s">
        <v>48</v>
      </c>
      <c r="J578"/>
      <c r="K578" s="19"/>
      <c r="L578" s="21"/>
      <c r="M578" s="27"/>
      <c r="N578" s="19"/>
      <c r="O578" s="21"/>
      <c r="P578" s="7">
        <v>0.35</v>
      </c>
      <c r="Q578" s="7">
        <f>Table2[[#This Row],[Elevation
PILE TOP]]-Table2[[#This Row],[LENGTH(m.)
(Actual)]]</f>
        <v>0.35</v>
      </c>
      <c r="R578" s="2"/>
      <c r="S578" s="7">
        <f>Table2[[#This Row],[N]]+Table2[[#This Row],[Pile 
Deviation 
N (m)]]</f>
        <v>1511755.986</v>
      </c>
      <c r="T578" s="7">
        <f>Table2[[#This Row],[E]]+Table2[[#This Row],[Pile 
Deviation 
E (m)]]</f>
        <v>694016.94400000002</v>
      </c>
      <c r="W578" s="7">
        <v>-0.15</v>
      </c>
      <c r="X578" s="2" t="s">
        <v>42</v>
      </c>
      <c r="AA578" s="9">
        <v>46207</v>
      </c>
    </row>
    <row r="579" spans="1:27" ht="13.95" hidden="1" customHeight="1" x14ac:dyDescent="0.65">
      <c r="A579">
        <v>577</v>
      </c>
      <c r="B579" t="s">
        <v>29</v>
      </c>
      <c r="C579" s="6">
        <v>1511755.5319999999</v>
      </c>
      <c r="D579" s="6">
        <v>694014.69299999997</v>
      </c>
      <c r="E579" s="2" t="s">
        <v>41</v>
      </c>
      <c r="F579" s="1">
        <v>26</v>
      </c>
      <c r="G579" s="2" t="s">
        <v>48</v>
      </c>
      <c r="J579"/>
      <c r="K579" s="19"/>
      <c r="L579" s="21"/>
      <c r="M579" s="27"/>
      <c r="N579" s="19"/>
      <c r="O579" s="21"/>
      <c r="P579" s="7">
        <v>0.35</v>
      </c>
      <c r="Q579" s="7">
        <f>Table2[[#This Row],[Elevation
PILE TOP]]-Table2[[#This Row],[LENGTH(m.)
(Actual)]]</f>
        <v>0.35</v>
      </c>
      <c r="R579" s="2"/>
      <c r="S579" s="7">
        <f>Table2[[#This Row],[N]]+Table2[[#This Row],[Pile 
Deviation 
N (m)]]</f>
        <v>1511755.5319999999</v>
      </c>
      <c r="T579" s="7">
        <f>Table2[[#This Row],[E]]+Table2[[#This Row],[Pile 
Deviation 
E (m)]]</f>
        <v>694014.69299999997</v>
      </c>
      <c r="W579" s="7">
        <v>-0.15</v>
      </c>
      <c r="X579" s="2" t="s">
        <v>42</v>
      </c>
      <c r="AA579" s="9">
        <v>46207</v>
      </c>
    </row>
    <row r="580" spans="1:27" hidden="1" x14ac:dyDescent="0.65">
      <c r="A580">
        <v>578</v>
      </c>
      <c r="B580" t="s">
        <v>29</v>
      </c>
      <c r="C580" s="6">
        <v>1511756.8019999999</v>
      </c>
      <c r="D580" s="6">
        <v>694012.78</v>
      </c>
      <c r="E580" s="2" t="s">
        <v>41</v>
      </c>
      <c r="F580" s="1">
        <v>26</v>
      </c>
      <c r="G580" s="2" t="s">
        <v>48</v>
      </c>
      <c r="J580"/>
      <c r="K580" s="19"/>
      <c r="L580" s="21"/>
      <c r="M580" s="27"/>
      <c r="N580" s="19"/>
      <c r="O580" s="21"/>
      <c r="P580" s="7">
        <v>0.35</v>
      </c>
      <c r="Q580" s="7">
        <f>Table2[[#This Row],[Elevation
PILE TOP]]-Table2[[#This Row],[LENGTH(m.)
(Actual)]]</f>
        <v>0.35</v>
      </c>
      <c r="R580" s="2"/>
      <c r="S580" s="7">
        <f>Table2[[#This Row],[N]]+Table2[[#This Row],[Pile 
Deviation 
N (m)]]</f>
        <v>1511756.8019999999</v>
      </c>
      <c r="T580" s="7">
        <f>Table2[[#This Row],[E]]+Table2[[#This Row],[Pile 
Deviation 
E (m)]]</f>
        <v>694012.78</v>
      </c>
      <c r="W580" s="7">
        <v>-0.15</v>
      </c>
      <c r="X580" s="2" t="s">
        <v>42</v>
      </c>
      <c r="AA580" s="9">
        <v>46209</v>
      </c>
    </row>
    <row r="581" spans="1:27" ht="13.95" customHeight="1" x14ac:dyDescent="0.65">
      <c r="A581">
        <v>579</v>
      </c>
      <c r="B581" t="s">
        <v>29</v>
      </c>
      <c r="C581" s="6">
        <v>1511758.473</v>
      </c>
      <c r="D581" s="6">
        <v>694015.26699999999</v>
      </c>
      <c r="E581" s="2" t="s">
        <v>35</v>
      </c>
      <c r="F581" s="1">
        <v>24</v>
      </c>
      <c r="G581" s="2" t="s">
        <v>48</v>
      </c>
      <c r="J581"/>
      <c r="K581" s="19"/>
      <c r="L581" s="21"/>
      <c r="M581" s="27"/>
      <c r="N581" s="19"/>
      <c r="O581" s="21"/>
      <c r="P581" s="7">
        <v>0.28999999999999998</v>
      </c>
      <c r="Q581" s="7">
        <f>Table2[[#This Row],[Elevation
PILE TOP]]-Table2[[#This Row],[LENGTH(m.)
(Actual)]]</f>
        <v>0.28999999999999998</v>
      </c>
      <c r="R581" s="2"/>
      <c r="S581" s="7">
        <f>Table2[[#This Row],[N]]+Table2[[#This Row],[Pile 
Deviation 
N (m)]]</f>
        <v>1511758.473</v>
      </c>
      <c r="T581" s="7">
        <f>Table2[[#This Row],[E]]+Table2[[#This Row],[Pile 
Deviation 
E (m)]]</f>
        <v>694015.26699999999</v>
      </c>
      <c r="W581" s="7">
        <v>0.28999999999999998</v>
      </c>
      <c r="X581" s="2" t="s">
        <v>40</v>
      </c>
      <c r="AA581" s="9">
        <v>46203</v>
      </c>
    </row>
    <row r="582" spans="1:27" hidden="1" x14ac:dyDescent="0.65">
      <c r="A582">
        <v>580</v>
      </c>
      <c r="B582" t="s">
        <v>29</v>
      </c>
      <c r="C582" s="6">
        <v>1511759.1459999999</v>
      </c>
      <c r="D582" s="6">
        <v>694018.6</v>
      </c>
      <c r="E582" s="2" t="s">
        <v>35</v>
      </c>
      <c r="F582" s="1">
        <v>24</v>
      </c>
      <c r="G582" s="2" t="s">
        <v>48</v>
      </c>
      <c r="J582"/>
      <c r="K582" s="19"/>
      <c r="L582" s="21"/>
      <c r="M582" s="27"/>
      <c r="N582" s="19"/>
      <c r="O582" s="21"/>
      <c r="P582" s="7">
        <v>0.28999999999999998</v>
      </c>
      <c r="Q582" s="7">
        <f>Table2[[#This Row],[Elevation
PILE TOP]]-Table2[[#This Row],[LENGTH(m.)
(Actual)]]</f>
        <v>0.28999999999999998</v>
      </c>
      <c r="R582" s="2"/>
      <c r="S582" s="7">
        <f>Table2[[#This Row],[N]]+Table2[[#This Row],[Pile 
Deviation 
N (m)]]</f>
        <v>1511759.1459999999</v>
      </c>
      <c r="T582" s="7">
        <f>Table2[[#This Row],[E]]+Table2[[#This Row],[Pile 
Deviation 
E (m)]]</f>
        <v>694018.6</v>
      </c>
      <c r="W582" s="7">
        <v>0.28999999999999998</v>
      </c>
      <c r="X582" s="2" t="s">
        <v>40</v>
      </c>
      <c r="AA582" s="9">
        <v>46204</v>
      </c>
    </row>
    <row r="583" spans="1:27" ht="13.95" hidden="1" customHeight="1" x14ac:dyDescent="0.65">
      <c r="A583">
        <v>581</v>
      </c>
      <c r="B583" t="s">
        <v>29</v>
      </c>
      <c r="C583" s="6">
        <v>1511760.398</v>
      </c>
      <c r="D583" s="6">
        <v>694018.99</v>
      </c>
      <c r="E583" s="2" t="s">
        <v>41</v>
      </c>
      <c r="F583" s="1">
        <v>26</v>
      </c>
      <c r="G583" s="2" t="s">
        <v>48</v>
      </c>
      <c r="J583"/>
      <c r="K583" s="19"/>
      <c r="L583" s="21"/>
      <c r="M583" s="27"/>
      <c r="N583" s="19"/>
      <c r="O583" s="21"/>
      <c r="P583" s="7">
        <v>0.35</v>
      </c>
      <c r="Q583" s="7">
        <f>Table2[[#This Row],[Elevation
PILE TOP]]-Table2[[#This Row],[LENGTH(m.)
(Actual)]]</f>
        <v>0.35</v>
      </c>
      <c r="R583" s="2"/>
      <c r="S583" s="7">
        <f>Table2[[#This Row],[N]]+Table2[[#This Row],[Pile 
Deviation 
N (m)]]</f>
        <v>1511760.398</v>
      </c>
      <c r="T583" s="7">
        <f>Table2[[#This Row],[E]]+Table2[[#This Row],[Pile 
Deviation 
E (m)]]</f>
        <v>694018.99</v>
      </c>
      <c r="W583" s="7">
        <v>-0.15</v>
      </c>
      <c r="X583" s="2" t="s">
        <v>42</v>
      </c>
      <c r="AA583" s="9">
        <v>46204</v>
      </c>
    </row>
    <row r="584" spans="1:27" hidden="1" x14ac:dyDescent="0.65">
      <c r="A584">
        <v>582</v>
      </c>
      <c r="B584" t="s">
        <v>29</v>
      </c>
      <c r="C584" s="6">
        <v>1511762.311</v>
      </c>
      <c r="D584" s="6">
        <v>694020.26</v>
      </c>
      <c r="E584" s="2" t="s">
        <v>41</v>
      </c>
      <c r="F584" s="1">
        <v>26</v>
      </c>
      <c r="G584" s="2" t="s">
        <v>48</v>
      </c>
      <c r="J584"/>
      <c r="K584" s="19"/>
      <c r="L584" s="21"/>
      <c r="M584" s="27"/>
      <c r="N584" s="19"/>
      <c r="O584" s="21"/>
      <c r="P584" s="7">
        <v>0.35</v>
      </c>
      <c r="Q584" s="7">
        <f>Table2[[#This Row],[Elevation
PILE TOP]]-Table2[[#This Row],[LENGTH(m.)
(Actual)]]</f>
        <v>0.35</v>
      </c>
      <c r="R584" s="2"/>
      <c r="S584" s="7">
        <f>Table2[[#This Row],[N]]+Table2[[#This Row],[Pile 
Deviation 
N (m)]]</f>
        <v>1511762.311</v>
      </c>
      <c r="T584" s="7">
        <f>Table2[[#This Row],[E]]+Table2[[#This Row],[Pile 
Deviation 
E (m)]]</f>
        <v>694020.26</v>
      </c>
      <c r="W584" s="7">
        <v>-0.15</v>
      </c>
      <c r="X584" s="2" t="s">
        <v>42</v>
      </c>
      <c r="AA584" s="9">
        <v>46204</v>
      </c>
    </row>
    <row r="585" spans="1:27" ht="13.95" hidden="1" customHeight="1" x14ac:dyDescent="0.65">
      <c r="A585">
        <v>583</v>
      </c>
      <c r="B585" t="s">
        <v>29</v>
      </c>
      <c r="C585" s="6">
        <v>1511762.7660000001</v>
      </c>
      <c r="D585" s="6">
        <v>694022.51100000006</v>
      </c>
      <c r="E585" s="2" t="s">
        <v>41</v>
      </c>
      <c r="F585" s="1">
        <v>26</v>
      </c>
      <c r="G585" s="2" t="s">
        <v>48</v>
      </c>
      <c r="J585"/>
      <c r="K585" s="19"/>
      <c r="L585" s="21"/>
      <c r="M585" s="27"/>
      <c r="N585" s="19"/>
      <c r="O585" s="21"/>
      <c r="P585" s="7">
        <v>0.35</v>
      </c>
      <c r="Q585" s="7">
        <f>Table2[[#This Row],[Elevation
PILE TOP]]-Table2[[#This Row],[LENGTH(m.)
(Actual)]]</f>
        <v>0.35</v>
      </c>
      <c r="R585" s="2"/>
      <c r="S585" s="7">
        <f>Table2[[#This Row],[N]]+Table2[[#This Row],[Pile 
Deviation 
N (m)]]</f>
        <v>1511762.7660000001</v>
      </c>
      <c r="T585" s="7">
        <f>Table2[[#This Row],[E]]+Table2[[#This Row],[Pile 
Deviation 
E (m)]]</f>
        <v>694022.51100000006</v>
      </c>
      <c r="W585" s="7">
        <v>-0.15</v>
      </c>
      <c r="X585" s="2" t="s">
        <v>42</v>
      </c>
      <c r="AA585" s="9">
        <v>46205</v>
      </c>
    </row>
    <row r="586" spans="1:27" hidden="1" x14ac:dyDescent="0.65">
      <c r="A586">
        <v>584</v>
      </c>
      <c r="B586" t="s">
        <v>29</v>
      </c>
      <c r="C586" s="6">
        <v>1511761.496</v>
      </c>
      <c r="D586" s="6">
        <v>694024.42299999995</v>
      </c>
      <c r="E586" s="2" t="s">
        <v>41</v>
      </c>
      <c r="F586" s="1">
        <v>26</v>
      </c>
      <c r="G586" s="2" t="s">
        <v>48</v>
      </c>
      <c r="J586"/>
      <c r="K586" s="19"/>
      <c r="L586" s="21"/>
      <c r="M586" s="27"/>
      <c r="N586" s="19"/>
      <c r="O586" s="21"/>
      <c r="P586" s="7">
        <v>0.35</v>
      </c>
      <c r="Q586" s="7">
        <f>Table2[[#This Row],[Elevation
PILE TOP]]-Table2[[#This Row],[LENGTH(m.)
(Actual)]]</f>
        <v>0.35</v>
      </c>
      <c r="R586" s="2"/>
      <c r="S586" s="7">
        <f>Table2[[#This Row],[N]]+Table2[[#This Row],[Pile 
Deviation 
N (m)]]</f>
        <v>1511761.496</v>
      </c>
      <c r="T586" s="7">
        <f>Table2[[#This Row],[E]]+Table2[[#This Row],[Pile 
Deviation 
E (m)]]</f>
        <v>694024.42299999995</v>
      </c>
      <c r="W586" s="7">
        <v>-0.15</v>
      </c>
      <c r="X586" s="2" t="s">
        <v>42</v>
      </c>
      <c r="AA586" s="9">
        <v>46205</v>
      </c>
    </row>
    <row r="587" spans="1:27" ht="13.95" hidden="1" customHeight="1" x14ac:dyDescent="0.65">
      <c r="A587">
        <v>585</v>
      </c>
      <c r="B587" t="s">
        <v>29</v>
      </c>
      <c r="C587" s="6">
        <v>1511759.2450000001</v>
      </c>
      <c r="D587" s="6">
        <v>694024.87800000003</v>
      </c>
      <c r="E587" s="2" t="s">
        <v>41</v>
      </c>
      <c r="F587" s="1">
        <v>26</v>
      </c>
      <c r="G587" s="2" t="s">
        <v>48</v>
      </c>
      <c r="J587"/>
      <c r="K587" s="19"/>
      <c r="L587" s="21"/>
      <c r="M587" s="27"/>
      <c r="N587" s="19"/>
      <c r="O587" s="21"/>
      <c r="P587" s="7">
        <v>0.35</v>
      </c>
      <c r="Q587" s="7">
        <f>Table2[[#This Row],[Elevation
PILE TOP]]-Table2[[#This Row],[LENGTH(m.)
(Actual)]]</f>
        <v>0.35</v>
      </c>
      <c r="R587" s="2"/>
      <c r="S587" s="7">
        <f>Table2[[#This Row],[N]]+Table2[[#This Row],[Pile 
Deviation 
N (m)]]</f>
        <v>1511759.2450000001</v>
      </c>
      <c r="T587" s="7">
        <f>Table2[[#This Row],[E]]+Table2[[#This Row],[Pile 
Deviation 
E (m)]]</f>
        <v>694024.87800000003</v>
      </c>
      <c r="W587" s="7">
        <v>-0.15</v>
      </c>
      <c r="X587" s="2" t="s">
        <v>42</v>
      </c>
      <c r="AA587" s="9">
        <v>46206</v>
      </c>
    </row>
    <row r="588" spans="1:27" hidden="1" x14ac:dyDescent="0.65">
      <c r="A588">
        <v>586</v>
      </c>
      <c r="B588" t="s">
        <v>29</v>
      </c>
      <c r="C588" s="6">
        <v>1511757.3319999999</v>
      </c>
      <c r="D588" s="6">
        <v>694023.60800000001</v>
      </c>
      <c r="E588" s="2" t="s">
        <v>41</v>
      </c>
      <c r="F588" s="1">
        <v>26</v>
      </c>
      <c r="G588" s="2" t="s">
        <v>48</v>
      </c>
      <c r="J588"/>
      <c r="K588" s="19"/>
      <c r="L588" s="21"/>
      <c r="M588" s="27"/>
      <c r="N588" s="19"/>
      <c r="O588" s="21"/>
      <c r="P588" s="7">
        <v>0.35</v>
      </c>
      <c r="Q588" s="7">
        <f>Table2[[#This Row],[Elevation
PILE TOP]]-Table2[[#This Row],[LENGTH(m.)
(Actual)]]</f>
        <v>0.35</v>
      </c>
      <c r="R588" s="2"/>
      <c r="S588" s="7">
        <f>Table2[[#This Row],[N]]+Table2[[#This Row],[Pile 
Deviation 
N (m)]]</f>
        <v>1511757.3319999999</v>
      </c>
      <c r="T588" s="7">
        <f>Table2[[#This Row],[E]]+Table2[[#This Row],[Pile 
Deviation 
E (m)]]</f>
        <v>694023.60800000001</v>
      </c>
      <c r="W588" s="7">
        <v>-0.15</v>
      </c>
      <c r="X588" s="2" t="s">
        <v>42</v>
      </c>
      <c r="AA588" s="9">
        <v>46206</v>
      </c>
    </row>
    <row r="589" spans="1:27" ht="13.95" hidden="1" customHeight="1" x14ac:dyDescent="0.65">
      <c r="A589">
        <v>587</v>
      </c>
      <c r="B589" t="s">
        <v>29</v>
      </c>
      <c r="C589" s="6">
        <v>1511756.878</v>
      </c>
      <c r="D589" s="6">
        <v>694021.35699999996</v>
      </c>
      <c r="E589" s="2" t="s">
        <v>41</v>
      </c>
      <c r="F589" s="1">
        <v>26</v>
      </c>
      <c r="G589" s="2" t="s">
        <v>48</v>
      </c>
      <c r="J589"/>
      <c r="K589" s="19"/>
      <c r="L589" s="21"/>
      <c r="M589" s="27"/>
      <c r="N589" s="19"/>
      <c r="O589" s="21"/>
      <c r="P589" s="7">
        <v>0.35</v>
      </c>
      <c r="Q589" s="7">
        <f>Table2[[#This Row],[Elevation
PILE TOP]]-Table2[[#This Row],[LENGTH(m.)
(Actual)]]</f>
        <v>0.35</v>
      </c>
      <c r="R589" s="2"/>
      <c r="S589" s="7">
        <f>Table2[[#This Row],[N]]+Table2[[#This Row],[Pile 
Deviation 
N (m)]]</f>
        <v>1511756.878</v>
      </c>
      <c r="T589" s="7">
        <f>Table2[[#This Row],[E]]+Table2[[#This Row],[Pile 
Deviation 
E (m)]]</f>
        <v>694021.35699999996</v>
      </c>
      <c r="W589" s="7">
        <v>-0.15</v>
      </c>
      <c r="X589" s="2" t="s">
        <v>42</v>
      </c>
      <c r="AA589" s="9">
        <v>46206</v>
      </c>
    </row>
    <row r="590" spans="1:27" hidden="1" x14ac:dyDescent="0.65">
      <c r="A590">
        <v>588</v>
      </c>
      <c r="B590" t="s">
        <v>29</v>
      </c>
      <c r="C590" s="6">
        <v>1511758.148</v>
      </c>
      <c r="D590" s="6">
        <v>694019.44400000002</v>
      </c>
      <c r="E590" s="2" t="s">
        <v>41</v>
      </c>
      <c r="F590" s="1">
        <v>26</v>
      </c>
      <c r="G590" s="2" t="s">
        <v>48</v>
      </c>
      <c r="J590"/>
      <c r="K590" s="19"/>
      <c r="L590" s="21"/>
      <c r="M590" s="27"/>
      <c r="N590" s="19"/>
      <c r="O590" s="21"/>
      <c r="P590" s="7">
        <v>0.35</v>
      </c>
      <c r="Q590" s="7">
        <f>Table2[[#This Row],[Elevation
PILE TOP]]-Table2[[#This Row],[LENGTH(m.)
(Actual)]]</f>
        <v>0.35</v>
      </c>
      <c r="R590" s="2"/>
      <c r="S590" s="7">
        <f>Table2[[#This Row],[N]]+Table2[[#This Row],[Pile 
Deviation 
N (m)]]</f>
        <v>1511758.148</v>
      </c>
      <c r="T590" s="7">
        <f>Table2[[#This Row],[E]]+Table2[[#This Row],[Pile 
Deviation 
E (m)]]</f>
        <v>694019.44400000002</v>
      </c>
      <c r="W590" s="7">
        <v>-0.15</v>
      </c>
      <c r="X590" s="2" t="s">
        <v>42</v>
      </c>
      <c r="AA590" s="9">
        <v>46207</v>
      </c>
    </row>
    <row r="591" spans="1:27" ht="13.95" hidden="1" customHeight="1" x14ac:dyDescent="0.65">
      <c r="A591">
        <v>589</v>
      </c>
      <c r="B591" t="s">
        <v>29</v>
      </c>
      <c r="C591" s="6">
        <v>1511759.8189999999</v>
      </c>
      <c r="D591" s="6">
        <v>694021.93200000003</v>
      </c>
      <c r="E591" s="2" t="s">
        <v>35</v>
      </c>
      <c r="F591" s="1">
        <v>24</v>
      </c>
      <c r="G591" s="2" t="s">
        <v>48</v>
      </c>
      <c r="J591"/>
      <c r="K591" s="19"/>
      <c r="L591" s="21"/>
      <c r="M591" s="27"/>
      <c r="N591" s="19"/>
      <c r="O591" s="21"/>
      <c r="P591" s="7">
        <v>0.28999999999999998</v>
      </c>
      <c r="Q591" s="7">
        <f>Table2[[#This Row],[Elevation
PILE TOP]]-Table2[[#This Row],[LENGTH(m.)
(Actual)]]</f>
        <v>0.28999999999999998</v>
      </c>
      <c r="R591" s="2"/>
      <c r="S591" s="7">
        <f>Table2[[#This Row],[N]]+Table2[[#This Row],[Pile 
Deviation 
N (m)]]</f>
        <v>1511759.8189999999</v>
      </c>
      <c r="T591" s="7">
        <f>Table2[[#This Row],[E]]+Table2[[#This Row],[Pile 
Deviation 
E (m)]]</f>
        <v>694021.93200000003</v>
      </c>
      <c r="W591" s="7">
        <v>0.28999999999999998</v>
      </c>
      <c r="X591" s="2" t="s">
        <v>40</v>
      </c>
      <c r="AA591" s="9">
        <v>46205</v>
      </c>
    </row>
    <row r="592" spans="1:27" hidden="1" x14ac:dyDescent="0.65">
      <c r="A592">
        <v>590</v>
      </c>
      <c r="B592" t="s">
        <v>29</v>
      </c>
      <c r="C592" s="6">
        <v>1511760.4129999999</v>
      </c>
      <c r="D592" s="6">
        <v>694024.87300000002</v>
      </c>
      <c r="E592" s="2" t="s">
        <v>35</v>
      </c>
      <c r="F592" s="1">
        <v>24</v>
      </c>
      <c r="G592" s="2" t="s">
        <v>48</v>
      </c>
      <c r="J592"/>
      <c r="K592" s="19"/>
      <c r="L592" s="21"/>
      <c r="M592" s="27"/>
      <c r="N592" s="19"/>
      <c r="O592" s="21"/>
      <c r="P592" s="7">
        <v>0.28999999999999998</v>
      </c>
      <c r="Q592" s="7">
        <f>Table2[[#This Row],[Elevation
PILE TOP]]-Table2[[#This Row],[LENGTH(m.)
(Actual)]]</f>
        <v>0.28999999999999998</v>
      </c>
      <c r="R592" s="2"/>
      <c r="S592" s="7">
        <f>Table2[[#This Row],[N]]+Table2[[#This Row],[Pile 
Deviation 
N (m)]]</f>
        <v>1511760.4129999999</v>
      </c>
      <c r="T592" s="7">
        <f>Table2[[#This Row],[E]]+Table2[[#This Row],[Pile 
Deviation 
E (m)]]</f>
        <v>694024.87300000002</v>
      </c>
      <c r="W592" s="7">
        <v>0.28999999999999998</v>
      </c>
      <c r="X592" s="2" t="s">
        <v>40</v>
      </c>
      <c r="AA592" s="9">
        <v>46205</v>
      </c>
    </row>
    <row r="593" spans="1:28" ht="13.95" customHeight="1" x14ac:dyDescent="0.65">
      <c r="A593">
        <v>591</v>
      </c>
      <c r="B593" t="s">
        <v>29</v>
      </c>
      <c r="C593" s="6">
        <v>1511761.0060000001</v>
      </c>
      <c r="D593" s="6">
        <v>694027.81400000001</v>
      </c>
      <c r="E593" s="2" t="s">
        <v>35</v>
      </c>
      <c r="F593" s="1">
        <v>24</v>
      </c>
      <c r="G593" s="2" t="s">
        <v>48</v>
      </c>
      <c r="J593"/>
      <c r="K593" s="19"/>
      <c r="L593" s="21"/>
      <c r="M593" s="27"/>
      <c r="N593" s="19"/>
      <c r="O593" s="21"/>
      <c r="P593" s="7">
        <v>0.28999999999999998</v>
      </c>
      <c r="Q593" s="7">
        <f>Table2[[#This Row],[Elevation
PILE TOP]]-Table2[[#This Row],[LENGTH(m.)
(Actual)]]</f>
        <v>0.28999999999999998</v>
      </c>
      <c r="R593" s="2"/>
      <c r="S593" s="7">
        <f>Table2[[#This Row],[N]]+Table2[[#This Row],[Pile 
Deviation 
N (m)]]</f>
        <v>1511761.0060000001</v>
      </c>
      <c r="T593" s="7">
        <f>Table2[[#This Row],[E]]+Table2[[#This Row],[Pile 
Deviation 
E (m)]]</f>
        <v>694027.81400000001</v>
      </c>
      <c r="W593" s="7">
        <v>0.28999999999999998</v>
      </c>
      <c r="X593" s="2" t="s">
        <v>40</v>
      </c>
      <c r="AA593" s="9">
        <v>46195</v>
      </c>
    </row>
    <row r="594" spans="1:28" x14ac:dyDescent="0.65">
      <c r="A594">
        <v>592</v>
      </c>
      <c r="B594" t="s">
        <v>29</v>
      </c>
      <c r="C594" s="6">
        <v>1511762.2</v>
      </c>
      <c r="D594" s="6">
        <v>694027.91</v>
      </c>
      <c r="E594" s="2" t="s">
        <v>41</v>
      </c>
      <c r="F594" s="1">
        <v>26</v>
      </c>
      <c r="G594" s="2" t="s">
        <v>48</v>
      </c>
      <c r="J594"/>
      <c r="K594" s="19"/>
      <c r="L594" s="21"/>
      <c r="M594" s="27"/>
      <c r="N594" s="19"/>
      <c r="O594" s="21"/>
      <c r="P594" s="7">
        <v>0.35</v>
      </c>
      <c r="Q594" s="7">
        <f>Table2[[#This Row],[Elevation
PILE TOP]]-Table2[[#This Row],[LENGTH(m.)
(Actual)]]</f>
        <v>0.35</v>
      </c>
      <c r="R594" s="2"/>
      <c r="S594" s="7">
        <f>Table2[[#This Row],[N]]+Table2[[#This Row],[Pile 
Deviation 
N (m)]]</f>
        <v>1511762.2</v>
      </c>
      <c r="T594" s="7">
        <f>Table2[[#This Row],[E]]+Table2[[#This Row],[Pile 
Deviation 
E (m)]]</f>
        <v>694027.91</v>
      </c>
      <c r="W594" s="7">
        <v>-0.15</v>
      </c>
      <c r="X594" s="2" t="s">
        <v>42</v>
      </c>
      <c r="AA594" s="9">
        <v>46195</v>
      </c>
    </row>
    <row r="595" spans="1:28" ht="13.95" customHeight="1" x14ac:dyDescent="0.65">
      <c r="A595">
        <v>593</v>
      </c>
      <c r="B595" t="s">
        <v>29</v>
      </c>
      <c r="C595" s="6">
        <v>1511764.1129999999</v>
      </c>
      <c r="D595" s="6">
        <v>694029.18</v>
      </c>
      <c r="E595" s="2" t="s">
        <v>41</v>
      </c>
      <c r="F595" s="1">
        <v>26</v>
      </c>
      <c r="G595" s="2" t="s">
        <v>48</v>
      </c>
      <c r="J595"/>
      <c r="K595" s="19"/>
      <c r="L595" s="21"/>
      <c r="M595" s="27"/>
      <c r="N595" s="19"/>
      <c r="O595" s="21"/>
      <c r="P595" s="7">
        <v>0.35</v>
      </c>
      <c r="Q595" s="7">
        <f>Table2[[#This Row],[Elevation
PILE TOP]]-Table2[[#This Row],[LENGTH(m.)
(Actual)]]</f>
        <v>0.35</v>
      </c>
      <c r="R595" s="2"/>
      <c r="S595" s="7">
        <f>Table2[[#This Row],[N]]+Table2[[#This Row],[Pile 
Deviation 
N (m)]]</f>
        <v>1511764.1129999999</v>
      </c>
      <c r="T595" s="7">
        <f>Table2[[#This Row],[E]]+Table2[[#This Row],[Pile 
Deviation 
E (m)]]</f>
        <v>694029.18</v>
      </c>
      <c r="W595" s="7">
        <v>-0.15</v>
      </c>
      <c r="X595" s="2" t="s">
        <v>42</v>
      </c>
      <c r="AA595" s="9">
        <v>46195</v>
      </c>
    </row>
    <row r="596" spans="1:28" x14ac:dyDescent="0.65">
      <c r="A596">
        <v>594</v>
      </c>
      <c r="B596" t="s">
        <v>29</v>
      </c>
      <c r="C596" s="6">
        <v>1511764.567</v>
      </c>
      <c r="D596" s="6">
        <v>694031.43099999998</v>
      </c>
      <c r="E596" s="2" t="s">
        <v>41</v>
      </c>
      <c r="F596" s="1">
        <v>26</v>
      </c>
      <c r="G596" s="2" t="s">
        <v>48</v>
      </c>
      <c r="J596"/>
      <c r="K596" s="19"/>
      <c r="L596" s="21"/>
      <c r="M596" s="27"/>
      <c r="N596" s="19"/>
      <c r="O596" s="21"/>
      <c r="P596" s="7">
        <v>0.35</v>
      </c>
      <c r="Q596" s="7">
        <f>Table2[[#This Row],[Elevation
PILE TOP]]-Table2[[#This Row],[LENGTH(m.)
(Actual)]]</f>
        <v>0.35</v>
      </c>
      <c r="R596" s="2"/>
      <c r="S596" s="7">
        <f>Table2[[#This Row],[N]]+Table2[[#This Row],[Pile 
Deviation 
N (m)]]</f>
        <v>1511764.567</v>
      </c>
      <c r="T596" s="7">
        <f>Table2[[#This Row],[E]]+Table2[[#This Row],[Pile 
Deviation 
E (m)]]</f>
        <v>694031.43099999998</v>
      </c>
      <c r="W596" s="7">
        <v>-0.15</v>
      </c>
      <c r="X596" s="2" t="s">
        <v>42</v>
      </c>
      <c r="AA596" s="9">
        <v>46195</v>
      </c>
    </row>
    <row r="597" spans="1:28" ht="13.95" customHeight="1" x14ac:dyDescent="0.65">
      <c r="A597">
        <v>595</v>
      </c>
      <c r="B597" t="s">
        <v>29</v>
      </c>
      <c r="C597" s="6">
        <v>1511763.297</v>
      </c>
      <c r="D597" s="6">
        <v>694033.34400000004</v>
      </c>
      <c r="E597" s="2" t="s">
        <v>41</v>
      </c>
      <c r="F597" s="1">
        <v>26</v>
      </c>
      <c r="G597" s="2" t="s">
        <v>48</v>
      </c>
      <c r="J597"/>
      <c r="K597" s="19"/>
      <c r="L597" s="21"/>
      <c r="M597" s="27"/>
      <c r="N597" s="19"/>
      <c r="O597" s="21"/>
      <c r="P597" s="7">
        <v>0.35</v>
      </c>
      <c r="Q597" s="7">
        <f>Table2[[#This Row],[Elevation
PILE TOP]]-Table2[[#This Row],[LENGTH(m.)
(Actual)]]</f>
        <v>0.35</v>
      </c>
      <c r="R597" s="2"/>
      <c r="S597" s="7">
        <f>Table2[[#This Row],[N]]+Table2[[#This Row],[Pile 
Deviation 
N (m)]]</f>
        <v>1511763.297</v>
      </c>
      <c r="T597" s="7">
        <f>Table2[[#This Row],[E]]+Table2[[#This Row],[Pile 
Deviation 
E (m)]]</f>
        <v>694033.34400000004</v>
      </c>
      <c r="W597" s="7">
        <v>-0.15</v>
      </c>
      <c r="X597" s="2" t="s">
        <v>42</v>
      </c>
      <c r="AA597" s="9">
        <v>46196</v>
      </c>
    </row>
    <row r="598" spans="1:28" x14ac:dyDescent="0.65">
      <c r="A598">
        <v>596</v>
      </c>
      <c r="B598" t="s">
        <v>29</v>
      </c>
      <c r="C598" s="6">
        <v>1511761.0460000001</v>
      </c>
      <c r="D598" s="6">
        <v>694033.79799999995</v>
      </c>
      <c r="E598" s="2" t="s">
        <v>41</v>
      </c>
      <c r="F598" s="1">
        <v>26</v>
      </c>
      <c r="G598" s="2" t="s">
        <v>48</v>
      </c>
      <c r="J598"/>
      <c r="K598" s="19"/>
      <c r="L598" s="21"/>
      <c r="M598" s="27"/>
      <c r="N598" s="19"/>
      <c r="O598" s="21"/>
      <c r="P598" s="7">
        <v>0.35</v>
      </c>
      <c r="Q598" s="7">
        <f>Table2[[#This Row],[Elevation
PILE TOP]]-Table2[[#This Row],[LENGTH(m.)
(Actual)]]</f>
        <v>0.35</v>
      </c>
      <c r="R598" s="2"/>
      <c r="S598" s="7">
        <f>Table2[[#This Row],[N]]+Table2[[#This Row],[Pile 
Deviation 
N (m)]]</f>
        <v>1511761.0460000001</v>
      </c>
      <c r="T598" s="7">
        <f>Table2[[#This Row],[E]]+Table2[[#This Row],[Pile 
Deviation 
E (m)]]</f>
        <v>694033.79799999995</v>
      </c>
      <c r="W598" s="7">
        <v>-0.15</v>
      </c>
      <c r="X598" s="2" t="s">
        <v>42</v>
      </c>
      <c r="AA598" s="9">
        <v>46198</v>
      </c>
    </row>
    <row r="599" spans="1:28" ht="13.95" customHeight="1" x14ac:dyDescent="0.65">
      <c r="A599">
        <v>597</v>
      </c>
      <c r="B599" t="s">
        <v>29</v>
      </c>
      <c r="C599" s="6">
        <v>1511759.1340000001</v>
      </c>
      <c r="D599" s="6">
        <v>694032.52800000005</v>
      </c>
      <c r="E599" s="2" t="s">
        <v>41</v>
      </c>
      <c r="F599" s="1">
        <v>26</v>
      </c>
      <c r="G599" s="2" t="s">
        <v>48</v>
      </c>
      <c r="J599"/>
      <c r="K599" s="19"/>
      <c r="L599" s="21"/>
      <c r="M599" s="27"/>
      <c r="N599" s="19"/>
      <c r="O599" s="21"/>
      <c r="P599" s="7">
        <v>0.35</v>
      </c>
      <c r="Q599" s="7">
        <f>Table2[[#This Row],[Elevation
PILE TOP]]-Table2[[#This Row],[LENGTH(m.)
(Actual)]]</f>
        <v>0.35</v>
      </c>
      <c r="R599" s="2"/>
      <c r="S599" s="7">
        <f>Table2[[#This Row],[N]]+Table2[[#This Row],[Pile 
Deviation 
N (m)]]</f>
        <v>1511759.1340000001</v>
      </c>
      <c r="T599" s="7">
        <f>Table2[[#This Row],[E]]+Table2[[#This Row],[Pile 
Deviation 
E (m)]]</f>
        <v>694032.52800000005</v>
      </c>
      <c r="W599" s="7">
        <v>-0.15</v>
      </c>
      <c r="X599" s="2" t="s">
        <v>42</v>
      </c>
      <c r="AA599" s="9">
        <v>46198</v>
      </c>
    </row>
    <row r="600" spans="1:28" x14ac:dyDescent="0.65">
      <c r="A600">
        <v>598</v>
      </c>
      <c r="B600" t="s">
        <v>29</v>
      </c>
      <c r="C600" s="6">
        <v>1511758.679</v>
      </c>
      <c r="D600" s="6">
        <v>694030.27800000005</v>
      </c>
      <c r="E600" s="2" t="s">
        <v>41</v>
      </c>
      <c r="F600" s="1">
        <v>26</v>
      </c>
      <c r="G600" s="2" t="s">
        <v>48</v>
      </c>
      <c r="J600"/>
      <c r="K600" s="19"/>
      <c r="L600" s="21"/>
      <c r="M600" s="27"/>
      <c r="N600" s="19"/>
      <c r="O600" s="21"/>
      <c r="P600" s="7">
        <v>0.35</v>
      </c>
      <c r="Q600" s="7">
        <f>Table2[[#This Row],[Elevation
PILE TOP]]-Table2[[#This Row],[LENGTH(m.)
(Actual)]]</f>
        <v>0.35</v>
      </c>
      <c r="R600" s="2"/>
      <c r="S600" s="7">
        <f>Table2[[#This Row],[N]]+Table2[[#This Row],[Pile 
Deviation 
N (m)]]</f>
        <v>1511758.679</v>
      </c>
      <c r="T600" s="7">
        <f>Table2[[#This Row],[E]]+Table2[[#This Row],[Pile 
Deviation 
E (m)]]</f>
        <v>694030.27800000005</v>
      </c>
      <c r="W600" s="7">
        <v>-0.15</v>
      </c>
      <c r="X600" s="2" t="s">
        <v>42</v>
      </c>
      <c r="AA600" s="9">
        <v>46199</v>
      </c>
    </row>
    <row r="601" spans="1:28" ht="13.95" customHeight="1" x14ac:dyDescent="0.65">
      <c r="A601">
        <v>599</v>
      </c>
      <c r="B601" t="s">
        <v>29</v>
      </c>
      <c r="C601" s="6">
        <v>1511759.949</v>
      </c>
      <c r="D601" s="6">
        <v>694028.36499999999</v>
      </c>
      <c r="E601" s="2" t="s">
        <v>41</v>
      </c>
      <c r="F601" s="1">
        <v>26</v>
      </c>
      <c r="G601" s="2" t="s">
        <v>48</v>
      </c>
      <c r="J601"/>
      <c r="K601" s="19"/>
      <c r="L601" s="21"/>
      <c r="M601" s="27"/>
      <c r="N601" s="19"/>
      <c r="O601" s="21"/>
      <c r="P601" s="7">
        <v>0.35</v>
      </c>
      <c r="Q601" s="7">
        <f>Table2[[#This Row],[Elevation
PILE TOP]]-Table2[[#This Row],[LENGTH(m.)
(Actual)]]</f>
        <v>0.35</v>
      </c>
      <c r="R601" s="2"/>
      <c r="S601" s="7">
        <f>Table2[[#This Row],[N]]+Table2[[#This Row],[Pile 
Deviation 
N (m)]]</f>
        <v>1511759.949</v>
      </c>
      <c r="T601" s="7">
        <f>Table2[[#This Row],[E]]+Table2[[#This Row],[Pile 
Deviation 
E (m)]]</f>
        <v>694028.36499999999</v>
      </c>
      <c r="W601" s="7">
        <v>-0.15</v>
      </c>
      <c r="X601" s="2" t="s">
        <v>42</v>
      </c>
      <c r="AA601" s="9">
        <v>46199</v>
      </c>
    </row>
    <row r="602" spans="1:28" x14ac:dyDescent="0.65">
      <c r="A602">
        <v>600</v>
      </c>
      <c r="B602" t="s">
        <v>29</v>
      </c>
      <c r="C602" s="6">
        <v>1511761.6</v>
      </c>
      <c r="D602" s="6">
        <v>694030.75399999996</v>
      </c>
      <c r="E602" s="2" t="s">
        <v>35</v>
      </c>
      <c r="F602" s="1">
        <v>24</v>
      </c>
      <c r="G602" s="2" t="s">
        <v>48</v>
      </c>
      <c r="J602"/>
      <c r="K602" s="19"/>
      <c r="L602" s="21"/>
      <c r="M602" s="27"/>
      <c r="N602" s="19"/>
      <c r="O602" s="21"/>
      <c r="P602" s="7">
        <v>0.28999999999999998</v>
      </c>
      <c r="Q602" s="7">
        <f>Table2[[#This Row],[Elevation
PILE TOP]]-Table2[[#This Row],[LENGTH(m.)
(Actual)]]</f>
        <v>0.28999999999999998</v>
      </c>
      <c r="R602" s="2"/>
      <c r="S602" s="7">
        <f>Table2[[#This Row],[N]]+Table2[[#This Row],[Pile 
Deviation 
N (m)]]</f>
        <v>1511761.6</v>
      </c>
      <c r="T602" s="7">
        <f>Table2[[#This Row],[E]]+Table2[[#This Row],[Pile 
Deviation 
E (m)]]</f>
        <v>694030.75399999996</v>
      </c>
      <c r="W602" s="7">
        <v>0.28999999999999998</v>
      </c>
      <c r="X602" s="2" t="s">
        <v>40</v>
      </c>
      <c r="AA602" s="9">
        <v>46195</v>
      </c>
    </row>
    <row r="603" spans="1:28" ht="13.95" customHeight="1" x14ac:dyDescent="0.65">
      <c r="A603">
        <v>601</v>
      </c>
      <c r="B603" t="s">
        <v>29</v>
      </c>
      <c r="C603" s="6">
        <v>1511762.273</v>
      </c>
      <c r="D603" s="6">
        <v>694034.08700000006</v>
      </c>
      <c r="E603" s="2" t="s">
        <v>35</v>
      </c>
      <c r="F603" s="1">
        <v>24</v>
      </c>
      <c r="G603" s="2" t="s">
        <v>48</v>
      </c>
      <c r="J603"/>
      <c r="K603" s="19"/>
      <c r="L603" s="21"/>
      <c r="M603" s="27"/>
      <c r="N603" s="19"/>
      <c r="O603" s="21"/>
      <c r="P603" s="7">
        <v>0.28999999999999998</v>
      </c>
      <c r="Q603" s="7">
        <f>Table2[[#This Row],[Elevation
PILE TOP]]-Table2[[#This Row],[LENGTH(m.)
(Actual)]]</f>
        <v>0.28999999999999998</v>
      </c>
      <c r="R603" s="2"/>
      <c r="S603" s="7">
        <f>Table2[[#This Row],[N]]+Table2[[#This Row],[Pile 
Deviation 
N (m)]]</f>
        <v>1511762.273</v>
      </c>
      <c r="T603" s="7">
        <f>Table2[[#This Row],[E]]+Table2[[#This Row],[Pile 
Deviation 
E (m)]]</f>
        <v>694034.08700000006</v>
      </c>
      <c r="W603" s="7">
        <v>0.28999999999999998</v>
      </c>
      <c r="X603" s="2" t="s">
        <v>40</v>
      </c>
      <c r="AA603" s="9">
        <v>46196</v>
      </c>
    </row>
    <row r="604" spans="1:28" x14ac:dyDescent="0.65">
      <c r="A604">
        <v>602</v>
      </c>
      <c r="B604" t="s">
        <v>29</v>
      </c>
      <c r="C604" s="6">
        <v>1511763.5460000001</v>
      </c>
      <c r="D604" s="6">
        <v>694034.57499999995</v>
      </c>
      <c r="E604" s="2" t="s">
        <v>41</v>
      </c>
      <c r="F604" s="1">
        <v>26</v>
      </c>
      <c r="G604" s="2" t="s">
        <v>48</v>
      </c>
      <c r="J604"/>
      <c r="K604" s="19"/>
      <c r="L604" s="21"/>
      <c r="M604" s="27"/>
      <c r="N604" s="19"/>
      <c r="O604" s="21"/>
      <c r="P604" s="7">
        <v>0.35</v>
      </c>
      <c r="Q604" s="7">
        <f>Table2[[#This Row],[Elevation
PILE TOP]]-Table2[[#This Row],[LENGTH(m.)
(Actual)]]</f>
        <v>0.35</v>
      </c>
      <c r="R604" s="2"/>
      <c r="S604" s="7">
        <f>Table2[[#This Row],[N]]+Table2[[#This Row],[Pile 
Deviation 
N (m)]]</f>
        <v>1511763.5460000001</v>
      </c>
      <c r="T604" s="7">
        <f>Table2[[#This Row],[E]]+Table2[[#This Row],[Pile 
Deviation 
E (m)]]</f>
        <v>694034.57499999995</v>
      </c>
      <c r="W604" s="7">
        <v>-0.15</v>
      </c>
      <c r="X604" s="2" t="s">
        <v>42</v>
      </c>
      <c r="AA604" s="9">
        <v>46196</v>
      </c>
    </row>
    <row r="605" spans="1:28" ht="13.95" customHeight="1" x14ac:dyDescent="0.65">
      <c r="A605">
        <v>603</v>
      </c>
      <c r="B605" t="s">
        <v>29</v>
      </c>
      <c r="C605" s="6">
        <v>1511765.459</v>
      </c>
      <c r="D605" s="6">
        <v>694035.84499999997</v>
      </c>
      <c r="E605" s="2" t="s">
        <v>41</v>
      </c>
      <c r="F605" s="1">
        <v>26</v>
      </c>
      <c r="G605" s="2" t="s">
        <v>48</v>
      </c>
      <c r="J605"/>
      <c r="K605" s="19"/>
      <c r="L605" s="21"/>
      <c r="M605" s="27"/>
      <c r="N605" s="19"/>
      <c r="O605" s="21"/>
      <c r="P605" s="7">
        <v>0.35</v>
      </c>
      <c r="Q605" s="7">
        <f>Table2[[#This Row],[Elevation
PILE TOP]]-Table2[[#This Row],[LENGTH(m.)
(Actual)]]</f>
        <v>0.35</v>
      </c>
      <c r="R605" s="2"/>
      <c r="S605" s="7">
        <f>Table2[[#This Row],[N]]+Table2[[#This Row],[Pile 
Deviation 
N (m)]]</f>
        <v>1511765.459</v>
      </c>
      <c r="T605" s="7">
        <f>Table2[[#This Row],[E]]+Table2[[#This Row],[Pile 
Deviation 
E (m)]]</f>
        <v>694035.84499999997</v>
      </c>
      <c r="W605" s="7">
        <v>-0.15</v>
      </c>
      <c r="X605" s="2" t="s">
        <v>42</v>
      </c>
      <c r="AA605" s="9">
        <v>46196</v>
      </c>
    </row>
    <row r="606" spans="1:28" x14ac:dyDescent="0.65">
      <c r="A606">
        <v>604</v>
      </c>
      <c r="B606" t="s">
        <v>29</v>
      </c>
      <c r="C606" s="6">
        <v>1511765.9129999999</v>
      </c>
      <c r="D606" s="6">
        <v>694038.09499999997</v>
      </c>
      <c r="E606" s="2" t="s">
        <v>41</v>
      </c>
      <c r="F606" s="1">
        <v>26</v>
      </c>
      <c r="G606" s="2" t="s">
        <v>48</v>
      </c>
      <c r="J606">
        <v>3</v>
      </c>
      <c r="K606" s="19"/>
      <c r="L606" s="21">
        <v>0.39930555555555558</v>
      </c>
      <c r="M606" s="27" t="s">
        <v>32</v>
      </c>
      <c r="N606" s="19"/>
      <c r="O606" s="21">
        <v>0.4375</v>
      </c>
      <c r="P606" s="7">
        <v>-0.74</v>
      </c>
      <c r="Q606" s="7">
        <f>Table2[[#This Row],[Elevation
PILE TOP]]-Table2[[#This Row],[LENGTH(m.)
(Actual)]]</f>
        <v>-26.74</v>
      </c>
      <c r="R606" s="2">
        <v>26</v>
      </c>
      <c r="S606" s="7">
        <f>Table2[[#This Row],[N]]+Table2[[#This Row],[Pile 
Deviation 
N (m)]]</f>
        <v>1511765.8929999999</v>
      </c>
      <c r="T606" s="7">
        <f>Table2[[#This Row],[E]]+Table2[[#This Row],[Pile 
Deviation 
E (m)]]</f>
        <v>694038.11499999999</v>
      </c>
      <c r="U606" s="7">
        <v>-0.02</v>
      </c>
      <c r="V606" s="7">
        <v>0.02</v>
      </c>
      <c r="W606" s="7">
        <v>-0.15</v>
      </c>
      <c r="X606" s="2" t="s">
        <v>42</v>
      </c>
      <c r="Y606" t="s">
        <v>49</v>
      </c>
      <c r="Z606" s="9">
        <v>46194</v>
      </c>
      <c r="AA606" s="9">
        <v>46197</v>
      </c>
      <c r="AB606">
        <v>2</v>
      </c>
    </row>
    <row r="607" spans="1:28" ht="13.95" customHeight="1" x14ac:dyDescent="0.65">
      <c r="A607">
        <v>605</v>
      </c>
      <c r="B607" t="s">
        <v>29</v>
      </c>
      <c r="C607" s="6">
        <v>1511764.6429999999</v>
      </c>
      <c r="D607" s="6">
        <v>694040.00800000003</v>
      </c>
      <c r="E607" s="2" t="s">
        <v>41</v>
      </c>
      <c r="F607" s="1">
        <v>26</v>
      </c>
      <c r="G607" s="2" t="s">
        <v>48</v>
      </c>
      <c r="J607">
        <v>3</v>
      </c>
      <c r="K607" s="19"/>
      <c r="L607" s="21">
        <v>0.57638888888888895</v>
      </c>
      <c r="M607" s="27" t="s">
        <v>32</v>
      </c>
      <c r="N607" s="19"/>
      <c r="O607" s="21">
        <v>0.61111111111111105</v>
      </c>
      <c r="P607" s="7">
        <v>0.35</v>
      </c>
      <c r="Q607" s="7">
        <f>Table2[[#This Row],[Elevation
PILE TOP]]-Table2[[#This Row],[LENGTH(m.)
(Actual)]]</f>
        <v>-25.65</v>
      </c>
      <c r="R607" s="2">
        <v>26</v>
      </c>
      <c r="S607" s="7">
        <f>Table2[[#This Row],[N]]+Table2[[#This Row],[Pile 
Deviation 
N (m)]]</f>
        <v>1511764.6429999999</v>
      </c>
      <c r="T607" s="7">
        <f>Table2[[#This Row],[E]]+Table2[[#This Row],[Pile 
Deviation 
E (m)]]</f>
        <v>694040.00800000003</v>
      </c>
      <c r="W607" s="7">
        <v>-0.15</v>
      </c>
      <c r="X607" s="2" t="s">
        <v>42</v>
      </c>
      <c r="Y607" t="s">
        <v>49</v>
      </c>
      <c r="Z607" s="9">
        <v>46195</v>
      </c>
      <c r="AA607" s="9">
        <v>46197</v>
      </c>
      <c r="AB607">
        <v>4</v>
      </c>
    </row>
    <row r="608" spans="1:28" x14ac:dyDescent="0.65">
      <c r="A608">
        <v>606</v>
      </c>
      <c r="B608" t="s">
        <v>29</v>
      </c>
      <c r="C608" s="6">
        <v>1511762.392</v>
      </c>
      <c r="D608" s="6">
        <v>694040.46299999999</v>
      </c>
      <c r="E608" s="2" t="s">
        <v>41</v>
      </c>
      <c r="F608" s="1">
        <v>26</v>
      </c>
      <c r="G608" s="2" t="s">
        <v>48</v>
      </c>
      <c r="J608"/>
      <c r="K608" s="19"/>
      <c r="L608" s="21"/>
      <c r="M608" s="27"/>
      <c r="N608" s="19"/>
      <c r="O608" s="21"/>
      <c r="P608" s="7">
        <v>0.35</v>
      </c>
      <c r="Q608" s="7">
        <f>Table2[[#This Row],[Elevation
PILE TOP]]-Table2[[#This Row],[LENGTH(m.)
(Actual)]]</f>
        <v>0.35</v>
      </c>
      <c r="R608" s="2"/>
      <c r="S608" s="7">
        <f>Table2[[#This Row],[N]]+Table2[[#This Row],[Pile 
Deviation 
N (m)]]</f>
        <v>1511762.392</v>
      </c>
      <c r="T608" s="7">
        <f>Table2[[#This Row],[E]]+Table2[[#This Row],[Pile 
Deviation 
E (m)]]</f>
        <v>694040.46299999999</v>
      </c>
      <c r="W608" s="7">
        <v>-0.15</v>
      </c>
      <c r="X608" s="2" t="s">
        <v>42</v>
      </c>
      <c r="AA608" s="9">
        <v>46197</v>
      </c>
    </row>
    <row r="609" spans="1:28" ht="13.95" customHeight="1" x14ac:dyDescent="0.65">
      <c r="A609">
        <v>607</v>
      </c>
      <c r="B609" t="s">
        <v>29</v>
      </c>
      <c r="C609" s="6">
        <v>1511760.48</v>
      </c>
      <c r="D609" s="6">
        <v>694039.19299999997</v>
      </c>
      <c r="E609" s="2" t="s">
        <v>41</v>
      </c>
      <c r="F609" s="1">
        <v>26</v>
      </c>
      <c r="G609" s="2" t="s">
        <v>48</v>
      </c>
      <c r="J609"/>
      <c r="K609" s="19"/>
      <c r="L609" s="21"/>
      <c r="M609" s="27"/>
      <c r="N609" s="19"/>
      <c r="O609" s="21"/>
      <c r="P609" s="7">
        <v>0.35</v>
      </c>
      <c r="Q609" s="7">
        <f>Table2[[#This Row],[Elevation
PILE TOP]]-Table2[[#This Row],[LENGTH(m.)
(Actual)]]</f>
        <v>0.35</v>
      </c>
      <c r="R609" s="2"/>
      <c r="S609" s="7">
        <f>Table2[[#This Row],[N]]+Table2[[#This Row],[Pile 
Deviation 
N (m)]]</f>
        <v>1511760.48</v>
      </c>
      <c r="T609" s="7">
        <f>Table2[[#This Row],[E]]+Table2[[#This Row],[Pile 
Deviation 
E (m)]]</f>
        <v>694039.19299999997</v>
      </c>
      <c r="W609" s="7">
        <v>-0.15</v>
      </c>
      <c r="X609" s="2" t="s">
        <v>42</v>
      </c>
      <c r="AA609" s="9">
        <v>46197</v>
      </c>
    </row>
    <row r="610" spans="1:28" x14ac:dyDescent="0.65">
      <c r="A610">
        <v>608</v>
      </c>
      <c r="B610" t="s">
        <v>29</v>
      </c>
      <c r="C610" s="6">
        <v>1511760.0249999999</v>
      </c>
      <c r="D610" s="6">
        <v>694036.94200000004</v>
      </c>
      <c r="E610" s="2" t="s">
        <v>41</v>
      </c>
      <c r="F610" s="1">
        <v>26</v>
      </c>
      <c r="G610" s="2" t="s">
        <v>48</v>
      </c>
      <c r="J610">
        <v>3</v>
      </c>
      <c r="K610" s="19"/>
      <c r="L610" s="21">
        <v>0.34722222222222227</v>
      </c>
      <c r="M610" s="27" t="s">
        <v>32</v>
      </c>
      <c r="N610" s="19"/>
      <c r="O610" s="21">
        <v>0.39583333333333331</v>
      </c>
      <c r="P610" s="7">
        <v>1.88</v>
      </c>
      <c r="Q610" s="7">
        <f>Table2[[#This Row],[Elevation
PILE TOP]]-Table2[[#This Row],[LENGTH(m.)
(Actual)]]</f>
        <v>-24.12</v>
      </c>
      <c r="R610" s="2">
        <v>26</v>
      </c>
      <c r="S610" s="7">
        <f>Table2[[#This Row],[N]]+Table2[[#This Row],[Pile 
Deviation 
N (m)]]</f>
        <v>1511760.0049999999</v>
      </c>
      <c r="T610" s="7">
        <f>Table2[[#This Row],[E]]+Table2[[#This Row],[Pile 
Deviation 
E (m)]]</f>
        <v>694036.94200000004</v>
      </c>
      <c r="U610" s="7">
        <v>-0.02</v>
      </c>
      <c r="V610" s="7">
        <v>0</v>
      </c>
      <c r="W610" s="7">
        <v>-0.15</v>
      </c>
      <c r="X610" s="2" t="s">
        <v>42</v>
      </c>
      <c r="Y610" t="s">
        <v>49</v>
      </c>
      <c r="Z610" s="9">
        <v>46194</v>
      </c>
      <c r="AA610" s="9">
        <v>46198</v>
      </c>
      <c r="AB610">
        <v>1</v>
      </c>
    </row>
    <row r="611" spans="1:28" ht="13.95" customHeight="1" x14ac:dyDescent="0.65">
      <c r="A611">
        <v>609</v>
      </c>
      <c r="B611" t="s">
        <v>29</v>
      </c>
      <c r="C611" s="6">
        <v>1511761.2949999999</v>
      </c>
      <c r="D611" s="6">
        <v>694035.02899999998</v>
      </c>
      <c r="E611" s="2" t="s">
        <v>41</v>
      </c>
      <c r="F611" s="1">
        <v>26</v>
      </c>
      <c r="G611" s="2" t="s">
        <v>48</v>
      </c>
      <c r="J611">
        <v>3</v>
      </c>
      <c r="K611" s="19"/>
      <c r="L611" s="21">
        <v>0.45833333333333331</v>
      </c>
      <c r="M611" s="27" t="s">
        <v>32</v>
      </c>
      <c r="N611" s="19"/>
      <c r="O611" s="21">
        <v>0.56944444444444442</v>
      </c>
      <c r="P611" s="7">
        <v>0.35</v>
      </c>
      <c r="Q611" s="7">
        <f>Table2[[#This Row],[Elevation
PILE TOP]]-Table2[[#This Row],[LENGTH(m.)
(Actual)]]</f>
        <v>-25.65</v>
      </c>
      <c r="R611" s="2">
        <v>26</v>
      </c>
      <c r="S611" s="7">
        <f>Table2[[#This Row],[N]]+Table2[[#This Row],[Pile 
Deviation 
N (m)]]</f>
        <v>1511761.2949999999</v>
      </c>
      <c r="T611" s="7">
        <f>Table2[[#This Row],[E]]+Table2[[#This Row],[Pile 
Deviation 
E (m)]]</f>
        <v>694035.02899999998</v>
      </c>
      <c r="W611" s="7">
        <v>-0.15</v>
      </c>
      <c r="X611" s="2" t="s">
        <v>42</v>
      </c>
      <c r="Y611" t="s">
        <v>49</v>
      </c>
      <c r="Z611" s="9">
        <v>46195</v>
      </c>
      <c r="AA611" s="9">
        <v>46198</v>
      </c>
      <c r="AB611">
        <v>3</v>
      </c>
    </row>
    <row r="612" spans="1:28" x14ac:dyDescent="0.65">
      <c r="A612">
        <v>610</v>
      </c>
      <c r="B612" t="s">
        <v>29</v>
      </c>
      <c r="C612" s="6">
        <v>1511762.946</v>
      </c>
      <c r="D612" s="6">
        <v>694037.42</v>
      </c>
      <c r="E612" s="2" t="s">
        <v>35</v>
      </c>
      <c r="F612" s="1">
        <v>24</v>
      </c>
      <c r="G612" s="2" t="s">
        <v>48</v>
      </c>
      <c r="J612"/>
      <c r="K612" s="19"/>
      <c r="L612" s="21"/>
      <c r="M612" s="27"/>
      <c r="N612" s="19"/>
      <c r="O612" s="21"/>
      <c r="P612" s="7">
        <v>0.28999999999999998</v>
      </c>
      <c r="Q612" s="7">
        <f>Table2[[#This Row],[Elevation
PILE TOP]]-Table2[[#This Row],[LENGTH(m.)
(Actual)]]</f>
        <v>0.28999999999999998</v>
      </c>
      <c r="R612" s="2"/>
      <c r="S612" s="7">
        <f>Table2[[#This Row],[N]]+Table2[[#This Row],[Pile 
Deviation 
N (m)]]</f>
        <v>1511762.946</v>
      </c>
      <c r="T612" s="7">
        <f>Table2[[#This Row],[E]]+Table2[[#This Row],[Pile 
Deviation 
E (m)]]</f>
        <v>694037.42</v>
      </c>
      <c r="W612" s="7">
        <v>0.28999999999999998</v>
      </c>
      <c r="X612" s="2" t="s">
        <v>40</v>
      </c>
      <c r="AA612" s="9">
        <v>46196</v>
      </c>
    </row>
    <row r="613" spans="1:28" ht="13.95" customHeight="1" x14ac:dyDescent="0.65">
      <c r="A613">
        <v>611</v>
      </c>
      <c r="B613" t="s">
        <v>29</v>
      </c>
      <c r="C613" s="6">
        <v>1511763.54</v>
      </c>
      <c r="D613" s="6">
        <v>694040.36</v>
      </c>
      <c r="E613" s="2" t="s">
        <v>35</v>
      </c>
      <c r="F613" s="1">
        <v>24</v>
      </c>
      <c r="G613" s="2" t="s">
        <v>48</v>
      </c>
      <c r="J613"/>
      <c r="K613" s="19"/>
      <c r="L613" s="21"/>
      <c r="M613" s="27"/>
      <c r="N613" s="19"/>
      <c r="O613" s="21"/>
      <c r="P613" s="7">
        <v>0.28999999999999998</v>
      </c>
      <c r="Q613" s="7">
        <f>Table2[[#This Row],[Elevation
PILE TOP]]-Table2[[#This Row],[LENGTH(m.)
(Actual)]]</f>
        <v>0.28999999999999998</v>
      </c>
      <c r="R613" s="2"/>
      <c r="S613" s="7">
        <f>Table2[[#This Row],[N]]+Table2[[#This Row],[Pile 
Deviation 
N (m)]]</f>
        <v>1511763.54</v>
      </c>
      <c r="T613" s="7">
        <f>Table2[[#This Row],[E]]+Table2[[#This Row],[Pile 
Deviation 
E (m)]]</f>
        <v>694040.36</v>
      </c>
      <c r="W613" s="7">
        <v>0.28999999999999998</v>
      </c>
      <c r="X613" s="2" t="s">
        <v>40</v>
      </c>
      <c r="AA613" s="9">
        <v>46197</v>
      </c>
    </row>
    <row r="614" spans="1:28" hidden="1" x14ac:dyDescent="0.65">
      <c r="A614">
        <v>612</v>
      </c>
      <c r="B614" t="s">
        <v>29</v>
      </c>
      <c r="C614" s="6">
        <v>1511754.1040000001</v>
      </c>
      <c r="D614" s="6">
        <v>694003.70700000005</v>
      </c>
      <c r="E614" s="2" t="s">
        <v>30</v>
      </c>
      <c r="F614" s="1">
        <v>24</v>
      </c>
      <c r="G614" s="2" t="s">
        <v>48</v>
      </c>
      <c r="J614"/>
      <c r="K614" s="19"/>
      <c r="L614" s="21"/>
      <c r="M614" s="27"/>
      <c r="N614" s="19"/>
      <c r="O614" s="21"/>
      <c r="P614" s="7">
        <v>-0.17499999999999999</v>
      </c>
      <c r="Q614" s="7">
        <f>Table2[[#This Row],[Elevation
PILE TOP]]-Table2[[#This Row],[LENGTH(m.)
(Actual)]]</f>
        <v>-0.17499999999999999</v>
      </c>
      <c r="R614" s="2"/>
      <c r="S614" s="7">
        <f>Table2[[#This Row],[N]]+Table2[[#This Row],[Pile 
Deviation 
N (m)]]</f>
        <v>1511754.1040000001</v>
      </c>
      <c r="T614" s="7">
        <f>Table2[[#This Row],[E]]+Table2[[#This Row],[Pile 
Deviation 
E (m)]]</f>
        <v>694003.70700000005</v>
      </c>
      <c r="W614" s="7">
        <v>-0.67500000000000004</v>
      </c>
      <c r="X614" s="2" t="s">
        <v>33</v>
      </c>
      <c r="AA614" s="9">
        <v>46213</v>
      </c>
    </row>
    <row r="615" spans="1:28" ht="13.95" hidden="1" customHeight="1" x14ac:dyDescent="0.65">
      <c r="A615">
        <v>613</v>
      </c>
      <c r="B615" t="s">
        <v>29</v>
      </c>
      <c r="C615" s="6">
        <v>1511754.2819999999</v>
      </c>
      <c r="D615" s="6">
        <v>694004.58900000004</v>
      </c>
      <c r="E615" s="2" t="s">
        <v>30</v>
      </c>
      <c r="F615" s="1">
        <v>24</v>
      </c>
      <c r="G615" s="2" t="s">
        <v>48</v>
      </c>
      <c r="J615"/>
      <c r="K615" s="19"/>
      <c r="L615" s="21"/>
      <c r="M615" s="27"/>
      <c r="N615" s="19"/>
      <c r="O615" s="21"/>
      <c r="P615" s="7">
        <v>-0.17499999999999999</v>
      </c>
      <c r="Q615" s="7">
        <f>Table2[[#This Row],[Elevation
PILE TOP]]-Table2[[#This Row],[LENGTH(m.)
(Actual)]]</f>
        <v>-0.17499999999999999</v>
      </c>
      <c r="R615" s="2"/>
      <c r="S615" s="7">
        <f>Table2[[#This Row],[N]]+Table2[[#This Row],[Pile 
Deviation 
N (m)]]</f>
        <v>1511754.2819999999</v>
      </c>
      <c r="T615" s="7">
        <f>Table2[[#This Row],[E]]+Table2[[#This Row],[Pile 
Deviation 
E (m)]]</f>
        <v>694004.58900000004</v>
      </c>
      <c r="W615" s="7">
        <v>-0.67500000000000004</v>
      </c>
      <c r="X615" s="2" t="s">
        <v>33</v>
      </c>
      <c r="AA615" s="9">
        <v>46213</v>
      </c>
    </row>
    <row r="616" spans="1:28" hidden="1" x14ac:dyDescent="0.65">
      <c r="A616">
        <v>614</v>
      </c>
      <c r="B616" t="s">
        <v>29</v>
      </c>
      <c r="C616" s="6">
        <v>1511753.32</v>
      </c>
      <c r="D616" s="6">
        <v>694003.86600000004</v>
      </c>
      <c r="E616" s="2" t="s">
        <v>30</v>
      </c>
      <c r="F616" s="1">
        <v>24</v>
      </c>
      <c r="G616" s="2" t="s">
        <v>48</v>
      </c>
      <c r="J616"/>
      <c r="K616" s="19"/>
      <c r="L616" s="21"/>
      <c r="M616" s="27"/>
      <c r="N616" s="19"/>
      <c r="O616" s="21"/>
      <c r="P616" s="7">
        <v>-0.17499999999999999</v>
      </c>
      <c r="Q616" s="7">
        <f>Table2[[#This Row],[Elevation
PILE TOP]]-Table2[[#This Row],[LENGTH(m.)
(Actual)]]</f>
        <v>-0.17499999999999999</v>
      </c>
      <c r="R616" s="2"/>
      <c r="S616" s="7">
        <f>Table2[[#This Row],[N]]+Table2[[#This Row],[Pile 
Deviation 
N (m)]]</f>
        <v>1511753.32</v>
      </c>
      <c r="T616" s="7">
        <f>Table2[[#This Row],[E]]+Table2[[#This Row],[Pile 
Deviation 
E (m)]]</f>
        <v>694003.86600000004</v>
      </c>
      <c r="W616" s="7">
        <v>-0.67500000000000004</v>
      </c>
      <c r="X616" s="2" t="s">
        <v>33</v>
      </c>
      <c r="AA616" s="9">
        <v>46213</v>
      </c>
    </row>
    <row r="617" spans="1:28" ht="13.95" hidden="1" customHeight="1" x14ac:dyDescent="0.65">
      <c r="A617">
        <v>615</v>
      </c>
      <c r="B617" t="s">
        <v>29</v>
      </c>
      <c r="C617" s="6">
        <v>1511753.4979999999</v>
      </c>
      <c r="D617" s="6">
        <v>694004.74800000002</v>
      </c>
      <c r="E617" s="2" t="s">
        <v>30</v>
      </c>
      <c r="F617" s="1">
        <v>24</v>
      </c>
      <c r="G617" s="2" t="s">
        <v>48</v>
      </c>
      <c r="J617"/>
      <c r="K617" s="19"/>
      <c r="L617" s="21"/>
      <c r="M617" s="27"/>
      <c r="N617" s="19"/>
      <c r="O617" s="21"/>
      <c r="P617" s="7">
        <v>-0.17499999999999999</v>
      </c>
      <c r="Q617" s="7">
        <f>Table2[[#This Row],[Elevation
PILE TOP]]-Table2[[#This Row],[LENGTH(m.)
(Actual)]]</f>
        <v>-0.17499999999999999</v>
      </c>
      <c r="R617" s="2"/>
      <c r="S617" s="7">
        <f>Table2[[#This Row],[N]]+Table2[[#This Row],[Pile 
Deviation 
N (m)]]</f>
        <v>1511753.4979999999</v>
      </c>
      <c r="T617" s="7">
        <f>Table2[[#This Row],[E]]+Table2[[#This Row],[Pile 
Deviation 
E (m)]]</f>
        <v>694004.74800000002</v>
      </c>
      <c r="W617" s="7">
        <v>-0.67500000000000004</v>
      </c>
      <c r="X617" s="2" t="s">
        <v>33</v>
      </c>
      <c r="AA617" s="9">
        <v>46213</v>
      </c>
    </row>
    <row r="618" spans="1:28" hidden="1" x14ac:dyDescent="0.65">
      <c r="A618">
        <v>616</v>
      </c>
      <c r="B618" t="s">
        <v>29</v>
      </c>
      <c r="C618" s="6">
        <v>1511753.2</v>
      </c>
      <c r="D618" s="6">
        <v>694006.33400000003</v>
      </c>
      <c r="E618" s="2" t="s">
        <v>35</v>
      </c>
      <c r="F618" s="1">
        <v>24</v>
      </c>
      <c r="G618" s="2" t="s">
        <v>48</v>
      </c>
      <c r="J618"/>
      <c r="K618" s="19"/>
      <c r="L618" s="21"/>
      <c r="M618" s="27"/>
      <c r="N618" s="19"/>
      <c r="O618" s="21"/>
      <c r="P618" s="7">
        <v>0.28999999999999998</v>
      </c>
      <c r="Q618" s="7">
        <f>Table2[[#This Row],[Elevation
PILE TOP]]-Table2[[#This Row],[LENGTH(m.)
(Actual)]]</f>
        <v>0.28999999999999998</v>
      </c>
      <c r="R618" s="2"/>
      <c r="S618" s="7">
        <f>Table2[[#This Row],[N]]+Table2[[#This Row],[Pile 
Deviation 
N (m)]]</f>
        <v>1511753.2</v>
      </c>
      <c r="T618" s="7">
        <f>Table2[[#This Row],[E]]+Table2[[#This Row],[Pile 
Deviation 
E (m)]]</f>
        <v>694006.33400000003</v>
      </c>
      <c r="W618" s="7">
        <v>0.28999999999999998</v>
      </c>
      <c r="X618" s="2" t="s">
        <v>40</v>
      </c>
      <c r="AA618" s="9">
        <v>46210</v>
      </c>
    </row>
    <row r="619" spans="1:28" ht="13.95" hidden="1" customHeight="1" x14ac:dyDescent="0.65">
      <c r="A619">
        <v>617</v>
      </c>
      <c r="B619" t="s">
        <v>29</v>
      </c>
      <c r="C619" s="6">
        <v>1511753.794</v>
      </c>
      <c r="D619" s="6">
        <v>694009.27500000002</v>
      </c>
      <c r="E619" s="2" t="s">
        <v>35</v>
      </c>
      <c r="F619" s="1">
        <v>24</v>
      </c>
      <c r="G619" s="2" t="s">
        <v>48</v>
      </c>
      <c r="J619"/>
      <c r="K619" s="19"/>
      <c r="L619" s="21"/>
      <c r="M619" s="27"/>
      <c r="N619" s="19"/>
      <c r="O619" s="21"/>
      <c r="P619" s="7">
        <v>0.28999999999999998</v>
      </c>
      <c r="Q619" s="7">
        <f>Table2[[#This Row],[Elevation
PILE TOP]]-Table2[[#This Row],[LENGTH(m.)
(Actual)]]</f>
        <v>0.28999999999999998</v>
      </c>
      <c r="R619" s="2"/>
      <c r="S619" s="7">
        <f>Table2[[#This Row],[N]]+Table2[[#This Row],[Pile 
Deviation 
N (m)]]</f>
        <v>1511753.794</v>
      </c>
      <c r="T619" s="7">
        <f>Table2[[#This Row],[E]]+Table2[[#This Row],[Pile 
Deviation 
E (m)]]</f>
        <v>694009.27500000002</v>
      </c>
      <c r="W619" s="7">
        <v>0.28999999999999998</v>
      </c>
      <c r="X619" s="2" t="s">
        <v>40</v>
      </c>
      <c r="AA619" s="9">
        <v>46209</v>
      </c>
    </row>
    <row r="620" spans="1:28" hidden="1" x14ac:dyDescent="0.65">
      <c r="A620">
        <v>618</v>
      </c>
      <c r="B620" t="s">
        <v>29</v>
      </c>
      <c r="C620" s="6">
        <v>1511754.4669999999</v>
      </c>
      <c r="D620" s="6">
        <v>694012.60699999996</v>
      </c>
      <c r="E620" s="2" t="s">
        <v>35</v>
      </c>
      <c r="F620" s="1">
        <v>24</v>
      </c>
      <c r="G620" s="2" t="s">
        <v>48</v>
      </c>
      <c r="J620"/>
      <c r="K620" s="19"/>
      <c r="L620" s="21"/>
      <c r="M620" s="27"/>
      <c r="N620" s="19"/>
      <c r="O620" s="21"/>
      <c r="P620" s="7">
        <v>0.28999999999999998</v>
      </c>
      <c r="Q620" s="7">
        <f>Table2[[#This Row],[Elevation
PILE TOP]]-Table2[[#This Row],[LENGTH(m.)
(Actual)]]</f>
        <v>0.28999999999999998</v>
      </c>
      <c r="R620" s="2"/>
      <c r="S620" s="7">
        <f>Table2[[#This Row],[N]]+Table2[[#This Row],[Pile 
Deviation 
N (m)]]</f>
        <v>1511754.4669999999</v>
      </c>
      <c r="T620" s="7">
        <f>Table2[[#This Row],[E]]+Table2[[#This Row],[Pile 
Deviation 
E (m)]]</f>
        <v>694012.60699999996</v>
      </c>
      <c r="W620" s="7">
        <v>0.28999999999999998</v>
      </c>
      <c r="X620" s="2" t="s">
        <v>40</v>
      </c>
      <c r="AA620" s="9">
        <v>46209</v>
      </c>
    </row>
    <row r="621" spans="1:28" ht="13.95" hidden="1" customHeight="1" x14ac:dyDescent="0.65">
      <c r="A621">
        <v>619</v>
      </c>
      <c r="B621" t="s">
        <v>29</v>
      </c>
      <c r="C621" s="6">
        <v>1511755.14</v>
      </c>
      <c r="D621" s="6">
        <v>694015.94</v>
      </c>
      <c r="E621" s="2" t="s">
        <v>35</v>
      </c>
      <c r="F621" s="1">
        <v>24</v>
      </c>
      <c r="G621" s="2" t="s">
        <v>48</v>
      </c>
      <c r="J621"/>
      <c r="K621" s="19"/>
      <c r="L621" s="21"/>
      <c r="M621" s="27"/>
      <c r="N621" s="19"/>
      <c r="O621" s="21"/>
      <c r="P621" s="7">
        <v>0.28999999999999998</v>
      </c>
      <c r="Q621" s="7">
        <f>Table2[[#This Row],[Elevation
PILE TOP]]-Table2[[#This Row],[LENGTH(m.)
(Actual)]]</f>
        <v>0.28999999999999998</v>
      </c>
      <c r="R621" s="2"/>
      <c r="S621" s="7">
        <f>Table2[[#This Row],[N]]+Table2[[#This Row],[Pile 
Deviation 
N (m)]]</f>
        <v>1511755.14</v>
      </c>
      <c r="T621" s="7">
        <f>Table2[[#This Row],[E]]+Table2[[#This Row],[Pile 
Deviation 
E (m)]]</f>
        <v>694015.94</v>
      </c>
      <c r="W621" s="7">
        <v>0.28999999999999998</v>
      </c>
      <c r="X621" s="2" t="s">
        <v>40</v>
      </c>
      <c r="AA621" s="9">
        <v>46207</v>
      </c>
    </row>
    <row r="622" spans="1:28" hidden="1" x14ac:dyDescent="0.65">
      <c r="A622">
        <v>620</v>
      </c>
      <c r="B622" t="s">
        <v>29</v>
      </c>
      <c r="C622" s="6">
        <v>1511755.8130000001</v>
      </c>
      <c r="D622" s="6">
        <v>694019.27300000004</v>
      </c>
      <c r="E622" s="2" t="s">
        <v>35</v>
      </c>
      <c r="F622" s="1">
        <v>24</v>
      </c>
      <c r="G622" s="2" t="s">
        <v>48</v>
      </c>
      <c r="J622"/>
      <c r="K622" s="19"/>
      <c r="L622" s="21"/>
      <c r="M622" s="27"/>
      <c r="N622" s="19"/>
      <c r="O622" s="21"/>
      <c r="P622" s="7">
        <v>0.28999999999999998</v>
      </c>
      <c r="Q622" s="7">
        <f>Table2[[#This Row],[Elevation
PILE TOP]]-Table2[[#This Row],[LENGTH(m.)
(Actual)]]</f>
        <v>0.28999999999999998</v>
      </c>
      <c r="R622" s="2"/>
      <c r="S622" s="7">
        <f>Table2[[#This Row],[N]]+Table2[[#This Row],[Pile 
Deviation 
N (m)]]</f>
        <v>1511755.8130000001</v>
      </c>
      <c r="T622" s="7">
        <f>Table2[[#This Row],[E]]+Table2[[#This Row],[Pile 
Deviation 
E (m)]]</f>
        <v>694019.27300000004</v>
      </c>
      <c r="W622" s="7">
        <v>0.28999999999999998</v>
      </c>
      <c r="X622" s="2" t="s">
        <v>40</v>
      </c>
      <c r="AA622" s="9">
        <v>46207</v>
      </c>
    </row>
    <row r="623" spans="1:28" ht="13.95" hidden="1" customHeight="1" x14ac:dyDescent="0.65">
      <c r="A623">
        <v>621</v>
      </c>
      <c r="B623" t="s">
        <v>29</v>
      </c>
      <c r="C623" s="6">
        <v>1511756.486</v>
      </c>
      <c r="D623" s="6">
        <v>694022.60499999998</v>
      </c>
      <c r="E623" s="2" t="s">
        <v>35</v>
      </c>
      <c r="F623" s="1">
        <v>24</v>
      </c>
      <c r="G623" s="2" t="s">
        <v>48</v>
      </c>
      <c r="J623"/>
      <c r="K623" s="19"/>
      <c r="L623" s="21"/>
      <c r="M623" s="27"/>
      <c r="N623" s="19"/>
      <c r="O623" s="21"/>
      <c r="P623" s="7">
        <v>0.28999999999999998</v>
      </c>
      <c r="Q623" s="7">
        <f>Table2[[#This Row],[Elevation
PILE TOP]]-Table2[[#This Row],[LENGTH(m.)
(Actual)]]</f>
        <v>0.28999999999999998</v>
      </c>
      <c r="R623" s="2"/>
      <c r="S623" s="7">
        <f>Table2[[#This Row],[N]]+Table2[[#This Row],[Pile 
Deviation 
N (m)]]</f>
        <v>1511756.486</v>
      </c>
      <c r="T623" s="7">
        <f>Table2[[#This Row],[E]]+Table2[[#This Row],[Pile 
Deviation 
E (m)]]</f>
        <v>694022.60499999998</v>
      </c>
      <c r="W623" s="7">
        <v>0.28999999999999998</v>
      </c>
      <c r="X623" s="2" t="s">
        <v>40</v>
      </c>
      <c r="AA623" s="9">
        <v>46206</v>
      </c>
    </row>
    <row r="624" spans="1:28" hidden="1" x14ac:dyDescent="0.65">
      <c r="A624">
        <v>622</v>
      </c>
      <c r="B624" t="s">
        <v>29</v>
      </c>
      <c r="C624" s="6">
        <v>1511757.08</v>
      </c>
      <c r="D624" s="6">
        <v>694025.54599999997</v>
      </c>
      <c r="E624" s="2" t="s">
        <v>35</v>
      </c>
      <c r="F624" s="1">
        <v>24</v>
      </c>
      <c r="G624" s="2" t="s">
        <v>48</v>
      </c>
      <c r="J624"/>
      <c r="K624" s="19"/>
      <c r="L624" s="21"/>
      <c r="M624" s="27"/>
      <c r="N624" s="19"/>
      <c r="O624" s="21"/>
      <c r="P624" s="7">
        <v>0.28999999999999998</v>
      </c>
      <c r="Q624" s="7">
        <f>Table2[[#This Row],[Elevation
PILE TOP]]-Table2[[#This Row],[LENGTH(m.)
(Actual)]]</f>
        <v>0.28999999999999998</v>
      </c>
      <c r="R624" s="2"/>
      <c r="S624" s="7">
        <f>Table2[[#This Row],[N]]+Table2[[#This Row],[Pile 
Deviation 
N (m)]]</f>
        <v>1511757.08</v>
      </c>
      <c r="T624" s="7">
        <f>Table2[[#This Row],[E]]+Table2[[#This Row],[Pile 
Deviation 
E (m)]]</f>
        <v>694025.54599999997</v>
      </c>
      <c r="W624" s="7">
        <v>0.28999999999999998</v>
      </c>
      <c r="X624" s="2" t="s">
        <v>40</v>
      </c>
      <c r="AA624" s="9">
        <v>46206</v>
      </c>
    </row>
    <row r="625" spans="1:27" ht="13.95" customHeight="1" x14ac:dyDescent="0.65">
      <c r="A625">
        <v>623</v>
      </c>
      <c r="B625" t="s">
        <v>29</v>
      </c>
      <c r="C625" s="6">
        <v>1511757.6740000001</v>
      </c>
      <c r="D625" s="6">
        <v>694028.48699999996</v>
      </c>
      <c r="E625" s="2" t="s">
        <v>35</v>
      </c>
      <c r="F625" s="1">
        <v>24</v>
      </c>
      <c r="G625" s="2" t="s">
        <v>48</v>
      </c>
      <c r="J625"/>
      <c r="K625" s="19"/>
      <c r="L625" s="21"/>
      <c r="M625" s="27"/>
      <c r="N625" s="19"/>
      <c r="O625" s="21"/>
      <c r="P625" s="7">
        <v>0.28999999999999998</v>
      </c>
      <c r="Q625" s="7">
        <f>Table2[[#This Row],[Elevation
PILE TOP]]-Table2[[#This Row],[LENGTH(m.)
(Actual)]]</f>
        <v>0.28999999999999998</v>
      </c>
      <c r="R625" s="2"/>
      <c r="S625" s="7">
        <f>Table2[[#This Row],[N]]+Table2[[#This Row],[Pile 
Deviation 
N (m)]]</f>
        <v>1511757.6740000001</v>
      </c>
      <c r="T625" s="7">
        <f>Table2[[#This Row],[E]]+Table2[[#This Row],[Pile 
Deviation 
E (m)]]</f>
        <v>694028.48699999996</v>
      </c>
      <c r="W625" s="7">
        <v>0.28999999999999998</v>
      </c>
      <c r="X625" s="2" t="s">
        <v>40</v>
      </c>
      <c r="AA625" s="9">
        <v>46199</v>
      </c>
    </row>
    <row r="626" spans="1:27" x14ac:dyDescent="0.65">
      <c r="A626">
        <v>624</v>
      </c>
      <c r="B626" t="s">
        <v>29</v>
      </c>
      <c r="C626" s="6">
        <v>1511758.2679999999</v>
      </c>
      <c r="D626" s="6">
        <v>694031.42700000003</v>
      </c>
      <c r="E626" s="2" t="s">
        <v>35</v>
      </c>
      <c r="F626" s="1">
        <v>24</v>
      </c>
      <c r="G626" s="2" t="s">
        <v>48</v>
      </c>
      <c r="J626"/>
      <c r="K626" s="19"/>
      <c r="L626" s="21"/>
      <c r="M626" s="27"/>
      <c r="N626" s="19"/>
      <c r="O626" s="21"/>
      <c r="P626" s="7">
        <v>0.28999999999999998</v>
      </c>
      <c r="Q626" s="7">
        <f>Table2[[#This Row],[Elevation
PILE TOP]]-Table2[[#This Row],[LENGTH(m.)
(Actual)]]</f>
        <v>0.28999999999999998</v>
      </c>
      <c r="R626" s="2"/>
      <c r="S626" s="7">
        <f>Table2[[#This Row],[N]]+Table2[[#This Row],[Pile 
Deviation 
N (m)]]</f>
        <v>1511758.2679999999</v>
      </c>
      <c r="T626" s="7">
        <f>Table2[[#This Row],[E]]+Table2[[#This Row],[Pile 
Deviation 
E (m)]]</f>
        <v>694031.42700000003</v>
      </c>
      <c r="W626" s="7">
        <v>0.28999999999999998</v>
      </c>
      <c r="X626" s="2" t="s">
        <v>40</v>
      </c>
      <c r="AA626" s="9">
        <v>46199</v>
      </c>
    </row>
    <row r="627" spans="1:27" ht="13.95" customHeight="1" x14ac:dyDescent="0.65">
      <c r="A627">
        <v>625</v>
      </c>
      <c r="B627" t="s">
        <v>29</v>
      </c>
      <c r="C627" s="6">
        <v>1511758.9410000001</v>
      </c>
      <c r="D627" s="6">
        <v>694034.76</v>
      </c>
      <c r="E627" s="2" t="s">
        <v>35</v>
      </c>
      <c r="F627" s="1">
        <v>24</v>
      </c>
      <c r="G627" s="2" t="s">
        <v>48</v>
      </c>
      <c r="J627"/>
      <c r="K627" s="19"/>
      <c r="L627" s="21"/>
      <c r="M627" s="27"/>
      <c r="N627" s="19"/>
      <c r="O627" s="21"/>
      <c r="P627" s="7">
        <v>0.28999999999999998</v>
      </c>
      <c r="Q627" s="7">
        <f>Table2[[#This Row],[Elevation
PILE TOP]]-Table2[[#This Row],[LENGTH(m.)
(Actual)]]</f>
        <v>0.28999999999999998</v>
      </c>
      <c r="R627" s="2"/>
      <c r="S627" s="7">
        <f>Table2[[#This Row],[N]]+Table2[[#This Row],[Pile 
Deviation 
N (m)]]</f>
        <v>1511758.9410000001</v>
      </c>
      <c r="T627" s="7">
        <f>Table2[[#This Row],[E]]+Table2[[#This Row],[Pile 
Deviation 
E (m)]]</f>
        <v>694034.76</v>
      </c>
      <c r="W627" s="7">
        <v>0.28999999999999998</v>
      </c>
      <c r="X627" s="2" t="s">
        <v>40</v>
      </c>
      <c r="AA627" s="9">
        <v>46198</v>
      </c>
    </row>
    <row r="628" spans="1:27" x14ac:dyDescent="0.65">
      <c r="A628">
        <v>626</v>
      </c>
      <c r="B628" t="s">
        <v>29</v>
      </c>
      <c r="C628" s="6">
        <v>1511759.6140000001</v>
      </c>
      <c r="D628" s="6">
        <v>694038.09299999999</v>
      </c>
      <c r="E628" s="2" t="s">
        <v>35</v>
      </c>
      <c r="F628" s="1">
        <v>24</v>
      </c>
      <c r="G628" s="2" t="s">
        <v>48</v>
      </c>
      <c r="J628"/>
      <c r="K628" s="19"/>
      <c r="L628" s="21"/>
      <c r="M628" s="27"/>
      <c r="N628" s="19"/>
      <c r="O628" s="21"/>
      <c r="P628" s="7">
        <v>0.28999999999999998</v>
      </c>
      <c r="Q628" s="7">
        <f>Table2[[#This Row],[Elevation
PILE TOP]]-Table2[[#This Row],[LENGTH(m.)
(Actual)]]</f>
        <v>0.28999999999999998</v>
      </c>
      <c r="R628" s="2"/>
      <c r="S628" s="7">
        <f>Table2[[#This Row],[N]]+Table2[[#This Row],[Pile 
Deviation 
N (m)]]</f>
        <v>1511759.6140000001</v>
      </c>
      <c r="T628" s="7">
        <f>Table2[[#This Row],[E]]+Table2[[#This Row],[Pile 
Deviation 
E (m)]]</f>
        <v>694038.09299999999</v>
      </c>
      <c r="W628" s="7">
        <v>0.28999999999999998</v>
      </c>
      <c r="X628" s="2" t="s">
        <v>40</v>
      </c>
      <c r="AA628" s="9">
        <v>46198</v>
      </c>
    </row>
    <row r="629" spans="1:27" ht="13.95" customHeight="1" x14ac:dyDescent="0.65">
      <c r="A629">
        <v>627</v>
      </c>
      <c r="B629" t="s">
        <v>29</v>
      </c>
      <c r="C629" s="6">
        <v>1511760.2069999999</v>
      </c>
      <c r="D629" s="6">
        <v>694041.03300000005</v>
      </c>
      <c r="E629" s="2" t="s">
        <v>35</v>
      </c>
      <c r="F629" s="1">
        <v>24</v>
      </c>
      <c r="G629" s="2" t="s">
        <v>48</v>
      </c>
      <c r="J629"/>
      <c r="K629" s="19"/>
      <c r="L629" s="21"/>
      <c r="M629" s="27"/>
      <c r="N629" s="19"/>
      <c r="O629" s="21"/>
      <c r="P629" s="7">
        <v>0.28999999999999998</v>
      </c>
      <c r="Q629" s="7">
        <f>Table2[[#This Row],[Elevation
PILE TOP]]-Table2[[#This Row],[LENGTH(m.)
(Actual)]]</f>
        <v>0.28999999999999998</v>
      </c>
      <c r="R629" s="2"/>
      <c r="S629" s="7">
        <f>Table2[[#This Row],[N]]+Table2[[#This Row],[Pile 
Deviation 
N (m)]]</f>
        <v>1511760.2069999999</v>
      </c>
      <c r="T629" s="7">
        <f>Table2[[#This Row],[E]]+Table2[[#This Row],[Pile 
Deviation 
E (m)]]</f>
        <v>694041.03300000005</v>
      </c>
      <c r="W629" s="7">
        <v>0.28999999999999998</v>
      </c>
      <c r="X629" s="2" t="s">
        <v>40</v>
      </c>
      <c r="AA629" s="9">
        <v>46197</v>
      </c>
    </row>
    <row r="630" spans="1:27" x14ac:dyDescent="0.65">
      <c r="A630">
        <v>628</v>
      </c>
      <c r="B630" t="s">
        <v>29</v>
      </c>
      <c r="C630" s="6">
        <v>1511761.5360000001</v>
      </c>
      <c r="D630" s="6">
        <v>694042.52899999998</v>
      </c>
      <c r="E630" s="2" t="s">
        <v>30</v>
      </c>
      <c r="F630" s="1">
        <v>24</v>
      </c>
      <c r="G630" s="2" t="s">
        <v>48</v>
      </c>
      <c r="J630"/>
      <c r="K630" s="19"/>
      <c r="L630" s="21"/>
      <c r="M630" s="27"/>
      <c r="N630" s="19"/>
      <c r="O630" s="21"/>
      <c r="P630" s="7">
        <v>-0.17499999999999999</v>
      </c>
      <c r="Q630" s="7">
        <f>Table2[[#This Row],[Elevation
PILE TOP]]-Table2[[#This Row],[LENGTH(m.)
(Actual)]]</f>
        <v>-0.17499999999999999</v>
      </c>
      <c r="R630" s="2"/>
      <c r="S630" s="7">
        <f>Table2[[#This Row],[N]]+Table2[[#This Row],[Pile 
Deviation 
N (m)]]</f>
        <v>1511761.5360000001</v>
      </c>
      <c r="T630" s="7">
        <f>Table2[[#This Row],[E]]+Table2[[#This Row],[Pile 
Deviation 
E (m)]]</f>
        <v>694042.52899999998</v>
      </c>
      <c r="W630" s="7">
        <v>-0.67500000000000004</v>
      </c>
      <c r="X630" s="2" t="s">
        <v>37</v>
      </c>
      <c r="AA630" s="9">
        <v>46199</v>
      </c>
    </row>
    <row r="631" spans="1:27" ht="13.95" customHeight="1" x14ac:dyDescent="0.65">
      <c r="A631">
        <v>629</v>
      </c>
      <c r="B631" t="s">
        <v>29</v>
      </c>
      <c r="C631" s="6">
        <v>1511761.6939999999</v>
      </c>
      <c r="D631" s="6">
        <v>694043.31400000001</v>
      </c>
      <c r="E631" s="2" t="s">
        <v>30</v>
      </c>
      <c r="F631" s="1">
        <v>24</v>
      </c>
      <c r="G631" s="2" t="s">
        <v>48</v>
      </c>
      <c r="J631"/>
      <c r="K631" s="19"/>
      <c r="L631" s="21"/>
      <c r="M631" s="27"/>
      <c r="N631" s="19"/>
      <c r="O631" s="21"/>
      <c r="P631" s="7">
        <v>-0.17499999999999999</v>
      </c>
      <c r="Q631" s="7">
        <f>Table2[[#This Row],[Elevation
PILE TOP]]-Table2[[#This Row],[LENGTH(m.)
(Actual)]]</f>
        <v>-0.17499999999999999</v>
      </c>
      <c r="R631" s="2"/>
      <c r="S631" s="7">
        <f>Table2[[#This Row],[N]]+Table2[[#This Row],[Pile 
Deviation 
N (m)]]</f>
        <v>1511761.6939999999</v>
      </c>
      <c r="T631" s="7">
        <f>Table2[[#This Row],[E]]+Table2[[#This Row],[Pile 
Deviation 
E (m)]]</f>
        <v>694043.31400000001</v>
      </c>
      <c r="W631" s="7">
        <v>-0.67500000000000004</v>
      </c>
      <c r="X631" s="2" t="s">
        <v>37</v>
      </c>
      <c r="AA631" s="9">
        <v>46199</v>
      </c>
    </row>
    <row r="632" spans="1:27" hidden="1" x14ac:dyDescent="0.65">
      <c r="A632">
        <v>630</v>
      </c>
      <c r="B632" t="s">
        <v>29</v>
      </c>
      <c r="C632" s="6">
        <v>1511749.8670000001</v>
      </c>
      <c r="D632" s="6">
        <v>694007.00699999998</v>
      </c>
      <c r="E632" s="2" t="s">
        <v>35</v>
      </c>
      <c r="F632" s="1">
        <v>24</v>
      </c>
      <c r="G632" s="2" t="s">
        <v>48</v>
      </c>
      <c r="J632"/>
      <c r="K632" s="19"/>
      <c r="L632" s="21"/>
      <c r="M632" s="27"/>
      <c r="N632" s="19"/>
      <c r="O632" s="21"/>
      <c r="P632" s="7">
        <v>0.28999999999999998</v>
      </c>
      <c r="Q632" s="7">
        <f>Table2[[#This Row],[Elevation
PILE TOP]]-Table2[[#This Row],[LENGTH(m.)
(Actual)]]</f>
        <v>0.28999999999999998</v>
      </c>
      <c r="R632" s="2"/>
      <c r="S632" s="7">
        <f>Table2[[#This Row],[N]]+Table2[[#This Row],[Pile 
Deviation 
N (m)]]</f>
        <v>1511749.8670000001</v>
      </c>
      <c r="T632" s="7">
        <f>Table2[[#This Row],[E]]+Table2[[#This Row],[Pile 
Deviation 
E (m)]]</f>
        <v>694007.00699999998</v>
      </c>
      <c r="W632" s="7">
        <v>0.28999999999999998</v>
      </c>
      <c r="X632" s="2" t="s">
        <v>40</v>
      </c>
      <c r="AA632" s="9">
        <v>46210</v>
      </c>
    </row>
    <row r="633" spans="1:27" ht="13.95" hidden="1" customHeight="1" x14ac:dyDescent="0.65">
      <c r="A633">
        <v>631</v>
      </c>
      <c r="B633" t="s">
        <v>29</v>
      </c>
      <c r="C633" s="6">
        <v>1511751.04</v>
      </c>
      <c r="D633" s="6">
        <v>694007.00199999998</v>
      </c>
      <c r="E633" s="2" t="s">
        <v>41</v>
      </c>
      <c r="F633" s="1">
        <v>26</v>
      </c>
      <c r="G633" s="2" t="s">
        <v>48</v>
      </c>
      <c r="J633"/>
      <c r="K633" s="19"/>
      <c r="L633" s="21"/>
      <c r="M633" s="27"/>
      <c r="N633" s="19"/>
      <c r="O633" s="21"/>
      <c r="P633" s="7">
        <v>0.35</v>
      </c>
      <c r="Q633" s="7">
        <f>Table2[[#This Row],[Elevation
PILE TOP]]-Table2[[#This Row],[LENGTH(m.)
(Actual)]]</f>
        <v>0.35</v>
      </c>
      <c r="R633" s="2"/>
      <c r="S633" s="7">
        <f>Table2[[#This Row],[N]]+Table2[[#This Row],[Pile 
Deviation 
N (m)]]</f>
        <v>1511751.04</v>
      </c>
      <c r="T633" s="7">
        <f>Table2[[#This Row],[E]]+Table2[[#This Row],[Pile 
Deviation 
E (m)]]</f>
        <v>694007.00199999998</v>
      </c>
      <c r="W633" s="7">
        <v>-0.15</v>
      </c>
      <c r="X633" s="2" t="s">
        <v>42</v>
      </c>
      <c r="AA633" s="9">
        <v>46210</v>
      </c>
    </row>
    <row r="634" spans="1:27" hidden="1" x14ac:dyDescent="0.65">
      <c r="A634">
        <v>632</v>
      </c>
      <c r="B634" t="s">
        <v>29</v>
      </c>
      <c r="C634" s="6">
        <v>1511752.953</v>
      </c>
      <c r="D634" s="6">
        <v>694008.272</v>
      </c>
      <c r="E634" s="2" t="s">
        <v>41</v>
      </c>
      <c r="F634" s="1">
        <v>26</v>
      </c>
      <c r="G634" s="2" t="s">
        <v>48</v>
      </c>
      <c r="J634"/>
      <c r="K634" s="19"/>
      <c r="L634" s="21"/>
      <c r="M634" s="27"/>
      <c r="N634" s="19"/>
      <c r="O634" s="21"/>
      <c r="P634" s="7">
        <v>0.35</v>
      </c>
      <c r="Q634" s="7">
        <f>Table2[[#This Row],[Elevation
PILE TOP]]-Table2[[#This Row],[LENGTH(m.)
(Actual)]]</f>
        <v>0.35</v>
      </c>
      <c r="R634" s="2"/>
      <c r="S634" s="7">
        <f>Table2[[#This Row],[N]]+Table2[[#This Row],[Pile 
Deviation 
N (m)]]</f>
        <v>1511752.953</v>
      </c>
      <c r="T634" s="7">
        <f>Table2[[#This Row],[E]]+Table2[[#This Row],[Pile 
Deviation 
E (m)]]</f>
        <v>694008.272</v>
      </c>
      <c r="W634" s="7">
        <v>-0.15</v>
      </c>
      <c r="X634" s="2" t="s">
        <v>42</v>
      </c>
      <c r="AA634" s="9">
        <v>46209</v>
      </c>
    </row>
    <row r="635" spans="1:27" ht="13.95" hidden="1" customHeight="1" x14ac:dyDescent="0.65">
      <c r="A635">
        <v>633</v>
      </c>
      <c r="B635" t="s">
        <v>29</v>
      </c>
      <c r="C635" s="6">
        <v>1511753.4080000001</v>
      </c>
      <c r="D635" s="6">
        <v>694010.52300000004</v>
      </c>
      <c r="E635" s="2" t="s">
        <v>41</v>
      </c>
      <c r="F635" s="1">
        <v>26</v>
      </c>
      <c r="G635" s="2" t="s">
        <v>48</v>
      </c>
      <c r="J635"/>
      <c r="K635" s="19"/>
      <c r="L635" s="21"/>
      <c r="M635" s="27"/>
      <c r="N635" s="19"/>
      <c r="O635" s="21"/>
      <c r="P635" s="7">
        <v>0.35</v>
      </c>
      <c r="Q635" s="7">
        <f>Table2[[#This Row],[Elevation
PILE TOP]]-Table2[[#This Row],[LENGTH(m.)
(Actual)]]</f>
        <v>0.35</v>
      </c>
      <c r="R635" s="2"/>
      <c r="S635" s="7">
        <f>Table2[[#This Row],[N]]+Table2[[#This Row],[Pile 
Deviation 
N (m)]]</f>
        <v>1511753.4080000001</v>
      </c>
      <c r="T635" s="7">
        <f>Table2[[#This Row],[E]]+Table2[[#This Row],[Pile 
Deviation 
E (m)]]</f>
        <v>694010.52300000004</v>
      </c>
      <c r="W635" s="7">
        <v>-0.15</v>
      </c>
      <c r="X635" s="2" t="s">
        <v>42</v>
      </c>
      <c r="AA635" s="9">
        <v>46209</v>
      </c>
    </row>
    <row r="636" spans="1:27" hidden="1" x14ac:dyDescent="0.65">
      <c r="A636">
        <v>634</v>
      </c>
      <c r="B636" t="s">
        <v>29</v>
      </c>
      <c r="C636" s="6">
        <v>1511752.1370000001</v>
      </c>
      <c r="D636" s="6">
        <v>694012.43599999999</v>
      </c>
      <c r="E636" s="2" t="s">
        <v>41</v>
      </c>
      <c r="F636" s="1">
        <v>26</v>
      </c>
      <c r="G636" s="2" t="s">
        <v>48</v>
      </c>
      <c r="J636"/>
      <c r="K636" s="19"/>
      <c r="L636" s="21"/>
      <c r="M636" s="27"/>
      <c r="N636" s="19"/>
      <c r="O636" s="21"/>
      <c r="P636" s="7">
        <v>0.35</v>
      </c>
      <c r="Q636" s="7">
        <f>Table2[[#This Row],[Elevation
PILE TOP]]-Table2[[#This Row],[LENGTH(m.)
(Actual)]]</f>
        <v>0.35</v>
      </c>
      <c r="R636" s="2"/>
      <c r="S636" s="7">
        <f>Table2[[#This Row],[N]]+Table2[[#This Row],[Pile 
Deviation 
N (m)]]</f>
        <v>1511752.1370000001</v>
      </c>
      <c r="T636" s="7">
        <f>Table2[[#This Row],[E]]+Table2[[#This Row],[Pile 
Deviation 
E (m)]]</f>
        <v>694012.43599999999</v>
      </c>
      <c r="W636" s="7">
        <v>-0.15</v>
      </c>
      <c r="X636" s="2" t="s">
        <v>42</v>
      </c>
      <c r="AA636" s="9">
        <v>46211</v>
      </c>
    </row>
    <row r="637" spans="1:27" ht="13.95" hidden="1" customHeight="1" x14ac:dyDescent="0.65">
      <c r="A637">
        <v>635</v>
      </c>
      <c r="B637" t="s">
        <v>29</v>
      </c>
      <c r="C637" s="6">
        <v>1511749.8870000001</v>
      </c>
      <c r="D637" s="6">
        <v>694012.89</v>
      </c>
      <c r="E637" s="2" t="s">
        <v>41</v>
      </c>
      <c r="F637" s="1">
        <v>26</v>
      </c>
      <c r="G637" s="2" t="s">
        <v>48</v>
      </c>
      <c r="J637"/>
      <c r="K637" s="19"/>
      <c r="L637" s="21"/>
      <c r="M637" s="27"/>
      <c r="N637" s="19"/>
      <c r="O637" s="21"/>
      <c r="P637" s="7">
        <v>0.35</v>
      </c>
      <c r="Q637" s="7">
        <f>Table2[[#This Row],[Elevation
PILE TOP]]-Table2[[#This Row],[LENGTH(m.)
(Actual)]]</f>
        <v>0.35</v>
      </c>
      <c r="R637" s="2"/>
      <c r="S637" s="7">
        <f>Table2[[#This Row],[N]]+Table2[[#This Row],[Pile 
Deviation 
N (m)]]</f>
        <v>1511749.8870000001</v>
      </c>
      <c r="T637" s="7">
        <f>Table2[[#This Row],[E]]+Table2[[#This Row],[Pile 
Deviation 
E (m)]]</f>
        <v>694012.89</v>
      </c>
      <c r="W637" s="7">
        <v>-0.15</v>
      </c>
      <c r="X637" s="2" t="s">
        <v>42</v>
      </c>
      <c r="AA637" s="9">
        <v>46211</v>
      </c>
    </row>
    <row r="638" spans="1:27" hidden="1" x14ac:dyDescent="0.65">
      <c r="A638">
        <v>636</v>
      </c>
      <c r="B638" t="s">
        <v>29</v>
      </c>
      <c r="C638" s="6">
        <v>1511747.9739999999</v>
      </c>
      <c r="D638" s="6">
        <v>694011.62</v>
      </c>
      <c r="E638" s="2" t="s">
        <v>41</v>
      </c>
      <c r="F638" s="1">
        <v>26</v>
      </c>
      <c r="G638" s="2" t="s">
        <v>48</v>
      </c>
      <c r="J638"/>
      <c r="K638" s="19"/>
      <c r="L638" s="21"/>
      <c r="M638" s="27"/>
      <c r="N638" s="19"/>
      <c r="O638" s="21"/>
      <c r="P638" s="7">
        <v>0.35</v>
      </c>
      <c r="Q638" s="7">
        <f>Table2[[#This Row],[Elevation
PILE TOP]]-Table2[[#This Row],[LENGTH(m.)
(Actual)]]</f>
        <v>0.35</v>
      </c>
      <c r="R638" s="2"/>
      <c r="S638" s="7">
        <f>Table2[[#This Row],[N]]+Table2[[#This Row],[Pile 
Deviation 
N (m)]]</f>
        <v>1511747.9739999999</v>
      </c>
      <c r="T638" s="7">
        <f>Table2[[#This Row],[E]]+Table2[[#This Row],[Pile 
Deviation 
E (m)]]</f>
        <v>694011.62</v>
      </c>
      <c r="W638" s="7">
        <v>-0.15</v>
      </c>
      <c r="X638" s="2" t="s">
        <v>42</v>
      </c>
      <c r="AA638" s="9">
        <v>46211</v>
      </c>
    </row>
    <row r="639" spans="1:27" ht="13.95" hidden="1" customHeight="1" x14ac:dyDescent="0.65">
      <c r="A639">
        <v>637</v>
      </c>
      <c r="B639" t="s">
        <v>29</v>
      </c>
      <c r="C639" s="6">
        <v>1511747.5190000001</v>
      </c>
      <c r="D639" s="6">
        <v>694009.36899999995</v>
      </c>
      <c r="E639" s="2" t="s">
        <v>41</v>
      </c>
      <c r="F639" s="1">
        <v>26</v>
      </c>
      <c r="G639" s="2" t="s">
        <v>48</v>
      </c>
      <c r="J639"/>
      <c r="K639" s="19"/>
      <c r="L639" s="21"/>
      <c r="M639" s="27"/>
      <c r="N639" s="19"/>
      <c r="O639" s="21"/>
      <c r="P639" s="7">
        <v>0.35</v>
      </c>
      <c r="Q639" s="7">
        <f>Table2[[#This Row],[Elevation
PILE TOP]]-Table2[[#This Row],[LENGTH(m.)
(Actual)]]</f>
        <v>0.35</v>
      </c>
      <c r="R639" s="2"/>
      <c r="S639" s="7">
        <f>Table2[[#This Row],[N]]+Table2[[#This Row],[Pile 
Deviation 
N (m)]]</f>
        <v>1511747.5190000001</v>
      </c>
      <c r="T639" s="7">
        <f>Table2[[#This Row],[E]]+Table2[[#This Row],[Pile 
Deviation 
E (m)]]</f>
        <v>694009.36899999995</v>
      </c>
      <c r="W639" s="7">
        <v>-0.15</v>
      </c>
      <c r="X639" s="2" t="s">
        <v>42</v>
      </c>
      <c r="AA639" s="9">
        <v>46211</v>
      </c>
    </row>
    <row r="640" spans="1:27" hidden="1" x14ac:dyDescent="0.65">
      <c r="A640">
        <v>638</v>
      </c>
      <c r="B640" t="s">
        <v>29</v>
      </c>
      <c r="C640" s="6">
        <v>1511748.7890000001</v>
      </c>
      <c r="D640" s="6">
        <v>694007.45700000005</v>
      </c>
      <c r="E640" s="2" t="s">
        <v>41</v>
      </c>
      <c r="F640" s="1">
        <v>26</v>
      </c>
      <c r="G640" s="2" t="s">
        <v>48</v>
      </c>
      <c r="J640"/>
      <c r="K640" s="19"/>
      <c r="L640" s="21"/>
      <c r="M640" s="27"/>
      <c r="N640" s="19"/>
      <c r="O640" s="21"/>
      <c r="P640" s="7">
        <v>0.35</v>
      </c>
      <c r="Q640" s="7">
        <f>Table2[[#This Row],[Elevation
PILE TOP]]-Table2[[#This Row],[LENGTH(m.)
(Actual)]]</f>
        <v>0.35</v>
      </c>
      <c r="R640" s="2"/>
      <c r="S640" s="7">
        <f>Table2[[#This Row],[N]]+Table2[[#This Row],[Pile 
Deviation 
N (m)]]</f>
        <v>1511748.7890000001</v>
      </c>
      <c r="T640" s="7">
        <f>Table2[[#This Row],[E]]+Table2[[#This Row],[Pile 
Deviation 
E (m)]]</f>
        <v>694007.45700000005</v>
      </c>
      <c r="W640" s="7">
        <v>-0.15</v>
      </c>
      <c r="X640" s="2" t="s">
        <v>42</v>
      </c>
      <c r="AA640" s="9">
        <v>46210</v>
      </c>
    </row>
    <row r="641" spans="1:27" ht="13.95" hidden="1" customHeight="1" x14ac:dyDescent="0.65">
      <c r="A641">
        <v>639</v>
      </c>
      <c r="B641" t="s">
        <v>29</v>
      </c>
      <c r="C641" s="6">
        <v>1511750.4609999999</v>
      </c>
      <c r="D641" s="6">
        <v>694009.94799999997</v>
      </c>
      <c r="E641" s="2" t="s">
        <v>35</v>
      </c>
      <c r="F641" s="1">
        <v>24</v>
      </c>
      <c r="G641" s="2" t="s">
        <v>48</v>
      </c>
      <c r="J641"/>
      <c r="K641" s="19"/>
      <c r="L641" s="21"/>
      <c r="M641" s="27"/>
      <c r="N641" s="19"/>
      <c r="O641" s="21"/>
      <c r="P641" s="7">
        <v>0.28999999999999998</v>
      </c>
      <c r="Q641" s="7">
        <f>Table2[[#This Row],[Elevation
PILE TOP]]-Table2[[#This Row],[LENGTH(m.)
(Actual)]]</f>
        <v>0.28999999999999998</v>
      </c>
      <c r="R641" s="2"/>
      <c r="S641" s="7">
        <f>Table2[[#This Row],[N]]+Table2[[#This Row],[Pile 
Deviation 
N (m)]]</f>
        <v>1511750.4609999999</v>
      </c>
      <c r="T641" s="7">
        <f>Table2[[#This Row],[E]]+Table2[[#This Row],[Pile 
Deviation 
E (m)]]</f>
        <v>694009.94799999997</v>
      </c>
      <c r="W641" s="7">
        <v>0.28999999999999998</v>
      </c>
      <c r="X641" s="2" t="s">
        <v>40</v>
      </c>
      <c r="AA641" s="9">
        <v>46211</v>
      </c>
    </row>
    <row r="642" spans="1:27" hidden="1" x14ac:dyDescent="0.65">
      <c r="A642">
        <v>640</v>
      </c>
      <c r="B642" t="s">
        <v>29</v>
      </c>
      <c r="C642" s="6">
        <v>1511751.1340000001</v>
      </c>
      <c r="D642" s="6">
        <v>694013.28</v>
      </c>
      <c r="E642" s="2" t="s">
        <v>35</v>
      </c>
      <c r="F642" s="1">
        <v>24</v>
      </c>
      <c r="G642" s="2" t="s">
        <v>48</v>
      </c>
      <c r="J642"/>
      <c r="K642" s="19"/>
      <c r="L642" s="21"/>
      <c r="M642" s="27"/>
      <c r="N642" s="19"/>
      <c r="O642" s="21"/>
      <c r="P642" s="7">
        <v>0.28999999999999998</v>
      </c>
      <c r="Q642" s="7">
        <f>Table2[[#This Row],[Elevation
PILE TOP]]-Table2[[#This Row],[LENGTH(m.)
(Actual)]]</f>
        <v>0.28999999999999998</v>
      </c>
      <c r="R642" s="2"/>
      <c r="S642" s="7">
        <f>Table2[[#This Row],[N]]+Table2[[#This Row],[Pile 
Deviation 
N (m)]]</f>
        <v>1511751.1340000001</v>
      </c>
      <c r="T642" s="7">
        <f>Table2[[#This Row],[E]]+Table2[[#This Row],[Pile 
Deviation 
E (m)]]</f>
        <v>694013.28</v>
      </c>
      <c r="W642" s="7">
        <v>0.28999999999999998</v>
      </c>
      <c r="X642" s="2" t="s">
        <v>40</v>
      </c>
      <c r="AA642" s="9">
        <v>46211</v>
      </c>
    </row>
    <row r="643" spans="1:27" ht="13.95" hidden="1" customHeight="1" x14ac:dyDescent="0.65">
      <c r="A643">
        <v>641</v>
      </c>
      <c r="B643" t="s">
        <v>29</v>
      </c>
      <c r="C643" s="6">
        <v>1511752.3870000001</v>
      </c>
      <c r="D643" s="6">
        <v>694013.67200000002</v>
      </c>
      <c r="E643" s="2" t="s">
        <v>41</v>
      </c>
      <c r="F643" s="1">
        <v>26</v>
      </c>
      <c r="G643" s="2" t="s">
        <v>48</v>
      </c>
      <c r="J643"/>
      <c r="K643" s="19"/>
      <c r="L643" s="21"/>
      <c r="M643" s="27"/>
      <c r="N643" s="19"/>
      <c r="O643" s="21"/>
      <c r="P643" s="7">
        <v>0.35</v>
      </c>
      <c r="Q643" s="7">
        <f>Table2[[#This Row],[Elevation
PILE TOP]]-Table2[[#This Row],[LENGTH(m.)
(Actual)]]</f>
        <v>0.35</v>
      </c>
      <c r="R643" s="2"/>
      <c r="S643" s="7">
        <f>Table2[[#This Row],[N]]+Table2[[#This Row],[Pile 
Deviation 
N (m)]]</f>
        <v>1511752.3870000001</v>
      </c>
      <c r="T643" s="7">
        <f>Table2[[#This Row],[E]]+Table2[[#This Row],[Pile 
Deviation 
E (m)]]</f>
        <v>694013.67200000002</v>
      </c>
      <c r="W643" s="7">
        <v>-0.15</v>
      </c>
      <c r="X643" s="2" t="s">
        <v>42</v>
      </c>
      <c r="AA643" s="9">
        <v>46212</v>
      </c>
    </row>
    <row r="644" spans="1:27" hidden="1" x14ac:dyDescent="0.65">
      <c r="A644">
        <v>642</v>
      </c>
      <c r="B644" t="s">
        <v>29</v>
      </c>
      <c r="C644" s="6">
        <v>1511754.3</v>
      </c>
      <c r="D644" s="6">
        <v>694014.94200000004</v>
      </c>
      <c r="E644" s="2" t="s">
        <v>41</v>
      </c>
      <c r="F644" s="1">
        <v>26</v>
      </c>
      <c r="G644" s="2" t="s">
        <v>48</v>
      </c>
      <c r="J644"/>
      <c r="K644" s="19"/>
      <c r="L644" s="21"/>
      <c r="M644" s="27"/>
      <c r="N644" s="19"/>
      <c r="O644" s="21"/>
      <c r="P644" s="7">
        <v>0.35</v>
      </c>
      <c r="Q644" s="7">
        <f>Table2[[#This Row],[Elevation
PILE TOP]]-Table2[[#This Row],[LENGTH(m.)
(Actual)]]</f>
        <v>0.35</v>
      </c>
      <c r="R644" s="2"/>
      <c r="S644" s="7">
        <f>Table2[[#This Row],[N]]+Table2[[#This Row],[Pile 
Deviation 
N (m)]]</f>
        <v>1511754.3</v>
      </c>
      <c r="T644" s="7">
        <f>Table2[[#This Row],[E]]+Table2[[#This Row],[Pile 
Deviation 
E (m)]]</f>
        <v>694014.94200000004</v>
      </c>
      <c r="W644" s="7">
        <v>-0.15</v>
      </c>
      <c r="X644" s="2" t="s">
        <v>42</v>
      </c>
      <c r="AA644" s="9">
        <v>46207</v>
      </c>
    </row>
    <row r="645" spans="1:27" ht="13.95" hidden="1" customHeight="1" x14ac:dyDescent="0.65">
      <c r="A645">
        <v>643</v>
      </c>
      <c r="B645" t="s">
        <v>29</v>
      </c>
      <c r="C645" s="6">
        <v>1511754.754</v>
      </c>
      <c r="D645" s="6">
        <v>694017.19200000004</v>
      </c>
      <c r="E645" s="2" t="s">
        <v>41</v>
      </c>
      <c r="F645" s="1">
        <v>26</v>
      </c>
      <c r="G645" s="2" t="s">
        <v>48</v>
      </c>
      <c r="J645"/>
      <c r="K645" s="19"/>
      <c r="L645" s="21"/>
      <c r="M645" s="27"/>
      <c r="N645" s="19"/>
      <c r="O645" s="21"/>
      <c r="P645" s="7">
        <v>0.35</v>
      </c>
      <c r="Q645" s="7">
        <f>Table2[[#This Row],[Elevation
PILE TOP]]-Table2[[#This Row],[LENGTH(m.)
(Actual)]]</f>
        <v>0.35</v>
      </c>
      <c r="R645" s="2"/>
      <c r="S645" s="7">
        <f>Table2[[#This Row],[N]]+Table2[[#This Row],[Pile 
Deviation 
N (m)]]</f>
        <v>1511754.754</v>
      </c>
      <c r="T645" s="7">
        <f>Table2[[#This Row],[E]]+Table2[[#This Row],[Pile 
Deviation 
E (m)]]</f>
        <v>694017.19200000004</v>
      </c>
      <c r="W645" s="7">
        <v>-0.15</v>
      </c>
      <c r="X645" s="2" t="s">
        <v>42</v>
      </c>
      <c r="AA645" s="9">
        <v>46207</v>
      </c>
    </row>
    <row r="646" spans="1:27" hidden="1" x14ac:dyDescent="0.65">
      <c r="A646">
        <v>644</v>
      </c>
      <c r="B646" t="s">
        <v>29</v>
      </c>
      <c r="C646" s="6">
        <v>1511753.4839999999</v>
      </c>
      <c r="D646" s="6">
        <v>694019.10499999998</v>
      </c>
      <c r="E646" s="2" t="s">
        <v>41</v>
      </c>
      <c r="F646" s="1">
        <v>26</v>
      </c>
      <c r="G646" s="2" t="s">
        <v>48</v>
      </c>
      <c r="J646"/>
      <c r="K646" s="19"/>
      <c r="L646" s="21"/>
      <c r="M646" s="27"/>
      <c r="N646" s="19"/>
      <c r="O646" s="21"/>
      <c r="P646" s="7">
        <v>0.35</v>
      </c>
      <c r="Q646" s="7">
        <f>Table2[[#This Row],[Elevation
PILE TOP]]-Table2[[#This Row],[LENGTH(m.)
(Actual)]]</f>
        <v>0.35</v>
      </c>
      <c r="R646" s="2"/>
      <c r="S646" s="7">
        <f>Table2[[#This Row],[N]]+Table2[[#This Row],[Pile 
Deviation 
N (m)]]</f>
        <v>1511753.4839999999</v>
      </c>
      <c r="T646" s="7">
        <f>Table2[[#This Row],[E]]+Table2[[#This Row],[Pile 
Deviation 
E (m)]]</f>
        <v>694019.10499999998</v>
      </c>
      <c r="W646" s="7">
        <v>-0.15</v>
      </c>
      <c r="X646" s="2" t="s">
        <v>42</v>
      </c>
      <c r="AA646" s="9">
        <v>46213</v>
      </c>
    </row>
    <row r="647" spans="1:27" ht="13.95" hidden="1" customHeight="1" x14ac:dyDescent="0.65">
      <c r="A647">
        <v>645</v>
      </c>
      <c r="B647" t="s">
        <v>29</v>
      </c>
      <c r="C647" s="6">
        <v>1511751.2339999999</v>
      </c>
      <c r="D647" s="6">
        <v>694019.56</v>
      </c>
      <c r="E647" s="2" t="s">
        <v>41</v>
      </c>
      <c r="F647" s="1">
        <v>26</v>
      </c>
      <c r="G647" s="2" t="s">
        <v>48</v>
      </c>
      <c r="J647"/>
      <c r="K647" s="19"/>
      <c r="L647" s="21"/>
      <c r="M647" s="27"/>
      <c r="N647" s="19"/>
      <c r="O647" s="21"/>
      <c r="P647" s="7">
        <v>0.35</v>
      </c>
      <c r="Q647" s="7">
        <f>Table2[[#This Row],[Elevation
PILE TOP]]-Table2[[#This Row],[LENGTH(m.)
(Actual)]]</f>
        <v>0.35</v>
      </c>
      <c r="R647" s="2"/>
      <c r="S647" s="7">
        <f>Table2[[#This Row],[N]]+Table2[[#This Row],[Pile 
Deviation 
N (m)]]</f>
        <v>1511751.2339999999</v>
      </c>
      <c r="T647" s="7">
        <f>Table2[[#This Row],[E]]+Table2[[#This Row],[Pile 
Deviation 
E (m)]]</f>
        <v>694019.56</v>
      </c>
      <c r="W647" s="7">
        <v>-0.15</v>
      </c>
      <c r="X647" s="2" t="s">
        <v>42</v>
      </c>
      <c r="AA647" s="9">
        <v>46213</v>
      </c>
    </row>
    <row r="648" spans="1:27" hidden="1" x14ac:dyDescent="0.65">
      <c r="A648">
        <v>646</v>
      </c>
      <c r="B648" t="s">
        <v>29</v>
      </c>
      <c r="C648" s="6">
        <v>1511749.321</v>
      </c>
      <c r="D648" s="6">
        <v>694018.29</v>
      </c>
      <c r="E648" s="2" t="s">
        <v>41</v>
      </c>
      <c r="F648" s="1">
        <v>26</v>
      </c>
      <c r="G648" s="2" t="s">
        <v>48</v>
      </c>
      <c r="J648"/>
      <c r="K648" s="19"/>
      <c r="L648" s="21"/>
      <c r="M648" s="27"/>
      <c r="N648" s="19"/>
      <c r="O648" s="21"/>
      <c r="P648" s="7">
        <v>0.35</v>
      </c>
      <c r="Q648" s="7">
        <f>Table2[[#This Row],[Elevation
PILE TOP]]-Table2[[#This Row],[LENGTH(m.)
(Actual)]]</f>
        <v>0.35</v>
      </c>
      <c r="R648" s="2"/>
      <c r="S648" s="7">
        <f>Table2[[#This Row],[N]]+Table2[[#This Row],[Pile 
Deviation 
N (m)]]</f>
        <v>1511749.321</v>
      </c>
      <c r="T648" s="7">
        <f>Table2[[#This Row],[E]]+Table2[[#This Row],[Pile 
Deviation 
E (m)]]</f>
        <v>694018.29</v>
      </c>
      <c r="W648" s="7">
        <v>-0.15</v>
      </c>
      <c r="X648" s="2" t="s">
        <v>42</v>
      </c>
      <c r="AA648" s="9">
        <v>46212</v>
      </c>
    </row>
    <row r="649" spans="1:27" ht="13.95" hidden="1" customHeight="1" x14ac:dyDescent="0.65">
      <c r="A649">
        <v>647</v>
      </c>
      <c r="B649" t="s">
        <v>29</v>
      </c>
      <c r="C649" s="6">
        <v>1511748.8659999999</v>
      </c>
      <c r="D649" s="6">
        <v>694016.03899999999</v>
      </c>
      <c r="E649" s="2" t="s">
        <v>41</v>
      </c>
      <c r="F649" s="1">
        <v>26</v>
      </c>
      <c r="G649" s="2" t="s">
        <v>48</v>
      </c>
      <c r="J649"/>
      <c r="K649" s="19"/>
      <c r="L649" s="21"/>
      <c r="M649" s="27"/>
      <c r="N649" s="19"/>
      <c r="O649" s="21"/>
      <c r="P649" s="7">
        <v>0.35</v>
      </c>
      <c r="Q649" s="7">
        <f>Table2[[#This Row],[Elevation
PILE TOP]]-Table2[[#This Row],[LENGTH(m.)
(Actual)]]</f>
        <v>0.35</v>
      </c>
      <c r="R649" s="2"/>
      <c r="S649" s="7">
        <f>Table2[[#This Row],[N]]+Table2[[#This Row],[Pile 
Deviation 
N (m)]]</f>
        <v>1511748.8659999999</v>
      </c>
      <c r="T649" s="7">
        <f>Table2[[#This Row],[E]]+Table2[[#This Row],[Pile 
Deviation 
E (m)]]</f>
        <v>694016.03899999999</v>
      </c>
      <c r="W649" s="7">
        <v>-0.15</v>
      </c>
      <c r="X649" s="2" t="s">
        <v>42</v>
      </c>
      <c r="AA649" s="9">
        <v>46212</v>
      </c>
    </row>
    <row r="650" spans="1:27" hidden="1" x14ac:dyDescent="0.65">
      <c r="A650">
        <v>648</v>
      </c>
      <c r="B650" t="s">
        <v>29</v>
      </c>
      <c r="C650" s="6">
        <v>1511750.1359999999</v>
      </c>
      <c r="D650" s="6">
        <v>694014.12600000005</v>
      </c>
      <c r="E650" s="2" t="s">
        <v>41</v>
      </c>
      <c r="F650" s="1">
        <v>26</v>
      </c>
      <c r="G650" s="2" t="s">
        <v>48</v>
      </c>
      <c r="J650"/>
      <c r="K650" s="19"/>
      <c r="L650" s="21"/>
      <c r="M650" s="27"/>
      <c r="N650" s="19"/>
      <c r="O650" s="21"/>
      <c r="P650" s="7">
        <v>0.35</v>
      </c>
      <c r="Q650" s="7">
        <f>Table2[[#This Row],[Elevation
PILE TOP]]-Table2[[#This Row],[LENGTH(m.)
(Actual)]]</f>
        <v>0.35</v>
      </c>
      <c r="R650" s="2"/>
      <c r="S650" s="7">
        <f>Table2[[#This Row],[N]]+Table2[[#This Row],[Pile 
Deviation 
N (m)]]</f>
        <v>1511750.1359999999</v>
      </c>
      <c r="T650" s="7">
        <f>Table2[[#This Row],[E]]+Table2[[#This Row],[Pile 
Deviation 
E (m)]]</f>
        <v>694014.12600000005</v>
      </c>
      <c r="W650" s="7">
        <v>-0.15</v>
      </c>
      <c r="X650" s="2" t="s">
        <v>42</v>
      </c>
      <c r="AA650" s="9">
        <v>46212</v>
      </c>
    </row>
    <row r="651" spans="1:27" ht="13.95" hidden="1" customHeight="1" x14ac:dyDescent="0.65">
      <c r="A651">
        <v>649</v>
      </c>
      <c r="B651" t="s">
        <v>29</v>
      </c>
      <c r="C651" s="6">
        <v>1511751.807</v>
      </c>
      <c r="D651" s="6">
        <v>694016.61300000001</v>
      </c>
      <c r="E651" s="2" t="s">
        <v>35</v>
      </c>
      <c r="F651" s="1">
        <v>24</v>
      </c>
      <c r="G651" s="2" t="s">
        <v>48</v>
      </c>
      <c r="J651"/>
      <c r="K651" s="19"/>
      <c r="L651" s="21"/>
      <c r="M651" s="27"/>
      <c r="N651" s="19"/>
      <c r="O651" s="21"/>
      <c r="P651" s="7">
        <v>0.28999999999999998</v>
      </c>
      <c r="Q651" s="7">
        <f>Table2[[#This Row],[Elevation
PILE TOP]]-Table2[[#This Row],[LENGTH(m.)
(Actual)]]</f>
        <v>0.28999999999999998</v>
      </c>
      <c r="R651" s="2"/>
      <c r="S651" s="7">
        <f>Table2[[#This Row],[N]]+Table2[[#This Row],[Pile 
Deviation 
N (m)]]</f>
        <v>1511751.807</v>
      </c>
      <c r="T651" s="7">
        <f>Table2[[#This Row],[E]]+Table2[[#This Row],[Pile 
Deviation 
E (m)]]</f>
        <v>694016.61300000001</v>
      </c>
      <c r="W651" s="7">
        <v>0.28999999999999998</v>
      </c>
      <c r="X651" s="2" t="s">
        <v>40</v>
      </c>
      <c r="AA651" s="9">
        <v>46212</v>
      </c>
    </row>
    <row r="652" spans="1:27" hidden="1" x14ac:dyDescent="0.65">
      <c r="A652">
        <v>650</v>
      </c>
      <c r="B652" t="s">
        <v>29</v>
      </c>
      <c r="C652" s="6">
        <v>1511752.48</v>
      </c>
      <c r="D652" s="6">
        <v>694019.946</v>
      </c>
      <c r="E652" s="2" t="s">
        <v>35</v>
      </c>
      <c r="F652" s="1">
        <v>24</v>
      </c>
      <c r="G652" s="2" t="s">
        <v>48</v>
      </c>
      <c r="J652"/>
      <c r="K652" s="19"/>
      <c r="L652" s="21"/>
      <c r="M652" s="27"/>
      <c r="N652" s="19"/>
      <c r="O652" s="21"/>
      <c r="P652" s="7">
        <v>0.28999999999999998</v>
      </c>
      <c r="Q652" s="7">
        <f>Table2[[#This Row],[Elevation
PILE TOP]]-Table2[[#This Row],[LENGTH(m.)
(Actual)]]</f>
        <v>0.28999999999999998</v>
      </c>
      <c r="R652" s="2"/>
      <c r="S652" s="7">
        <f>Table2[[#This Row],[N]]+Table2[[#This Row],[Pile 
Deviation 
N (m)]]</f>
        <v>1511752.48</v>
      </c>
      <c r="T652" s="7">
        <f>Table2[[#This Row],[E]]+Table2[[#This Row],[Pile 
Deviation 
E (m)]]</f>
        <v>694019.946</v>
      </c>
      <c r="W652" s="7">
        <v>0.28999999999999998</v>
      </c>
      <c r="X652" s="2" t="s">
        <v>40</v>
      </c>
      <c r="AA652" s="9">
        <v>46213</v>
      </c>
    </row>
    <row r="653" spans="1:27" ht="13.95" hidden="1" customHeight="1" x14ac:dyDescent="0.65">
      <c r="A653">
        <v>651</v>
      </c>
      <c r="B653" t="s">
        <v>29</v>
      </c>
      <c r="C653" s="6">
        <v>1511753.733</v>
      </c>
      <c r="D653" s="6">
        <v>694020.33600000001</v>
      </c>
      <c r="E653" s="2" t="s">
        <v>41</v>
      </c>
      <c r="F653" s="1">
        <v>26</v>
      </c>
      <c r="G653" s="2" t="s">
        <v>48</v>
      </c>
      <c r="J653"/>
      <c r="K653" s="19"/>
      <c r="L653" s="21"/>
      <c r="M653" s="27"/>
      <c r="N653" s="19"/>
      <c r="O653" s="21"/>
      <c r="P653" s="7">
        <v>0.35</v>
      </c>
      <c r="Q653" s="7">
        <f>Table2[[#This Row],[Elevation
PILE TOP]]-Table2[[#This Row],[LENGTH(m.)
(Actual)]]</f>
        <v>0.35</v>
      </c>
      <c r="R653" s="2"/>
      <c r="S653" s="7">
        <f>Table2[[#This Row],[N]]+Table2[[#This Row],[Pile 
Deviation 
N (m)]]</f>
        <v>1511753.733</v>
      </c>
      <c r="T653" s="7">
        <f>Table2[[#This Row],[E]]+Table2[[#This Row],[Pile 
Deviation 
E (m)]]</f>
        <v>694020.33600000001</v>
      </c>
      <c r="W653" s="7">
        <v>-0.15</v>
      </c>
      <c r="X653" s="2" t="s">
        <v>42</v>
      </c>
      <c r="AA653" s="9">
        <v>46213</v>
      </c>
    </row>
    <row r="654" spans="1:27" hidden="1" x14ac:dyDescent="0.65">
      <c r="A654">
        <v>652</v>
      </c>
      <c r="B654" t="s">
        <v>29</v>
      </c>
      <c r="C654" s="6">
        <v>1511755.6459999999</v>
      </c>
      <c r="D654" s="6">
        <v>694021.60600000003</v>
      </c>
      <c r="E654" s="2" t="s">
        <v>41</v>
      </c>
      <c r="F654" s="1">
        <v>26</v>
      </c>
      <c r="G654" s="2" t="s">
        <v>48</v>
      </c>
      <c r="J654"/>
      <c r="K654" s="19"/>
      <c r="L654" s="21"/>
      <c r="M654" s="27"/>
      <c r="N654" s="19"/>
      <c r="O654" s="21"/>
      <c r="P654" s="7">
        <v>0.35</v>
      </c>
      <c r="Q654" s="7">
        <f>Table2[[#This Row],[Elevation
PILE TOP]]-Table2[[#This Row],[LENGTH(m.)
(Actual)]]</f>
        <v>0.35</v>
      </c>
      <c r="R654" s="2"/>
      <c r="S654" s="7">
        <f>Table2[[#This Row],[N]]+Table2[[#This Row],[Pile 
Deviation 
N (m)]]</f>
        <v>1511755.6459999999</v>
      </c>
      <c r="T654" s="7">
        <f>Table2[[#This Row],[E]]+Table2[[#This Row],[Pile 
Deviation 
E (m)]]</f>
        <v>694021.60600000003</v>
      </c>
      <c r="W654" s="7">
        <v>-0.15</v>
      </c>
      <c r="X654" s="2" t="s">
        <v>42</v>
      </c>
      <c r="AA654" s="9">
        <v>46206</v>
      </c>
    </row>
    <row r="655" spans="1:27" ht="13.95" hidden="1" customHeight="1" x14ac:dyDescent="0.65">
      <c r="A655">
        <v>653</v>
      </c>
      <c r="B655" t="s">
        <v>29</v>
      </c>
      <c r="C655" s="6">
        <v>1511756.1</v>
      </c>
      <c r="D655" s="6">
        <v>694023.85699999996</v>
      </c>
      <c r="E655" s="2" t="s">
        <v>41</v>
      </c>
      <c r="F655" s="1">
        <v>26</v>
      </c>
      <c r="G655" s="2" t="s">
        <v>48</v>
      </c>
      <c r="J655"/>
      <c r="K655" s="19"/>
      <c r="L655" s="21"/>
      <c r="M655" s="27"/>
      <c r="N655" s="19"/>
      <c r="O655" s="21"/>
      <c r="P655" s="7">
        <v>0.35</v>
      </c>
      <c r="Q655" s="7">
        <f>Table2[[#This Row],[Elevation
PILE TOP]]-Table2[[#This Row],[LENGTH(m.)
(Actual)]]</f>
        <v>0.35</v>
      </c>
      <c r="R655" s="2"/>
      <c r="S655" s="7">
        <f>Table2[[#This Row],[N]]+Table2[[#This Row],[Pile 
Deviation 
N (m)]]</f>
        <v>1511756.1</v>
      </c>
      <c r="T655" s="7">
        <f>Table2[[#This Row],[E]]+Table2[[#This Row],[Pile 
Deviation 
E (m)]]</f>
        <v>694023.85699999996</v>
      </c>
      <c r="W655" s="7">
        <v>-0.15</v>
      </c>
      <c r="X655" s="2" t="s">
        <v>42</v>
      </c>
      <c r="AA655" s="9">
        <v>46206</v>
      </c>
    </row>
    <row r="656" spans="1:27" hidden="1" x14ac:dyDescent="0.65">
      <c r="A656">
        <v>654</v>
      </c>
      <c r="B656" t="s">
        <v>29</v>
      </c>
      <c r="C656" s="6">
        <v>1511754.83</v>
      </c>
      <c r="D656" s="6">
        <v>694025.77</v>
      </c>
      <c r="E656" s="2" t="s">
        <v>41</v>
      </c>
      <c r="F656" s="1">
        <v>26</v>
      </c>
      <c r="G656" s="2" t="s">
        <v>48</v>
      </c>
      <c r="J656"/>
      <c r="K656" s="19"/>
      <c r="L656" s="21"/>
      <c r="M656" s="27"/>
      <c r="N656" s="19"/>
      <c r="O656" s="21"/>
      <c r="P656" s="7">
        <v>0.35</v>
      </c>
      <c r="Q656" s="7">
        <f>Table2[[#This Row],[Elevation
PILE TOP]]-Table2[[#This Row],[LENGTH(m.)
(Actual)]]</f>
        <v>0.35</v>
      </c>
      <c r="R656" s="2"/>
      <c r="S656" s="7">
        <f>Table2[[#This Row],[N]]+Table2[[#This Row],[Pile 
Deviation 
N (m)]]</f>
        <v>1511754.83</v>
      </c>
      <c r="T656" s="7">
        <f>Table2[[#This Row],[E]]+Table2[[#This Row],[Pile 
Deviation 
E (m)]]</f>
        <v>694025.77</v>
      </c>
      <c r="W656" s="7">
        <v>-0.15</v>
      </c>
      <c r="X656" s="2" t="s">
        <v>42</v>
      </c>
      <c r="AA656" s="9">
        <v>46214</v>
      </c>
    </row>
    <row r="657" spans="1:27" ht="13.95" hidden="1" customHeight="1" x14ac:dyDescent="0.65">
      <c r="A657">
        <v>655</v>
      </c>
      <c r="B657" t="s">
        <v>29</v>
      </c>
      <c r="C657" s="6">
        <v>1511752.58</v>
      </c>
      <c r="D657" s="6">
        <v>694026.22400000005</v>
      </c>
      <c r="E657" s="2" t="s">
        <v>41</v>
      </c>
      <c r="F657" s="1">
        <v>26</v>
      </c>
      <c r="G657" s="2" t="s">
        <v>48</v>
      </c>
      <c r="J657"/>
      <c r="K657" s="19"/>
      <c r="L657" s="21"/>
      <c r="M657" s="27"/>
      <c r="N657" s="19"/>
      <c r="O657" s="21"/>
      <c r="P657" s="7">
        <v>0.35</v>
      </c>
      <c r="Q657" s="7">
        <f>Table2[[#This Row],[Elevation
PILE TOP]]-Table2[[#This Row],[LENGTH(m.)
(Actual)]]</f>
        <v>0.35</v>
      </c>
      <c r="R657" s="2"/>
      <c r="S657" s="7">
        <f>Table2[[#This Row],[N]]+Table2[[#This Row],[Pile 
Deviation 
N (m)]]</f>
        <v>1511752.58</v>
      </c>
      <c r="T657" s="7">
        <f>Table2[[#This Row],[E]]+Table2[[#This Row],[Pile 
Deviation 
E (m)]]</f>
        <v>694026.22400000005</v>
      </c>
      <c r="W657" s="7">
        <v>-0.15</v>
      </c>
      <c r="X657" s="2" t="s">
        <v>42</v>
      </c>
      <c r="AA657" s="9">
        <v>46214</v>
      </c>
    </row>
    <row r="658" spans="1:27" hidden="1" x14ac:dyDescent="0.65">
      <c r="A658">
        <v>656</v>
      </c>
      <c r="B658" t="s">
        <v>29</v>
      </c>
      <c r="C658" s="6">
        <v>1511750.6669999999</v>
      </c>
      <c r="D658" s="6">
        <v>694024.95400000003</v>
      </c>
      <c r="E658" s="2" t="s">
        <v>41</v>
      </c>
      <c r="F658" s="1">
        <v>26</v>
      </c>
      <c r="G658" s="2" t="s">
        <v>48</v>
      </c>
      <c r="J658"/>
      <c r="K658" s="19"/>
      <c r="L658" s="21"/>
      <c r="M658" s="27"/>
      <c r="N658" s="19"/>
      <c r="O658" s="21"/>
      <c r="P658" s="7">
        <v>0.35</v>
      </c>
      <c r="Q658" s="7">
        <f>Table2[[#This Row],[Elevation
PILE TOP]]-Table2[[#This Row],[LENGTH(m.)
(Actual)]]</f>
        <v>0.35</v>
      </c>
      <c r="R658" s="2"/>
      <c r="S658" s="7">
        <f>Table2[[#This Row],[N]]+Table2[[#This Row],[Pile 
Deviation 
N (m)]]</f>
        <v>1511750.6669999999</v>
      </c>
      <c r="T658" s="7">
        <f>Table2[[#This Row],[E]]+Table2[[#This Row],[Pile 
Deviation 
E (m)]]</f>
        <v>694024.95400000003</v>
      </c>
      <c r="W658" s="7">
        <v>-0.15</v>
      </c>
      <c r="X658" s="2" t="s">
        <v>42</v>
      </c>
      <c r="AA658" s="9">
        <v>46214</v>
      </c>
    </row>
    <row r="659" spans="1:27" ht="13.95" hidden="1" customHeight="1" x14ac:dyDescent="0.65">
      <c r="A659">
        <v>657</v>
      </c>
      <c r="B659" t="s">
        <v>29</v>
      </c>
      <c r="C659" s="6">
        <v>1511750.2120000001</v>
      </c>
      <c r="D659" s="6">
        <v>694022.70299999998</v>
      </c>
      <c r="E659" s="2" t="s">
        <v>41</v>
      </c>
      <c r="F659" s="1">
        <v>26</v>
      </c>
      <c r="G659" s="2" t="s">
        <v>48</v>
      </c>
      <c r="J659"/>
      <c r="K659" s="19"/>
      <c r="L659" s="21"/>
      <c r="M659" s="27"/>
      <c r="N659" s="19"/>
      <c r="O659" s="21"/>
      <c r="P659" s="7">
        <v>0.35</v>
      </c>
      <c r="Q659" s="7">
        <f>Table2[[#This Row],[Elevation
PILE TOP]]-Table2[[#This Row],[LENGTH(m.)
(Actual)]]</f>
        <v>0.35</v>
      </c>
      <c r="R659" s="2"/>
      <c r="S659" s="7">
        <f>Table2[[#This Row],[N]]+Table2[[#This Row],[Pile 
Deviation 
N (m)]]</f>
        <v>1511750.2120000001</v>
      </c>
      <c r="T659" s="7">
        <f>Table2[[#This Row],[E]]+Table2[[#This Row],[Pile 
Deviation 
E (m)]]</f>
        <v>694022.70299999998</v>
      </c>
      <c r="W659" s="7">
        <v>-0.15</v>
      </c>
      <c r="X659" s="2" t="s">
        <v>42</v>
      </c>
      <c r="AA659" s="9">
        <v>46213</v>
      </c>
    </row>
    <row r="660" spans="1:27" hidden="1" x14ac:dyDescent="0.65">
      <c r="A660">
        <v>658</v>
      </c>
      <c r="B660" t="s">
        <v>29</v>
      </c>
      <c r="C660" s="6">
        <v>1511751.4820000001</v>
      </c>
      <c r="D660" s="6">
        <v>694020.79099999997</v>
      </c>
      <c r="E660" s="2" t="s">
        <v>41</v>
      </c>
      <c r="F660" s="1">
        <v>26</v>
      </c>
      <c r="G660" s="2" t="s">
        <v>48</v>
      </c>
      <c r="J660"/>
      <c r="K660" s="19"/>
      <c r="L660" s="21"/>
      <c r="M660" s="27"/>
      <c r="N660" s="19"/>
      <c r="O660" s="21"/>
      <c r="P660" s="7">
        <v>0.35</v>
      </c>
      <c r="Q660" s="7">
        <f>Table2[[#This Row],[Elevation
PILE TOP]]-Table2[[#This Row],[LENGTH(m.)
(Actual)]]</f>
        <v>0.35</v>
      </c>
      <c r="R660" s="2"/>
      <c r="S660" s="7">
        <f>Table2[[#This Row],[N]]+Table2[[#This Row],[Pile 
Deviation 
N (m)]]</f>
        <v>1511751.4820000001</v>
      </c>
      <c r="T660" s="7">
        <f>Table2[[#This Row],[E]]+Table2[[#This Row],[Pile 
Deviation 
E (m)]]</f>
        <v>694020.79099999997</v>
      </c>
      <c r="W660" s="7">
        <v>-0.15</v>
      </c>
      <c r="X660" s="2" t="s">
        <v>42</v>
      </c>
      <c r="AA660" s="9">
        <v>46213</v>
      </c>
    </row>
    <row r="661" spans="1:27" ht="13.95" hidden="1" customHeight="1" x14ac:dyDescent="0.65">
      <c r="A661">
        <v>659</v>
      </c>
      <c r="B661" t="s">
        <v>29</v>
      </c>
      <c r="C661" s="6">
        <v>1511753.1529999999</v>
      </c>
      <c r="D661" s="6">
        <v>694023.27800000005</v>
      </c>
      <c r="E661" s="2" t="s">
        <v>35</v>
      </c>
      <c r="F661" s="1">
        <v>24</v>
      </c>
      <c r="G661" s="2" t="s">
        <v>48</v>
      </c>
      <c r="J661"/>
      <c r="K661" s="19"/>
      <c r="L661" s="21"/>
      <c r="M661" s="27"/>
      <c r="N661" s="19"/>
      <c r="O661" s="21"/>
      <c r="P661" s="7">
        <v>0.28999999999999998</v>
      </c>
      <c r="Q661" s="7">
        <f>Table2[[#This Row],[Elevation
PILE TOP]]-Table2[[#This Row],[LENGTH(m.)
(Actual)]]</f>
        <v>0.28999999999999998</v>
      </c>
      <c r="R661" s="2"/>
      <c r="S661" s="7">
        <f>Table2[[#This Row],[N]]+Table2[[#This Row],[Pile 
Deviation 
N (m)]]</f>
        <v>1511753.1529999999</v>
      </c>
      <c r="T661" s="7">
        <f>Table2[[#This Row],[E]]+Table2[[#This Row],[Pile 
Deviation 
E (m)]]</f>
        <v>694023.27800000005</v>
      </c>
      <c r="W661" s="7">
        <v>0.28999999999999998</v>
      </c>
      <c r="X661" s="2" t="s">
        <v>40</v>
      </c>
      <c r="AA661" s="9">
        <v>46214</v>
      </c>
    </row>
    <row r="662" spans="1:27" hidden="1" x14ac:dyDescent="0.65">
      <c r="A662">
        <v>660</v>
      </c>
      <c r="B662" t="s">
        <v>29</v>
      </c>
      <c r="C662" s="6">
        <v>1511753.747</v>
      </c>
      <c r="D662" s="6">
        <v>694026.21900000004</v>
      </c>
      <c r="E662" s="2" t="s">
        <v>35</v>
      </c>
      <c r="F662" s="1">
        <v>24</v>
      </c>
      <c r="G662" s="2" t="s">
        <v>48</v>
      </c>
      <c r="J662"/>
      <c r="K662" s="19"/>
      <c r="L662" s="21"/>
      <c r="M662" s="27"/>
      <c r="N662" s="19"/>
      <c r="O662" s="21"/>
      <c r="P662" s="7">
        <v>0.28999999999999998</v>
      </c>
      <c r="Q662" s="7">
        <f>Table2[[#This Row],[Elevation
PILE TOP]]-Table2[[#This Row],[LENGTH(m.)
(Actual)]]</f>
        <v>0.28999999999999998</v>
      </c>
      <c r="R662" s="2"/>
      <c r="S662" s="7">
        <f>Table2[[#This Row],[N]]+Table2[[#This Row],[Pile 
Deviation 
N (m)]]</f>
        <v>1511753.747</v>
      </c>
      <c r="T662" s="7">
        <f>Table2[[#This Row],[E]]+Table2[[#This Row],[Pile 
Deviation 
E (m)]]</f>
        <v>694026.21900000004</v>
      </c>
      <c r="W662" s="7">
        <v>0.28999999999999998</v>
      </c>
      <c r="X662" s="2" t="s">
        <v>40</v>
      </c>
      <c r="AA662" s="9">
        <v>46214</v>
      </c>
    </row>
    <row r="663" spans="1:27" ht="13.95" customHeight="1" x14ac:dyDescent="0.65">
      <c r="A663">
        <v>661</v>
      </c>
      <c r="B663" t="s">
        <v>29</v>
      </c>
      <c r="C663" s="6">
        <v>1511754.341</v>
      </c>
      <c r="D663" s="6">
        <v>694029.16</v>
      </c>
      <c r="E663" s="2" t="s">
        <v>35</v>
      </c>
      <c r="F663" s="1">
        <v>24</v>
      </c>
      <c r="G663" s="2" t="s">
        <v>48</v>
      </c>
      <c r="J663"/>
      <c r="K663" s="19"/>
      <c r="L663" s="21"/>
      <c r="M663" s="27"/>
      <c r="N663" s="19"/>
      <c r="O663" s="21"/>
      <c r="P663" s="7">
        <v>0.28999999999999998</v>
      </c>
      <c r="Q663" s="7">
        <f>Table2[[#This Row],[Elevation
PILE TOP]]-Table2[[#This Row],[LENGTH(m.)
(Actual)]]</f>
        <v>0.28999999999999998</v>
      </c>
      <c r="R663" s="2"/>
      <c r="S663" s="7">
        <f>Table2[[#This Row],[N]]+Table2[[#This Row],[Pile 
Deviation 
N (m)]]</f>
        <v>1511754.341</v>
      </c>
      <c r="T663" s="7">
        <f>Table2[[#This Row],[E]]+Table2[[#This Row],[Pile 
Deviation 
E (m)]]</f>
        <v>694029.16</v>
      </c>
      <c r="W663" s="7">
        <v>0.28999999999999998</v>
      </c>
      <c r="X663" s="2" t="s">
        <v>40</v>
      </c>
      <c r="AA663" s="9">
        <v>46199</v>
      </c>
    </row>
    <row r="664" spans="1:27" x14ac:dyDescent="0.65">
      <c r="A664">
        <v>662</v>
      </c>
      <c r="B664" t="s">
        <v>29</v>
      </c>
      <c r="C664" s="6">
        <v>1511755.534</v>
      </c>
      <c r="D664" s="6">
        <v>694029.25600000005</v>
      </c>
      <c r="E664" s="2" t="s">
        <v>41</v>
      </c>
      <c r="F664" s="1">
        <v>26</v>
      </c>
      <c r="G664" s="2" t="s">
        <v>48</v>
      </c>
      <c r="J664"/>
      <c r="K664" s="19"/>
      <c r="L664" s="21"/>
      <c r="M664" s="27"/>
      <c r="N664" s="19"/>
      <c r="O664" s="21"/>
      <c r="P664" s="7">
        <v>0.35</v>
      </c>
      <c r="Q664" s="7">
        <f>Table2[[#This Row],[Elevation
PILE TOP]]-Table2[[#This Row],[LENGTH(m.)
(Actual)]]</f>
        <v>0.35</v>
      </c>
      <c r="R664" s="2"/>
      <c r="S664" s="7">
        <f>Table2[[#This Row],[N]]+Table2[[#This Row],[Pile 
Deviation 
N (m)]]</f>
        <v>1511755.534</v>
      </c>
      <c r="T664" s="7">
        <f>Table2[[#This Row],[E]]+Table2[[#This Row],[Pile 
Deviation 
E (m)]]</f>
        <v>694029.25600000005</v>
      </c>
      <c r="W664" s="7">
        <v>-0.15</v>
      </c>
      <c r="X664" s="2" t="s">
        <v>42</v>
      </c>
      <c r="AA664" s="9">
        <v>46199</v>
      </c>
    </row>
    <row r="665" spans="1:27" ht="13.95" customHeight="1" x14ac:dyDescent="0.65">
      <c r="A665">
        <v>663</v>
      </c>
      <c r="B665" t="s">
        <v>29</v>
      </c>
      <c r="C665" s="6">
        <v>1511757.4469999999</v>
      </c>
      <c r="D665" s="6">
        <v>694030.527</v>
      </c>
      <c r="E665" s="2" t="s">
        <v>41</v>
      </c>
      <c r="F665" s="1">
        <v>26</v>
      </c>
      <c r="G665" s="2" t="s">
        <v>48</v>
      </c>
      <c r="J665"/>
      <c r="K665" s="19"/>
      <c r="L665" s="21"/>
      <c r="M665" s="27"/>
      <c r="N665" s="19"/>
      <c r="O665" s="21"/>
      <c r="P665" s="7">
        <v>0.35</v>
      </c>
      <c r="Q665" s="7">
        <f>Table2[[#This Row],[Elevation
PILE TOP]]-Table2[[#This Row],[LENGTH(m.)
(Actual)]]</f>
        <v>0.35</v>
      </c>
      <c r="R665" s="2"/>
      <c r="S665" s="7">
        <f>Table2[[#This Row],[N]]+Table2[[#This Row],[Pile 
Deviation 
N (m)]]</f>
        <v>1511757.4469999999</v>
      </c>
      <c r="T665" s="7">
        <f>Table2[[#This Row],[E]]+Table2[[#This Row],[Pile 
Deviation 
E (m)]]</f>
        <v>694030.527</v>
      </c>
      <c r="W665" s="7">
        <v>-0.15</v>
      </c>
      <c r="X665" s="2" t="s">
        <v>42</v>
      </c>
      <c r="AA665" s="9">
        <v>46199</v>
      </c>
    </row>
    <row r="666" spans="1:27" x14ac:dyDescent="0.65">
      <c r="A666">
        <v>664</v>
      </c>
      <c r="B666" t="s">
        <v>29</v>
      </c>
      <c r="C666" s="6">
        <v>1511757.902</v>
      </c>
      <c r="D666" s="6">
        <v>694032.777</v>
      </c>
      <c r="E666" s="2" t="s">
        <v>41</v>
      </c>
      <c r="F666" s="1">
        <v>26</v>
      </c>
      <c r="G666" s="2" t="s">
        <v>48</v>
      </c>
      <c r="J666"/>
      <c r="K666" s="19"/>
      <c r="L666" s="21"/>
      <c r="M666" s="27"/>
      <c r="N666" s="19"/>
      <c r="O666" s="21"/>
      <c r="P666" s="7">
        <v>0.35</v>
      </c>
      <c r="Q666" s="7">
        <f>Table2[[#This Row],[Elevation
PILE TOP]]-Table2[[#This Row],[LENGTH(m.)
(Actual)]]</f>
        <v>0.35</v>
      </c>
      <c r="R666" s="2"/>
      <c r="S666" s="7">
        <f>Table2[[#This Row],[N]]+Table2[[#This Row],[Pile 
Deviation 
N (m)]]</f>
        <v>1511757.902</v>
      </c>
      <c r="T666" s="7">
        <f>Table2[[#This Row],[E]]+Table2[[#This Row],[Pile 
Deviation 
E (m)]]</f>
        <v>694032.777</v>
      </c>
      <c r="W666" s="7">
        <v>-0.15</v>
      </c>
      <c r="X666" s="2" t="s">
        <v>42</v>
      </c>
      <c r="AA666" s="9">
        <v>46200</v>
      </c>
    </row>
    <row r="667" spans="1:27" ht="13.95" customHeight="1" x14ac:dyDescent="0.65">
      <c r="A667">
        <v>665</v>
      </c>
      <c r="B667" t="s">
        <v>29</v>
      </c>
      <c r="C667" s="6">
        <v>1511756.632</v>
      </c>
      <c r="D667" s="6">
        <v>694034.69</v>
      </c>
      <c r="E667" s="2" t="s">
        <v>41</v>
      </c>
      <c r="F667" s="1">
        <v>26</v>
      </c>
      <c r="G667" s="2" t="s">
        <v>48</v>
      </c>
      <c r="J667"/>
      <c r="K667" s="19"/>
      <c r="L667" s="21"/>
      <c r="M667" s="27"/>
      <c r="N667" s="19"/>
      <c r="O667" s="21"/>
      <c r="P667" s="7">
        <v>0.35</v>
      </c>
      <c r="Q667" s="7">
        <f>Table2[[#This Row],[Elevation
PILE TOP]]-Table2[[#This Row],[LENGTH(m.)
(Actual)]]</f>
        <v>0.35</v>
      </c>
      <c r="R667" s="2"/>
      <c r="S667" s="7">
        <f>Table2[[#This Row],[N]]+Table2[[#This Row],[Pile 
Deviation 
N (m)]]</f>
        <v>1511756.632</v>
      </c>
      <c r="T667" s="7">
        <f>Table2[[#This Row],[E]]+Table2[[#This Row],[Pile 
Deviation 
E (m)]]</f>
        <v>694034.69</v>
      </c>
      <c r="W667" s="7">
        <v>-0.15</v>
      </c>
      <c r="X667" s="2" t="s">
        <v>42</v>
      </c>
      <c r="AA667" s="9">
        <v>46200</v>
      </c>
    </row>
    <row r="668" spans="1:27" x14ac:dyDescent="0.65">
      <c r="A668">
        <v>666</v>
      </c>
      <c r="B668" t="s">
        <v>29</v>
      </c>
      <c r="C668" s="6">
        <v>1511754.3810000001</v>
      </c>
      <c r="D668" s="6">
        <v>694035.14500000002</v>
      </c>
      <c r="E668" s="2" t="s">
        <v>41</v>
      </c>
      <c r="F668" s="1">
        <v>26</v>
      </c>
      <c r="G668" s="2" t="s">
        <v>48</v>
      </c>
      <c r="J668"/>
      <c r="K668" s="19"/>
      <c r="L668" s="21"/>
      <c r="M668" s="27"/>
      <c r="N668" s="19"/>
      <c r="O668" s="21"/>
      <c r="P668" s="7">
        <v>0.35</v>
      </c>
      <c r="Q668" s="7">
        <f>Table2[[#This Row],[Elevation
PILE TOP]]-Table2[[#This Row],[LENGTH(m.)
(Actual)]]</f>
        <v>0.35</v>
      </c>
      <c r="R668" s="2"/>
      <c r="S668" s="7">
        <f>Table2[[#This Row],[N]]+Table2[[#This Row],[Pile 
Deviation 
N (m)]]</f>
        <v>1511754.3810000001</v>
      </c>
      <c r="T668" s="7">
        <f>Table2[[#This Row],[E]]+Table2[[#This Row],[Pile 
Deviation 
E (m)]]</f>
        <v>694035.14500000002</v>
      </c>
      <c r="W668" s="7">
        <v>-0.15</v>
      </c>
      <c r="X668" s="2" t="s">
        <v>42</v>
      </c>
      <c r="AA668" s="9">
        <v>46203</v>
      </c>
    </row>
    <row r="669" spans="1:27" ht="13.95" hidden="1" customHeight="1" x14ac:dyDescent="0.65">
      <c r="A669">
        <v>667</v>
      </c>
      <c r="B669" t="s">
        <v>29</v>
      </c>
      <c r="C669" s="6">
        <v>1511752.4680000001</v>
      </c>
      <c r="D669" s="6">
        <v>694033.87399999995</v>
      </c>
      <c r="E669" s="2" t="s">
        <v>41</v>
      </c>
      <c r="F669" s="1">
        <v>26</v>
      </c>
      <c r="G669" s="2" t="s">
        <v>48</v>
      </c>
      <c r="J669"/>
      <c r="K669" s="19"/>
      <c r="L669" s="21"/>
      <c r="M669" s="27"/>
      <c r="N669" s="19"/>
      <c r="O669" s="21"/>
      <c r="P669" s="7">
        <v>0.35</v>
      </c>
      <c r="Q669" s="7">
        <f>Table2[[#This Row],[Elevation
PILE TOP]]-Table2[[#This Row],[LENGTH(m.)
(Actual)]]</f>
        <v>0.35</v>
      </c>
      <c r="R669" s="2"/>
      <c r="S669" s="7">
        <f>Table2[[#This Row],[N]]+Table2[[#This Row],[Pile 
Deviation 
N (m)]]</f>
        <v>1511752.4680000001</v>
      </c>
      <c r="T669" s="7">
        <f>Table2[[#This Row],[E]]+Table2[[#This Row],[Pile 
Deviation 
E (m)]]</f>
        <v>694033.87399999995</v>
      </c>
      <c r="W669" s="7">
        <v>-0.15</v>
      </c>
      <c r="X669" s="2" t="s">
        <v>42</v>
      </c>
      <c r="AA669" s="9">
        <v>46204</v>
      </c>
    </row>
    <row r="670" spans="1:27" hidden="1" x14ac:dyDescent="0.65">
      <c r="A670">
        <v>668</v>
      </c>
      <c r="B670" t="s">
        <v>29</v>
      </c>
      <c r="C670" s="6">
        <v>1511752.014</v>
      </c>
      <c r="D670" s="6">
        <v>694031.62399999995</v>
      </c>
      <c r="E670" s="2" t="s">
        <v>41</v>
      </c>
      <c r="F670" s="1">
        <v>26</v>
      </c>
      <c r="G670" s="2" t="s">
        <v>48</v>
      </c>
      <c r="J670"/>
      <c r="K670" s="19"/>
      <c r="L670" s="21"/>
      <c r="M670" s="27"/>
      <c r="N670" s="19"/>
      <c r="O670" s="21"/>
      <c r="P670" s="7">
        <v>0.35</v>
      </c>
      <c r="Q670" s="7">
        <f>Table2[[#This Row],[Elevation
PILE TOP]]-Table2[[#This Row],[LENGTH(m.)
(Actual)]]</f>
        <v>0.35</v>
      </c>
      <c r="R670" s="2"/>
      <c r="S670" s="7">
        <f>Table2[[#This Row],[N]]+Table2[[#This Row],[Pile 
Deviation 
N (m)]]</f>
        <v>1511752.014</v>
      </c>
      <c r="T670" s="7">
        <f>Table2[[#This Row],[E]]+Table2[[#This Row],[Pile 
Deviation 
E (m)]]</f>
        <v>694031.62399999995</v>
      </c>
      <c r="W670" s="7">
        <v>-0.15</v>
      </c>
      <c r="X670" s="2" t="s">
        <v>42</v>
      </c>
      <c r="AA670" s="9">
        <v>46204</v>
      </c>
    </row>
    <row r="671" spans="1:27" ht="13.95" hidden="1" customHeight="1" x14ac:dyDescent="0.65">
      <c r="A671">
        <v>669</v>
      </c>
      <c r="B671" t="s">
        <v>29</v>
      </c>
      <c r="C671" s="6">
        <v>1511753.284</v>
      </c>
      <c r="D671" s="6">
        <v>694029.71100000001</v>
      </c>
      <c r="E671" s="2" t="s">
        <v>41</v>
      </c>
      <c r="F671" s="1">
        <v>26</v>
      </c>
      <c r="G671" s="2" t="s">
        <v>48</v>
      </c>
      <c r="J671"/>
      <c r="K671" s="19"/>
      <c r="L671" s="21"/>
      <c r="M671" s="27"/>
      <c r="N671" s="19"/>
      <c r="O671" s="21"/>
      <c r="P671" s="7">
        <v>0.35</v>
      </c>
      <c r="Q671" s="7">
        <f>Table2[[#This Row],[Elevation
PILE TOP]]-Table2[[#This Row],[LENGTH(m.)
(Actual)]]</f>
        <v>0.35</v>
      </c>
      <c r="R671" s="2"/>
      <c r="S671" s="7">
        <f>Table2[[#This Row],[N]]+Table2[[#This Row],[Pile 
Deviation 
N (m)]]</f>
        <v>1511753.284</v>
      </c>
      <c r="T671" s="7">
        <f>Table2[[#This Row],[E]]+Table2[[#This Row],[Pile 
Deviation 
E (m)]]</f>
        <v>694029.71100000001</v>
      </c>
      <c r="W671" s="7">
        <v>-0.15</v>
      </c>
      <c r="X671" s="2" t="s">
        <v>42</v>
      </c>
      <c r="AA671" s="9">
        <v>46204</v>
      </c>
    </row>
    <row r="672" spans="1:27" x14ac:dyDescent="0.65">
      <c r="A672">
        <v>670</v>
      </c>
      <c r="B672" t="s">
        <v>29</v>
      </c>
      <c r="C672" s="6">
        <v>1511754.9350000001</v>
      </c>
      <c r="D672" s="6">
        <v>694032.1</v>
      </c>
      <c r="E672" s="2" t="s">
        <v>35</v>
      </c>
      <c r="F672" s="1">
        <v>24</v>
      </c>
      <c r="G672" s="2" t="s">
        <v>48</v>
      </c>
      <c r="J672"/>
      <c r="K672" s="19"/>
      <c r="L672" s="21"/>
      <c r="M672" s="27"/>
      <c r="N672" s="19"/>
      <c r="O672" s="21"/>
      <c r="P672" s="7">
        <v>0.28999999999999998</v>
      </c>
      <c r="Q672" s="7">
        <f>Table2[[#This Row],[Elevation
PILE TOP]]-Table2[[#This Row],[LENGTH(m.)
(Actual)]]</f>
        <v>0.28999999999999998</v>
      </c>
      <c r="R672" s="2"/>
      <c r="S672" s="7">
        <f>Table2[[#This Row],[N]]+Table2[[#This Row],[Pile 
Deviation 
N (m)]]</f>
        <v>1511754.9350000001</v>
      </c>
      <c r="T672" s="7">
        <f>Table2[[#This Row],[E]]+Table2[[#This Row],[Pile 
Deviation 
E (m)]]</f>
        <v>694032.1</v>
      </c>
      <c r="W672" s="7">
        <v>0.28999999999999998</v>
      </c>
      <c r="X672" s="2" t="s">
        <v>40</v>
      </c>
      <c r="AA672" s="9">
        <v>46199</v>
      </c>
    </row>
    <row r="673" spans="1:27" ht="13.95" customHeight="1" x14ac:dyDescent="0.65">
      <c r="A673">
        <v>671</v>
      </c>
      <c r="B673" t="s">
        <v>29</v>
      </c>
      <c r="C673" s="6">
        <v>1511755.608</v>
      </c>
      <c r="D673" s="6">
        <v>694035.43299999996</v>
      </c>
      <c r="E673" s="2" t="s">
        <v>35</v>
      </c>
      <c r="F673" s="1">
        <v>24</v>
      </c>
      <c r="G673" s="2" t="s">
        <v>48</v>
      </c>
      <c r="J673"/>
      <c r="K673" s="19"/>
      <c r="L673" s="21"/>
      <c r="M673" s="27"/>
      <c r="N673" s="19"/>
      <c r="O673" s="21"/>
      <c r="P673" s="7">
        <v>0.28999999999999998</v>
      </c>
      <c r="Q673" s="7">
        <f>Table2[[#This Row],[Elevation
PILE TOP]]-Table2[[#This Row],[LENGTH(m.)
(Actual)]]</f>
        <v>0.28999999999999998</v>
      </c>
      <c r="R673" s="2"/>
      <c r="S673" s="7">
        <f>Table2[[#This Row],[N]]+Table2[[#This Row],[Pile 
Deviation 
N (m)]]</f>
        <v>1511755.608</v>
      </c>
      <c r="T673" s="7">
        <f>Table2[[#This Row],[E]]+Table2[[#This Row],[Pile 
Deviation 
E (m)]]</f>
        <v>694035.43299999996</v>
      </c>
      <c r="W673" s="7">
        <v>0.28999999999999998</v>
      </c>
      <c r="X673" s="2" t="s">
        <v>40</v>
      </c>
      <c r="AA673" s="9">
        <v>46200</v>
      </c>
    </row>
    <row r="674" spans="1:27" x14ac:dyDescent="0.65">
      <c r="A674">
        <v>672</v>
      </c>
      <c r="B674" t="s">
        <v>29</v>
      </c>
      <c r="C674" s="6">
        <v>1511756.88</v>
      </c>
      <c r="D674" s="6">
        <v>694035.92099999997</v>
      </c>
      <c r="E674" s="2" t="s">
        <v>41</v>
      </c>
      <c r="F674" s="1">
        <v>26</v>
      </c>
      <c r="G674" s="2" t="s">
        <v>48</v>
      </c>
      <c r="J674"/>
      <c r="K674" s="19"/>
      <c r="L674" s="21"/>
      <c r="M674" s="27"/>
      <c r="N674" s="19"/>
      <c r="O674" s="21"/>
      <c r="P674" s="7">
        <v>0.35</v>
      </c>
      <c r="Q674" s="7">
        <f>Table2[[#This Row],[Elevation
PILE TOP]]-Table2[[#This Row],[LENGTH(m.)
(Actual)]]</f>
        <v>0.35</v>
      </c>
      <c r="R674" s="2"/>
      <c r="S674" s="7">
        <f>Table2[[#This Row],[N]]+Table2[[#This Row],[Pile 
Deviation 
N (m)]]</f>
        <v>1511756.88</v>
      </c>
      <c r="T674" s="7">
        <f>Table2[[#This Row],[E]]+Table2[[#This Row],[Pile 
Deviation 
E (m)]]</f>
        <v>694035.92099999997</v>
      </c>
      <c r="W674" s="7">
        <v>-0.15</v>
      </c>
      <c r="X674" s="2" t="s">
        <v>42</v>
      </c>
      <c r="AA674" s="9">
        <v>46200</v>
      </c>
    </row>
    <row r="675" spans="1:27" ht="13.95" customHeight="1" x14ac:dyDescent="0.65">
      <c r="A675">
        <v>673</v>
      </c>
      <c r="B675" t="s">
        <v>29</v>
      </c>
      <c r="C675" s="6">
        <v>1511758.7930000001</v>
      </c>
      <c r="D675" s="6">
        <v>694037.19099999999</v>
      </c>
      <c r="E675" s="2" t="s">
        <v>41</v>
      </c>
      <c r="F675" s="1">
        <v>26</v>
      </c>
      <c r="G675" s="2" t="s">
        <v>48</v>
      </c>
      <c r="J675"/>
      <c r="K675" s="19"/>
      <c r="L675" s="21"/>
      <c r="M675" s="27"/>
      <c r="N675" s="19"/>
      <c r="O675" s="21"/>
      <c r="P675" s="7">
        <v>0.35</v>
      </c>
      <c r="Q675" s="7">
        <f>Table2[[#This Row],[Elevation
PILE TOP]]-Table2[[#This Row],[LENGTH(m.)
(Actual)]]</f>
        <v>0.35</v>
      </c>
      <c r="R675" s="2"/>
      <c r="S675" s="7">
        <f>Table2[[#This Row],[N]]+Table2[[#This Row],[Pile 
Deviation 
N (m)]]</f>
        <v>1511758.7930000001</v>
      </c>
      <c r="T675" s="7">
        <f>Table2[[#This Row],[E]]+Table2[[#This Row],[Pile 
Deviation 
E (m)]]</f>
        <v>694037.19099999999</v>
      </c>
      <c r="W675" s="7">
        <v>-0.15</v>
      </c>
      <c r="X675" s="2" t="s">
        <v>42</v>
      </c>
      <c r="AA675" s="9">
        <v>46200</v>
      </c>
    </row>
    <row r="676" spans="1:27" x14ac:dyDescent="0.65">
      <c r="A676">
        <v>674</v>
      </c>
      <c r="B676" t="s">
        <v>29</v>
      </c>
      <c r="C676" s="6">
        <v>1511759.2479999999</v>
      </c>
      <c r="D676" s="6">
        <v>694039.44200000004</v>
      </c>
      <c r="E676" s="2" t="s">
        <v>41</v>
      </c>
      <c r="F676" s="1">
        <v>26</v>
      </c>
      <c r="G676" s="2" t="s">
        <v>48</v>
      </c>
      <c r="J676"/>
      <c r="K676" s="19"/>
      <c r="L676" s="21"/>
      <c r="M676" s="27"/>
      <c r="N676" s="19"/>
      <c r="O676" s="21"/>
      <c r="P676" s="7">
        <v>0.35</v>
      </c>
      <c r="Q676" s="7">
        <f>Table2[[#This Row],[Elevation
PILE TOP]]-Table2[[#This Row],[LENGTH(m.)
(Actual)]]</f>
        <v>0.35</v>
      </c>
      <c r="R676" s="2"/>
      <c r="S676" s="7">
        <f>Table2[[#This Row],[N]]+Table2[[#This Row],[Pile 
Deviation 
N (m)]]</f>
        <v>1511759.2479999999</v>
      </c>
      <c r="T676" s="7">
        <f>Table2[[#This Row],[E]]+Table2[[#This Row],[Pile 
Deviation 
E (m)]]</f>
        <v>694039.44200000004</v>
      </c>
      <c r="W676" s="7">
        <v>-0.15</v>
      </c>
      <c r="X676" s="2" t="s">
        <v>42</v>
      </c>
      <c r="AA676" s="9">
        <v>46202</v>
      </c>
    </row>
    <row r="677" spans="1:27" ht="13.95" customHeight="1" x14ac:dyDescent="0.65">
      <c r="A677">
        <v>675</v>
      </c>
      <c r="B677" t="s">
        <v>29</v>
      </c>
      <c r="C677" s="6">
        <v>1511757.9779999999</v>
      </c>
      <c r="D677" s="6">
        <v>694041.35400000005</v>
      </c>
      <c r="E677" s="2" t="s">
        <v>41</v>
      </c>
      <c r="F677" s="1">
        <v>26</v>
      </c>
      <c r="G677" s="2" t="s">
        <v>48</v>
      </c>
      <c r="J677"/>
      <c r="K677" s="19"/>
      <c r="L677" s="21"/>
      <c r="M677" s="27"/>
      <c r="N677" s="19"/>
      <c r="O677" s="21"/>
      <c r="P677" s="7">
        <v>0.35</v>
      </c>
      <c r="Q677" s="7">
        <f>Table2[[#This Row],[Elevation
PILE TOP]]-Table2[[#This Row],[LENGTH(m.)
(Actual)]]</f>
        <v>0.35</v>
      </c>
      <c r="R677" s="2"/>
      <c r="S677" s="7">
        <f>Table2[[#This Row],[N]]+Table2[[#This Row],[Pile 
Deviation 
N (m)]]</f>
        <v>1511757.9779999999</v>
      </c>
      <c r="T677" s="7">
        <f>Table2[[#This Row],[E]]+Table2[[#This Row],[Pile 
Deviation 
E (m)]]</f>
        <v>694041.35400000005</v>
      </c>
      <c r="W677" s="7">
        <v>-0.15</v>
      </c>
      <c r="X677" s="2" t="s">
        <v>42</v>
      </c>
      <c r="AA677" s="9">
        <v>46202</v>
      </c>
    </row>
    <row r="678" spans="1:27" x14ac:dyDescent="0.65">
      <c r="A678">
        <v>676</v>
      </c>
      <c r="B678" t="s">
        <v>29</v>
      </c>
      <c r="C678" s="6">
        <v>1511755.727</v>
      </c>
      <c r="D678" s="6">
        <v>694041.80900000001</v>
      </c>
      <c r="E678" s="2" t="s">
        <v>41</v>
      </c>
      <c r="F678" s="1">
        <v>26</v>
      </c>
      <c r="G678" s="2" t="s">
        <v>48</v>
      </c>
      <c r="J678"/>
      <c r="K678" s="19"/>
      <c r="L678" s="21"/>
      <c r="M678" s="27"/>
      <c r="N678" s="19"/>
      <c r="O678" s="21"/>
      <c r="P678" s="7">
        <v>0.35</v>
      </c>
      <c r="Q678" s="7">
        <f>Table2[[#This Row],[Elevation
PILE TOP]]-Table2[[#This Row],[LENGTH(m.)
(Actual)]]</f>
        <v>0.35</v>
      </c>
      <c r="R678" s="2"/>
      <c r="S678" s="7">
        <f>Table2[[#This Row],[N]]+Table2[[#This Row],[Pile 
Deviation 
N (m)]]</f>
        <v>1511755.727</v>
      </c>
      <c r="T678" s="7">
        <f>Table2[[#This Row],[E]]+Table2[[#This Row],[Pile 
Deviation 
E (m)]]</f>
        <v>694041.80900000001</v>
      </c>
      <c r="W678" s="7">
        <v>-0.15</v>
      </c>
      <c r="X678" s="2" t="s">
        <v>42</v>
      </c>
      <c r="AA678" s="9">
        <v>46202</v>
      </c>
    </row>
    <row r="679" spans="1:27" ht="13.95" customHeight="1" x14ac:dyDescent="0.65">
      <c r="A679">
        <v>677</v>
      </c>
      <c r="B679" t="s">
        <v>29</v>
      </c>
      <c r="C679" s="6">
        <v>1511753.814</v>
      </c>
      <c r="D679" s="6">
        <v>694040.53899999999</v>
      </c>
      <c r="E679" s="2" t="s">
        <v>41</v>
      </c>
      <c r="F679" s="1">
        <v>26</v>
      </c>
      <c r="G679" s="2" t="s">
        <v>48</v>
      </c>
      <c r="J679"/>
      <c r="K679" s="19"/>
      <c r="L679" s="21"/>
      <c r="M679" s="27"/>
      <c r="N679" s="19"/>
      <c r="O679" s="21"/>
      <c r="P679" s="7">
        <v>0.35</v>
      </c>
      <c r="Q679" s="7">
        <f>Table2[[#This Row],[Elevation
PILE TOP]]-Table2[[#This Row],[LENGTH(m.)
(Actual)]]</f>
        <v>0.35</v>
      </c>
      <c r="R679" s="2"/>
      <c r="S679" s="7">
        <f>Table2[[#This Row],[N]]+Table2[[#This Row],[Pile 
Deviation 
N (m)]]</f>
        <v>1511753.814</v>
      </c>
      <c r="T679" s="7">
        <f>Table2[[#This Row],[E]]+Table2[[#This Row],[Pile 
Deviation 
E (m)]]</f>
        <v>694040.53899999999</v>
      </c>
      <c r="W679" s="7">
        <v>-0.15</v>
      </c>
      <c r="X679" s="2" t="s">
        <v>42</v>
      </c>
      <c r="AA679" s="9">
        <v>46202</v>
      </c>
    </row>
    <row r="680" spans="1:27" x14ac:dyDescent="0.65">
      <c r="A680">
        <v>678</v>
      </c>
      <c r="B680" t="s">
        <v>29</v>
      </c>
      <c r="C680" s="6">
        <v>1511753.36</v>
      </c>
      <c r="D680" s="6">
        <v>694038.28799999994</v>
      </c>
      <c r="E680" s="2" t="s">
        <v>41</v>
      </c>
      <c r="F680" s="1">
        <v>26</v>
      </c>
      <c r="G680" s="2" t="s">
        <v>48</v>
      </c>
      <c r="J680"/>
      <c r="K680" s="19"/>
      <c r="L680" s="21"/>
      <c r="M680" s="27"/>
      <c r="N680" s="19"/>
      <c r="O680" s="21"/>
      <c r="P680" s="7">
        <v>0.35</v>
      </c>
      <c r="Q680" s="7">
        <f>Table2[[#This Row],[Elevation
PILE TOP]]-Table2[[#This Row],[LENGTH(m.)
(Actual)]]</f>
        <v>0.35</v>
      </c>
      <c r="R680" s="2"/>
      <c r="S680" s="7">
        <f>Table2[[#This Row],[N]]+Table2[[#This Row],[Pile 
Deviation 
N (m)]]</f>
        <v>1511753.36</v>
      </c>
      <c r="T680" s="7">
        <f>Table2[[#This Row],[E]]+Table2[[#This Row],[Pile 
Deviation 
E (m)]]</f>
        <v>694038.28799999994</v>
      </c>
      <c r="W680" s="7">
        <v>-0.15</v>
      </c>
      <c r="X680" s="2" t="s">
        <v>42</v>
      </c>
      <c r="AA680" s="9">
        <v>46203</v>
      </c>
    </row>
    <row r="681" spans="1:27" ht="13.95" customHeight="1" x14ac:dyDescent="0.65">
      <c r="A681">
        <v>679</v>
      </c>
      <c r="B681" t="s">
        <v>29</v>
      </c>
      <c r="C681" s="6">
        <v>1511754.63</v>
      </c>
      <c r="D681" s="6">
        <v>694036.375</v>
      </c>
      <c r="E681" s="2" t="s">
        <v>41</v>
      </c>
      <c r="F681" s="1">
        <v>26</v>
      </c>
      <c r="G681" s="2" t="s">
        <v>48</v>
      </c>
      <c r="J681"/>
      <c r="K681" s="19"/>
      <c r="L681" s="21"/>
      <c r="M681" s="27"/>
      <c r="N681" s="19"/>
      <c r="O681" s="21"/>
      <c r="P681" s="7">
        <v>0.35</v>
      </c>
      <c r="Q681" s="7">
        <f>Table2[[#This Row],[Elevation
PILE TOP]]-Table2[[#This Row],[LENGTH(m.)
(Actual)]]</f>
        <v>0.35</v>
      </c>
      <c r="R681" s="2"/>
      <c r="S681" s="7">
        <f>Table2[[#This Row],[N]]+Table2[[#This Row],[Pile 
Deviation 
N (m)]]</f>
        <v>1511754.63</v>
      </c>
      <c r="T681" s="7">
        <f>Table2[[#This Row],[E]]+Table2[[#This Row],[Pile 
Deviation 
E (m)]]</f>
        <v>694036.375</v>
      </c>
      <c r="W681" s="7">
        <v>-0.15</v>
      </c>
      <c r="X681" s="2" t="s">
        <v>42</v>
      </c>
      <c r="AA681" s="9">
        <v>46203</v>
      </c>
    </row>
    <row r="682" spans="1:27" x14ac:dyDescent="0.65">
      <c r="A682">
        <v>680</v>
      </c>
      <c r="B682" t="s">
        <v>29</v>
      </c>
      <c r="C682" s="6">
        <v>1511756.281</v>
      </c>
      <c r="D682" s="6">
        <v>694038.76599999995</v>
      </c>
      <c r="E682" s="2" t="s">
        <v>35</v>
      </c>
      <c r="F682" s="1">
        <v>24</v>
      </c>
      <c r="G682" s="2" t="s">
        <v>48</v>
      </c>
      <c r="J682"/>
      <c r="K682" s="19"/>
      <c r="L682" s="21"/>
      <c r="M682" s="27"/>
      <c r="N682" s="19"/>
      <c r="O682" s="21"/>
      <c r="P682" s="7">
        <v>0.28999999999999998</v>
      </c>
      <c r="Q682" s="7">
        <f>Table2[[#This Row],[Elevation
PILE TOP]]-Table2[[#This Row],[LENGTH(m.)
(Actual)]]</f>
        <v>0.28999999999999998</v>
      </c>
      <c r="R682" s="2"/>
      <c r="S682" s="7">
        <f>Table2[[#This Row],[N]]+Table2[[#This Row],[Pile 
Deviation 
N (m)]]</f>
        <v>1511756.281</v>
      </c>
      <c r="T682" s="7">
        <f>Table2[[#This Row],[E]]+Table2[[#This Row],[Pile 
Deviation 
E (m)]]</f>
        <v>694038.76599999995</v>
      </c>
      <c r="W682" s="7">
        <v>0.28999999999999998</v>
      </c>
      <c r="X682" s="2" t="s">
        <v>40</v>
      </c>
      <c r="AA682" s="9">
        <v>46200</v>
      </c>
    </row>
    <row r="683" spans="1:27" ht="13.95" customHeight="1" x14ac:dyDescent="0.65">
      <c r="A683">
        <v>681</v>
      </c>
      <c r="B683" t="s">
        <v>29</v>
      </c>
      <c r="C683" s="6">
        <v>1511756.875</v>
      </c>
      <c r="D683" s="6">
        <v>694041.70600000001</v>
      </c>
      <c r="E683" s="2" t="s">
        <v>35</v>
      </c>
      <c r="F683" s="1">
        <v>24</v>
      </c>
      <c r="G683" s="2" t="s">
        <v>48</v>
      </c>
      <c r="J683"/>
      <c r="K683" s="19"/>
      <c r="L683" s="21"/>
      <c r="M683" s="27"/>
      <c r="N683" s="19"/>
      <c r="O683" s="21"/>
      <c r="P683" s="7">
        <v>0.28999999999999998</v>
      </c>
      <c r="Q683" s="7">
        <f>Table2[[#This Row],[Elevation
PILE TOP]]-Table2[[#This Row],[LENGTH(m.)
(Actual)]]</f>
        <v>0.28999999999999998</v>
      </c>
      <c r="R683" s="2"/>
      <c r="S683" s="7">
        <f>Table2[[#This Row],[N]]+Table2[[#This Row],[Pile 
Deviation 
N (m)]]</f>
        <v>1511756.875</v>
      </c>
      <c r="T683" s="7">
        <f>Table2[[#This Row],[E]]+Table2[[#This Row],[Pile 
Deviation 
E (m)]]</f>
        <v>694041.70600000001</v>
      </c>
      <c r="W683" s="7">
        <v>0.28999999999999998</v>
      </c>
      <c r="X683" s="2" t="s">
        <v>40</v>
      </c>
      <c r="AA683" s="9">
        <v>46202</v>
      </c>
    </row>
    <row r="684" spans="1:27" hidden="1" x14ac:dyDescent="0.65">
      <c r="A684">
        <v>682</v>
      </c>
      <c r="B684" t="s">
        <v>29</v>
      </c>
      <c r="C684" s="6">
        <v>1511748.2220000001</v>
      </c>
      <c r="D684" s="6">
        <v>694004.89500000002</v>
      </c>
      <c r="E684" s="2" t="s">
        <v>30</v>
      </c>
      <c r="F684" s="1">
        <v>24</v>
      </c>
      <c r="G684" s="2" t="s">
        <v>48</v>
      </c>
      <c r="J684"/>
      <c r="K684" s="19"/>
      <c r="L684" s="21"/>
      <c r="M684" s="27"/>
      <c r="N684" s="19"/>
      <c r="O684" s="21"/>
      <c r="P684" s="7">
        <v>-0.17499999999999999</v>
      </c>
      <c r="Q684" s="7">
        <f>Table2[[#This Row],[Elevation
PILE TOP]]-Table2[[#This Row],[LENGTH(m.)
(Actual)]]</f>
        <v>-0.17499999999999999</v>
      </c>
      <c r="R684" s="2"/>
      <c r="S684" s="7">
        <f>Table2[[#This Row],[N]]+Table2[[#This Row],[Pile 
Deviation 
N (m)]]</f>
        <v>1511748.2220000001</v>
      </c>
      <c r="T684" s="7">
        <f>Table2[[#This Row],[E]]+Table2[[#This Row],[Pile 
Deviation 
E (m)]]</f>
        <v>694004.89500000002</v>
      </c>
      <c r="W684" s="7">
        <v>-0.67500000000000004</v>
      </c>
      <c r="X684" s="2" t="s">
        <v>33</v>
      </c>
      <c r="AA684" s="9">
        <v>46213</v>
      </c>
    </row>
    <row r="685" spans="1:27" ht="13.95" hidden="1" customHeight="1" x14ac:dyDescent="0.65">
      <c r="A685">
        <v>683</v>
      </c>
      <c r="B685" t="s">
        <v>29</v>
      </c>
      <c r="C685" s="6">
        <v>1511748.4010000001</v>
      </c>
      <c r="D685" s="6">
        <v>694005.777</v>
      </c>
      <c r="E685" s="2" t="s">
        <v>30</v>
      </c>
      <c r="F685" s="1">
        <v>24</v>
      </c>
      <c r="G685" s="2" t="s">
        <v>48</v>
      </c>
      <c r="J685"/>
      <c r="K685" s="19"/>
      <c r="L685" s="21"/>
      <c r="M685" s="27"/>
      <c r="N685" s="19"/>
      <c r="O685" s="21"/>
      <c r="P685" s="7">
        <v>-0.17499999999999999</v>
      </c>
      <c r="Q685" s="7">
        <f>Table2[[#This Row],[Elevation
PILE TOP]]-Table2[[#This Row],[LENGTH(m.)
(Actual)]]</f>
        <v>-0.17499999999999999</v>
      </c>
      <c r="R685" s="2"/>
      <c r="S685" s="7">
        <f>Table2[[#This Row],[N]]+Table2[[#This Row],[Pile 
Deviation 
N (m)]]</f>
        <v>1511748.4010000001</v>
      </c>
      <c r="T685" s="7">
        <f>Table2[[#This Row],[E]]+Table2[[#This Row],[Pile 
Deviation 
E (m)]]</f>
        <v>694005.777</v>
      </c>
      <c r="W685" s="7">
        <v>-0.67500000000000004</v>
      </c>
      <c r="X685" s="2" t="s">
        <v>33</v>
      </c>
      <c r="AA685" s="9">
        <v>46213</v>
      </c>
    </row>
    <row r="686" spans="1:27" hidden="1" x14ac:dyDescent="0.65">
      <c r="A686">
        <v>684</v>
      </c>
      <c r="B686" t="s">
        <v>29</v>
      </c>
      <c r="C686" s="6">
        <v>1511747.4380000001</v>
      </c>
      <c r="D686" s="6">
        <v>694005.05299999996</v>
      </c>
      <c r="E686" s="2" t="s">
        <v>30</v>
      </c>
      <c r="F686" s="1">
        <v>24</v>
      </c>
      <c r="G686" s="2" t="s">
        <v>48</v>
      </c>
      <c r="J686"/>
      <c r="K686" s="19"/>
      <c r="L686" s="21"/>
      <c r="M686" s="27"/>
      <c r="N686" s="19"/>
      <c r="O686" s="21"/>
      <c r="P686" s="7">
        <v>-0.17499999999999999</v>
      </c>
      <c r="Q686" s="7">
        <f>Table2[[#This Row],[Elevation
PILE TOP]]-Table2[[#This Row],[LENGTH(m.)
(Actual)]]</f>
        <v>-0.17499999999999999</v>
      </c>
      <c r="R686" s="2"/>
      <c r="S686" s="7">
        <f>Table2[[#This Row],[N]]+Table2[[#This Row],[Pile 
Deviation 
N (m)]]</f>
        <v>1511747.4380000001</v>
      </c>
      <c r="T686" s="7">
        <f>Table2[[#This Row],[E]]+Table2[[#This Row],[Pile 
Deviation 
E (m)]]</f>
        <v>694005.05299999996</v>
      </c>
      <c r="W686" s="7">
        <v>-0.67500000000000004</v>
      </c>
      <c r="X686" s="2" t="s">
        <v>33</v>
      </c>
      <c r="AA686" s="9">
        <v>46213</v>
      </c>
    </row>
    <row r="687" spans="1:27" ht="13.95" hidden="1" customHeight="1" x14ac:dyDescent="0.65">
      <c r="A687">
        <v>685</v>
      </c>
      <c r="B687" t="s">
        <v>29</v>
      </c>
      <c r="C687" s="6">
        <v>1511747.6159999999</v>
      </c>
      <c r="D687" s="6">
        <v>694005.93599999999</v>
      </c>
      <c r="E687" s="2" t="s">
        <v>30</v>
      </c>
      <c r="F687" s="1">
        <v>24</v>
      </c>
      <c r="G687" s="2" t="s">
        <v>48</v>
      </c>
      <c r="J687"/>
      <c r="K687" s="19"/>
      <c r="L687" s="21"/>
      <c r="M687" s="27"/>
      <c r="N687" s="19"/>
      <c r="O687" s="21"/>
      <c r="P687" s="7">
        <v>-0.17499999999999999</v>
      </c>
      <c r="Q687" s="7">
        <f>Table2[[#This Row],[Elevation
PILE TOP]]-Table2[[#This Row],[LENGTH(m.)
(Actual)]]</f>
        <v>-0.17499999999999999</v>
      </c>
      <c r="R687" s="2"/>
      <c r="S687" s="7">
        <f>Table2[[#This Row],[N]]+Table2[[#This Row],[Pile 
Deviation 
N (m)]]</f>
        <v>1511747.6159999999</v>
      </c>
      <c r="T687" s="7">
        <f>Table2[[#This Row],[E]]+Table2[[#This Row],[Pile 
Deviation 
E (m)]]</f>
        <v>694005.93599999999</v>
      </c>
      <c r="W687" s="7">
        <v>-0.67500000000000004</v>
      </c>
      <c r="X687" s="2" t="s">
        <v>33</v>
      </c>
      <c r="AA687" s="9">
        <v>46213</v>
      </c>
    </row>
    <row r="688" spans="1:27" hidden="1" x14ac:dyDescent="0.65">
      <c r="A688">
        <v>686</v>
      </c>
      <c r="B688" t="s">
        <v>29</v>
      </c>
      <c r="C688" s="6">
        <v>1511746.534</v>
      </c>
      <c r="D688" s="6">
        <v>694007.68</v>
      </c>
      <c r="E688" s="2" t="s">
        <v>35</v>
      </c>
      <c r="F688" s="1">
        <v>24</v>
      </c>
      <c r="G688" s="2" t="s">
        <v>48</v>
      </c>
      <c r="J688"/>
      <c r="K688" s="19"/>
      <c r="L688" s="21"/>
      <c r="M688" s="27"/>
      <c r="N688" s="19"/>
      <c r="O688" s="21"/>
      <c r="P688" s="7">
        <v>0.28999999999999998</v>
      </c>
      <c r="Q688" s="7">
        <f>Table2[[#This Row],[Elevation
PILE TOP]]-Table2[[#This Row],[LENGTH(m.)
(Actual)]]</f>
        <v>0.28999999999999998</v>
      </c>
      <c r="R688" s="2"/>
      <c r="S688" s="7">
        <f>Table2[[#This Row],[N]]+Table2[[#This Row],[Pile 
Deviation 
N (m)]]</f>
        <v>1511746.534</v>
      </c>
      <c r="T688" s="7">
        <f>Table2[[#This Row],[E]]+Table2[[#This Row],[Pile 
Deviation 
E (m)]]</f>
        <v>694007.68</v>
      </c>
      <c r="W688" s="7">
        <v>0.28999999999999998</v>
      </c>
      <c r="X688" s="2" t="s">
        <v>40</v>
      </c>
      <c r="AA688" s="9">
        <v>46210</v>
      </c>
    </row>
    <row r="689" spans="1:27" ht="13.95" hidden="1" customHeight="1" x14ac:dyDescent="0.65">
      <c r="A689">
        <v>687</v>
      </c>
      <c r="B689" t="s">
        <v>29</v>
      </c>
      <c r="C689" s="6">
        <v>1511747.128</v>
      </c>
      <c r="D689" s="6">
        <v>694010.62100000004</v>
      </c>
      <c r="E689" s="2" t="s">
        <v>35</v>
      </c>
      <c r="F689" s="1">
        <v>24</v>
      </c>
      <c r="G689" s="2" t="s">
        <v>48</v>
      </c>
      <c r="J689"/>
      <c r="K689" s="19"/>
      <c r="L689" s="21"/>
      <c r="M689" s="27"/>
      <c r="N689" s="19"/>
      <c r="O689" s="21"/>
      <c r="P689" s="7">
        <v>0.28999999999999998</v>
      </c>
      <c r="Q689" s="7">
        <f>Table2[[#This Row],[Elevation
PILE TOP]]-Table2[[#This Row],[LENGTH(m.)
(Actual)]]</f>
        <v>0.28999999999999998</v>
      </c>
      <c r="R689" s="2"/>
      <c r="S689" s="7">
        <f>Table2[[#This Row],[N]]+Table2[[#This Row],[Pile 
Deviation 
N (m)]]</f>
        <v>1511747.128</v>
      </c>
      <c r="T689" s="7">
        <f>Table2[[#This Row],[E]]+Table2[[#This Row],[Pile 
Deviation 
E (m)]]</f>
        <v>694010.62100000004</v>
      </c>
      <c r="W689" s="7">
        <v>0.28999999999999998</v>
      </c>
      <c r="X689" s="2" t="s">
        <v>40</v>
      </c>
      <c r="AA689" s="9">
        <v>46211</v>
      </c>
    </row>
    <row r="690" spans="1:27" hidden="1" x14ac:dyDescent="0.65">
      <c r="A690">
        <v>688</v>
      </c>
      <c r="B690" t="s">
        <v>29</v>
      </c>
      <c r="C690" s="6">
        <v>1511747.801</v>
      </c>
      <c r="D690" s="6">
        <v>694013.95299999998</v>
      </c>
      <c r="E690" s="2" t="s">
        <v>35</v>
      </c>
      <c r="F690" s="1">
        <v>24</v>
      </c>
      <c r="G690" s="2" t="s">
        <v>48</v>
      </c>
      <c r="J690"/>
      <c r="K690" s="19"/>
      <c r="L690" s="21"/>
      <c r="M690" s="27"/>
      <c r="N690" s="19"/>
      <c r="O690" s="21"/>
      <c r="P690" s="7">
        <v>0.28999999999999998</v>
      </c>
      <c r="Q690" s="7">
        <f>Table2[[#This Row],[Elevation
PILE TOP]]-Table2[[#This Row],[LENGTH(m.)
(Actual)]]</f>
        <v>0.28999999999999998</v>
      </c>
      <c r="R690" s="2"/>
      <c r="S690" s="7">
        <f>Table2[[#This Row],[N]]+Table2[[#This Row],[Pile 
Deviation 
N (m)]]</f>
        <v>1511747.801</v>
      </c>
      <c r="T690" s="7">
        <f>Table2[[#This Row],[E]]+Table2[[#This Row],[Pile 
Deviation 
E (m)]]</f>
        <v>694013.95299999998</v>
      </c>
      <c r="W690" s="7">
        <v>0.28999999999999998</v>
      </c>
      <c r="X690" s="2" t="s">
        <v>40</v>
      </c>
      <c r="AA690" s="9">
        <v>46211</v>
      </c>
    </row>
    <row r="691" spans="1:27" ht="13.95" hidden="1" customHeight="1" x14ac:dyDescent="0.65">
      <c r="A691">
        <v>689</v>
      </c>
      <c r="B691" t="s">
        <v>29</v>
      </c>
      <c r="C691" s="6">
        <v>1511748.4739999999</v>
      </c>
      <c r="D691" s="6">
        <v>694017.28599999996</v>
      </c>
      <c r="E691" s="2" t="s">
        <v>35</v>
      </c>
      <c r="F691" s="1">
        <v>24</v>
      </c>
      <c r="G691" s="2" t="s">
        <v>48</v>
      </c>
      <c r="J691"/>
      <c r="K691" s="19"/>
      <c r="L691" s="21"/>
      <c r="M691" s="27"/>
      <c r="N691" s="19"/>
      <c r="O691" s="21"/>
      <c r="P691" s="7">
        <v>0.28999999999999998</v>
      </c>
      <c r="Q691" s="7">
        <f>Table2[[#This Row],[Elevation
PILE TOP]]-Table2[[#This Row],[LENGTH(m.)
(Actual)]]</f>
        <v>0.28999999999999998</v>
      </c>
      <c r="R691" s="2"/>
      <c r="S691" s="7">
        <f>Table2[[#This Row],[N]]+Table2[[#This Row],[Pile 
Deviation 
N (m)]]</f>
        <v>1511748.4739999999</v>
      </c>
      <c r="T691" s="7">
        <f>Table2[[#This Row],[E]]+Table2[[#This Row],[Pile 
Deviation 
E (m)]]</f>
        <v>694017.28599999996</v>
      </c>
      <c r="W691" s="7">
        <v>0.28999999999999998</v>
      </c>
      <c r="X691" s="2" t="s">
        <v>40</v>
      </c>
      <c r="AA691" s="9">
        <v>46212</v>
      </c>
    </row>
    <row r="692" spans="1:27" hidden="1" x14ac:dyDescent="0.65">
      <c r="A692">
        <v>690</v>
      </c>
      <c r="B692" t="s">
        <v>29</v>
      </c>
      <c r="C692" s="6">
        <v>1511749.1470000001</v>
      </c>
      <c r="D692" s="6">
        <v>694020.61899999995</v>
      </c>
      <c r="E692" s="2" t="s">
        <v>35</v>
      </c>
      <c r="F692" s="1">
        <v>24</v>
      </c>
      <c r="G692" s="2" t="s">
        <v>48</v>
      </c>
      <c r="J692"/>
      <c r="K692" s="19"/>
      <c r="L692" s="21"/>
      <c r="M692" s="27"/>
      <c r="N692" s="19"/>
      <c r="O692" s="21"/>
      <c r="P692" s="7">
        <v>0.28999999999999998</v>
      </c>
      <c r="Q692" s="7">
        <f>Table2[[#This Row],[Elevation
PILE TOP]]-Table2[[#This Row],[LENGTH(m.)
(Actual)]]</f>
        <v>0.28999999999999998</v>
      </c>
      <c r="R692" s="2"/>
      <c r="S692" s="7">
        <f>Table2[[#This Row],[N]]+Table2[[#This Row],[Pile 
Deviation 
N (m)]]</f>
        <v>1511749.1470000001</v>
      </c>
      <c r="T692" s="7">
        <f>Table2[[#This Row],[E]]+Table2[[#This Row],[Pile 
Deviation 
E (m)]]</f>
        <v>694020.61899999995</v>
      </c>
      <c r="W692" s="7">
        <v>0.28999999999999998</v>
      </c>
      <c r="X692" s="2" t="s">
        <v>40</v>
      </c>
      <c r="AA692" s="9">
        <v>46213</v>
      </c>
    </row>
    <row r="693" spans="1:27" ht="13.95" hidden="1" customHeight="1" x14ac:dyDescent="0.65">
      <c r="A693">
        <v>691</v>
      </c>
      <c r="B693" t="s">
        <v>29</v>
      </c>
      <c r="C693" s="6">
        <v>1511749.821</v>
      </c>
      <c r="D693" s="6">
        <v>694023.951</v>
      </c>
      <c r="E693" s="2" t="s">
        <v>35</v>
      </c>
      <c r="F693" s="1">
        <v>24</v>
      </c>
      <c r="G693" s="2" t="s">
        <v>48</v>
      </c>
      <c r="J693"/>
      <c r="K693" s="19"/>
      <c r="L693" s="21"/>
      <c r="M693" s="27"/>
      <c r="N693" s="19"/>
      <c r="O693" s="21"/>
      <c r="P693" s="7">
        <v>0.28999999999999998</v>
      </c>
      <c r="Q693" s="7">
        <f>Table2[[#This Row],[Elevation
PILE TOP]]-Table2[[#This Row],[LENGTH(m.)
(Actual)]]</f>
        <v>0.28999999999999998</v>
      </c>
      <c r="R693" s="2"/>
      <c r="S693" s="7">
        <f>Table2[[#This Row],[N]]+Table2[[#This Row],[Pile 
Deviation 
N (m)]]</f>
        <v>1511749.821</v>
      </c>
      <c r="T693" s="7">
        <f>Table2[[#This Row],[E]]+Table2[[#This Row],[Pile 
Deviation 
E (m)]]</f>
        <v>694023.951</v>
      </c>
      <c r="W693" s="7">
        <v>0.28999999999999998</v>
      </c>
      <c r="X693" s="2" t="s">
        <v>40</v>
      </c>
      <c r="AA693" s="9">
        <v>46214</v>
      </c>
    </row>
    <row r="694" spans="1:27" hidden="1" x14ac:dyDescent="0.65">
      <c r="A694">
        <v>692</v>
      </c>
      <c r="B694" t="s">
        <v>29</v>
      </c>
      <c r="C694" s="6">
        <v>1511750.4140000001</v>
      </c>
      <c r="D694" s="6">
        <v>694026.89199999999</v>
      </c>
      <c r="E694" s="2" t="s">
        <v>35</v>
      </c>
      <c r="F694" s="1">
        <v>24</v>
      </c>
      <c r="G694" s="2" t="s">
        <v>48</v>
      </c>
      <c r="J694"/>
      <c r="K694" s="19"/>
      <c r="L694" s="21"/>
      <c r="M694" s="27"/>
      <c r="N694" s="19"/>
      <c r="O694" s="21"/>
      <c r="P694" s="7">
        <v>0.28999999999999998</v>
      </c>
      <c r="Q694" s="7">
        <f>Table2[[#This Row],[Elevation
PILE TOP]]-Table2[[#This Row],[LENGTH(m.)
(Actual)]]</f>
        <v>0.28999999999999998</v>
      </c>
      <c r="R694" s="2"/>
      <c r="S694" s="7">
        <f>Table2[[#This Row],[N]]+Table2[[#This Row],[Pile 
Deviation 
N (m)]]</f>
        <v>1511750.4140000001</v>
      </c>
      <c r="T694" s="7">
        <f>Table2[[#This Row],[E]]+Table2[[#This Row],[Pile 
Deviation 
E (m)]]</f>
        <v>694026.89199999999</v>
      </c>
      <c r="W694" s="7">
        <v>0.28999999999999998</v>
      </c>
      <c r="X694" s="2" t="s">
        <v>40</v>
      </c>
      <c r="AA694" s="9">
        <v>46214</v>
      </c>
    </row>
    <row r="695" spans="1:27" ht="13.95" hidden="1" customHeight="1" x14ac:dyDescent="0.65">
      <c r="A695">
        <v>693</v>
      </c>
      <c r="B695" t="s">
        <v>29</v>
      </c>
      <c r="C695" s="6">
        <v>1511751.0079999999</v>
      </c>
      <c r="D695" s="6">
        <v>694029.83299999998</v>
      </c>
      <c r="E695" s="2" t="s">
        <v>35</v>
      </c>
      <c r="F695" s="1">
        <v>24</v>
      </c>
      <c r="G695" s="2" t="s">
        <v>48</v>
      </c>
      <c r="J695"/>
      <c r="K695" s="19"/>
      <c r="L695" s="21"/>
      <c r="M695" s="27"/>
      <c r="N695" s="19"/>
      <c r="O695" s="21"/>
      <c r="P695" s="7">
        <v>0.28999999999999998</v>
      </c>
      <c r="Q695" s="7">
        <f>Table2[[#This Row],[Elevation
PILE TOP]]-Table2[[#This Row],[LENGTH(m.)
(Actual)]]</f>
        <v>0.28999999999999998</v>
      </c>
      <c r="R695" s="2"/>
      <c r="S695" s="7">
        <f>Table2[[#This Row],[N]]+Table2[[#This Row],[Pile 
Deviation 
N (m)]]</f>
        <v>1511751.0079999999</v>
      </c>
      <c r="T695" s="7">
        <f>Table2[[#This Row],[E]]+Table2[[#This Row],[Pile 
Deviation 
E (m)]]</f>
        <v>694029.83299999998</v>
      </c>
      <c r="W695" s="7">
        <v>0.28999999999999998</v>
      </c>
      <c r="X695" s="2" t="s">
        <v>40</v>
      </c>
      <c r="AA695" s="9">
        <v>46204</v>
      </c>
    </row>
    <row r="696" spans="1:27" hidden="1" x14ac:dyDescent="0.65">
      <c r="A696">
        <v>694</v>
      </c>
      <c r="B696" t="s">
        <v>29</v>
      </c>
      <c r="C696" s="6">
        <v>1511751.602</v>
      </c>
      <c r="D696" s="6">
        <v>694032.77300000004</v>
      </c>
      <c r="E696" s="2" t="s">
        <v>35</v>
      </c>
      <c r="F696" s="1">
        <v>24</v>
      </c>
      <c r="G696" s="2" t="s">
        <v>48</v>
      </c>
      <c r="J696"/>
      <c r="K696" s="19"/>
      <c r="L696" s="21"/>
      <c r="M696" s="27"/>
      <c r="N696" s="19"/>
      <c r="O696" s="21"/>
      <c r="P696" s="7">
        <v>0.28999999999999998</v>
      </c>
      <c r="Q696" s="7">
        <f>Table2[[#This Row],[Elevation
PILE TOP]]-Table2[[#This Row],[LENGTH(m.)
(Actual)]]</f>
        <v>0.28999999999999998</v>
      </c>
      <c r="R696" s="2"/>
      <c r="S696" s="7">
        <f>Table2[[#This Row],[N]]+Table2[[#This Row],[Pile 
Deviation 
N (m)]]</f>
        <v>1511751.602</v>
      </c>
      <c r="T696" s="7">
        <f>Table2[[#This Row],[E]]+Table2[[#This Row],[Pile 
Deviation 
E (m)]]</f>
        <v>694032.77300000004</v>
      </c>
      <c r="W696" s="7">
        <v>0.28999999999999998</v>
      </c>
      <c r="X696" s="2" t="s">
        <v>40</v>
      </c>
      <c r="AA696" s="9">
        <v>46204</v>
      </c>
    </row>
    <row r="697" spans="1:27" ht="13.95" customHeight="1" x14ac:dyDescent="0.65">
      <c r="A697">
        <v>695</v>
      </c>
      <c r="B697" t="s">
        <v>29</v>
      </c>
      <c r="C697" s="6">
        <v>1511752.2749999999</v>
      </c>
      <c r="D697" s="6">
        <v>694036.10600000003</v>
      </c>
      <c r="E697" s="2" t="s">
        <v>35</v>
      </c>
      <c r="F697" s="1">
        <v>24</v>
      </c>
      <c r="G697" s="2" t="s">
        <v>48</v>
      </c>
      <c r="J697"/>
      <c r="K697" s="19"/>
      <c r="L697" s="21"/>
      <c r="M697" s="27"/>
      <c r="N697" s="19"/>
      <c r="O697" s="21"/>
      <c r="P697" s="7">
        <v>0.28999999999999998</v>
      </c>
      <c r="Q697" s="7">
        <f>Table2[[#This Row],[Elevation
PILE TOP]]-Table2[[#This Row],[LENGTH(m.)
(Actual)]]</f>
        <v>0.28999999999999998</v>
      </c>
      <c r="R697" s="2"/>
      <c r="S697" s="7">
        <f>Table2[[#This Row],[N]]+Table2[[#This Row],[Pile 
Deviation 
N (m)]]</f>
        <v>1511752.2749999999</v>
      </c>
      <c r="T697" s="7">
        <f>Table2[[#This Row],[E]]+Table2[[#This Row],[Pile 
Deviation 
E (m)]]</f>
        <v>694036.10600000003</v>
      </c>
      <c r="W697" s="7">
        <v>0.28999999999999998</v>
      </c>
      <c r="X697" s="2" t="s">
        <v>40</v>
      </c>
      <c r="AA697" s="9">
        <v>46203</v>
      </c>
    </row>
    <row r="698" spans="1:27" x14ac:dyDescent="0.65">
      <c r="A698">
        <v>696</v>
      </c>
      <c r="B698" t="s">
        <v>29</v>
      </c>
      <c r="C698" s="6">
        <v>1511752.9480000001</v>
      </c>
      <c r="D698" s="6">
        <v>694039.43900000001</v>
      </c>
      <c r="E698" s="2" t="s">
        <v>35</v>
      </c>
      <c r="F698" s="1">
        <v>24</v>
      </c>
      <c r="G698" s="2" t="s">
        <v>48</v>
      </c>
      <c r="J698"/>
      <c r="K698" s="19"/>
      <c r="L698" s="21"/>
      <c r="M698" s="27"/>
      <c r="N698" s="19"/>
      <c r="O698" s="21"/>
      <c r="P698" s="7">
        <v>0.28999999999999998</v>
      </c>
      <c r="Q698" s="7">
        <f>Table2[[#This Row],[Elevation
PILE TOP]]-Table2[[#This Row],[LENGTH(m.)
(Actual)]]</f>
        <v>0.28999999999999998</v>
      </c>
      <c r="R698" s="2"/>
      <c r="S698" s="7">
        <f>Table2[[#This Row],[N]]+Table2[[#This Row],[Pile 
Deviation 
N (m)]]</f>
        <v>1511752.9480000001</v>
      </c>
      <c r="T698" s="7">
        <f>Table2[[#This Row],[E]]+Table2[[#This Row],[Pile 
Deviation 
E (m)]]</f>
        <v>694039.43900000001</v>
      </c>
      <c r="W698" s="7">
        <v>0.28999999999999998</v>
      </c>
      <c r="X698" s="2" t="s">
        <v>40</v>
      </c>
      <c r="AA698" s="9">
        <v>46203</v>
      </c>
    </row>
    <row r="699" spans="1:27" ht="13.95" customHeight="1" x14ac:dyDescent="0.65">
      <c r="A699">
        <v>697</v>
      </c>
      <c r="B699" t="s">
        <v>29</v>
      </c>
      <c r="C699" s="6">
        <v>1511753.5419999999</v>
      </c>
      <c r="D699" s="6">
        <v>694042.37899999996</v>
      </c>
      <c r="E699" s="2" t="s">
        <v>35</v>
      </c>
      <c r="F699" s="1">
        <v>24</v>
      </c>
      <c r="G699" s="2" t="s">
        <v>48</v>
      </c>
      <c r="J699"/>
      <c r="K699" s="19"/>
      <c r="L699" s="21"/>
      <c r="M699" s="27"/>
      <c r="N699" s="19"/>
      <c r="O699" s="21"/>
      <c r="P699" s="7">
        <v>0.28999999999999998</v>
      </c>
      <c r="Q699" s="7">
        <f>Table2[[#This Row],[Elevation
PILE TOP]]-Table2[[#This Row],[LENGTH(m.)
(Actual)]]</f>
        <v>0.28999999999999998</v>
      </c>
      <c r="R699" s="2"/>
      <c r="S699" s="7">
        <f>Table2[[#This Row],[N]]+Table2[[#This Row],[Pile 
Deviation 
N (m)]]</f>
        <v>1511753.5419999999</v>
      </c>
      <c r="T699" s="7">
        <f>Table2[[#This Row],[E]]+Table2[[#This Row],[Pile 
Deviation 
E (m)]]</f>
        <v>694042.37899999996</v>
      </c>
      <c r="W699" s="7">
        <v>0.28999999999999998</v>
      </c>
      <c r="X699" s="2" t="s">
        <v>40</v>
      </c>
      <c r="AA699" s="9">
        <v>46202</v>
      </c>
    </row>
    <row r="700" spans="1:27" x14ac:dyDescent="0.65">
      <c r="A700">
        <v>698</v>
      </c>
      <c r="B700" t="s">
        <v>29</v>
      </c>
      <c r="C700" s="6">
        <v>1511756.0020000001</v>
      </c>
      <c r="D700" s="6">
        <v>694043.41700000002</v>
      </c>
      <c r="E700" s="2" t="s">
        <v>30</v>
      </c>
      <c r="F700" s="1">
        <v>24</v>
      </c>
      <c r="G700" s="2" t="s">
        <v>48</v>
      </c>
      <c r="J700"/>
      <c r="K700" s="19"/>
      <c r="L700" s="21"/>
      <c r="M700" s="27"/>
      <c r="N700" s="19"/>
      <c r="O700" s="21"/>
      <c r="P700" s="7">
        <v>-0.17499999999999999</v>
      </c>
      <c r="Q700" s="7">
        <f>Table2[[#This Row],[Elevation
PILE TOP]]-Table2[[#This Row],[LENGTH(m.)
(Actual)]]</f>
        <v>-0.17499999999999999</v>
      </c>
      <c r="R700" s="2"/>
      <c r="S700" s="7">
        <f>Table2[[#This Row],[N]]+Table2[[#This Row],[Pile 
Deviation 
N (m)]]</f>
        <v>1511756.0020000001</v>
      </c>
      <c r="T700" s="7">
        <f>Table2[[#This Row],[E]]+Table2[[#This Row],[Pile 
Deviation 
E (m)]]</f>
        <v>694043.41700000002</v>
      </c>
      <c r="W700" s="7">
        <v>-0.67500000000000004</v>
      </c>
      <c r="X700" s="2" t="s">
        <v>33</v>
      </c>
      <c r="AA700" s="9">
        <v>46199</v>
      </c>
    </row>
    <row r="701" spans="1:27" ht="13.95" customHeight="1" x14ac:dyDescent="0.65">
      <c r="A701">
        <v>699</v>
      </c>
      <c r="B701" t="s">
        <v>29</v>
      </c>
      <c r="C701" s="6">
        <v>1511756.18</v>
      </c>
      <c r="D701" s="6">
        <v>694044.3</v>
      </c>
      <c r="E701" s="2" t="s">
        <v>30</v>
      </c>
      <c r="F701" s="1">
        <v>24</v>
      </c>
      <c r="G701" s="2" t="s">
        <v>48</v>
      </c>
      <c r="J701"/>
      <c r="K701" s="19"/>
      <c r="L701" s="21"/>
      <c r="M701" s="27"/>
      <c r="N701" s="19"/>
      <c r="O701" s="21"/>
      <c r="P701" s="7">
        <v>-0.17499999999999999</v>
      </c>
      <c r="Q701" s="7">
        <f>Table2[[#This Row],[Elevation
PILE TOP]]-Table2[[#This Row],[LENGTH(m.)
(Actual)]]</f>
        <v>-0.17499999999999999</v>
      </c>
      <c r="R701" s="2"/>
      <c r="S701" s="7">
        <f>Table2[[#This Row],[N]]+Table2[[#This Row],[Pile 
Deviation 
N (m)]]</f>
        <v>1511756.18</v>
      </c>
      <c r="T701" s="7">
        <f>Table2[[#This Row],[E]]+Table2[[#This Row],[Pile 
Deviation 
E (m)]]</f>
        <v>694044.3</v>
      </c>
      <c r="W701" s="7">
        <v>-0.67500000000000004</v>
      </c>
      <c r="X701" s="2" t="s">
        <v>33</v>
      </c>
      <c r="AA701" s="9">
        <v>46199</v>
      </c>
    </row>
    <row r="702" spans="1:27" x14ac:dyDescent="0.65">
      <c r="A702">
        <v>700</v>
      </c>
      <c r="B702" t="s">
        <v>29</v>
      </c>
      <c r="C702" s="6">
        <v>1511755.2180000001</v>
      </c>
      <c r="D702" s="6">
        <v>694043.576</v>
      </c>
      <c r="E702" s="2" t="s">
        <v>30</v>
      </c>
      <c r="F702" s="1">
        <v>24</v>
      </c>
      <c r="G702" s="2" t="s">
        <v>48</v>
      </c>
      <c r="J702"/>
      <c r="K702" s="19"/>
      <c r="L702" s="21"/>
      <c r="M702" s="27"/>
      <c r="N702" s="19"/>
      <c r="O702" s="21"/>
      <c r="P702" s="7">
        <v>-0.17499999999999999</v>
      </c>
      <c r="Q702" s="7">
        <f>Table2[[#This Row],[Elevation
PILE TOP]]-Table2[[#This Row],[LENGTH(m.)
(Actual)]]</f>
        <v>-0.17499999999999999</v>
      </c>
      <c r="R702" s="2"/>
      <c r="S702" s="7">
        <f>Table2[[#This Row],[N]]+Table2[[#This Row],[Pile 
Deviation 
N (m)]]</f>
        <v>1511755.2180000001</v>
      </c>
      <c r="T702" s="7">
        <f>Table2[[#This Row],[E]]+Table2[[#This Row],[Pile 
Deviation 
E (m)]]</f>
        <v>694043.576</v>
      </c>
      <c r="W702" s="7">
        <v>-0.67500000000000004</v>
      </c>
      <c r="X702" s="2" t="s">
        <v>33</v>
      </c>
      <c r="AA702" s="9">
        <v>46199</v>
      </c>
    </row>
    <row r="703" spans="1:27" ht="13.95" customHeight="1" x14ac:dyDescent="0.65">
      <c r="A703">
        <v>701</v>
      </c>
      <c r="B703" t="s">
        <v>29</v>
      </c>
      <c r="C703" s="6">
        <v>1511755.3959999999</v>
      </c>
      <c r="D703" s="6">
        <v>694044.45799999998</v>
      </c>
      <c r="E703" s="2" t="s">
        <v>30</v>
      </c>
      <c r="F703" s="1">
        <v>24</v>
      </c>
      <c r="G703" s="2" t="s">
        <v>48</v>
      </c>
      <c r="J703"/>
      <c r="K703" s="19"/>
      <c r="L703" s="21"/>
      <c r="M703" s="27"/>
      <c r="N703" s="19"/>
      <c r="O703" s="21"/>
      <c r="P703" s="7">
        <v>-0.17499999999999999</v>
      </c>
      <c r="Q703" s="7">
        <f>Table2[[#This Row],[Elevation
PILE TOP]]-Table2[[#This Row],[LENGTH(m.)
(Actual)]]</f>
        <v>-0.17499999999999999</v>
      </c>
      <c r="R703" s="2"/>
      <c r="S703" s="7">
        <f>Table2[[#This Row],[N]]+Table2[[#This Row],[Pile 
Deviation 
N (m)]]</f>
        <v>1511755.3959999999</v>
      </c>
      <c r="T703" s="7">
        <f>Table2[[#This Row],[E]]+Table2[[#This Row],[Pile 
Deviation 
E (m)]]</f>
        <v>694044.45799999998</v>
      </c>
      <c r="W703" s="7">
        <v>-0.67500000000000004</v>
      </c>
      <c r="X703" s="2" t="s">
        <v>33</v>
      </c>
      <c r="AA703" s="9">
        <v>46199</v>
      </c>
    </row>
    <row r="704" spans="1:27" hidden="1" x14ac:dyDescent="0.65">
      <c r="A704">
        <v>702</v>
      </c>
      <c r="B704" t="s">
        <v>29</v>
      </c>
      <c r="C704" s="6">
        <v>1511742.341</v>
      </c>
      <c r="D704" s="6">
        <v>694006.08299999998</v>
      </c>
      <c r="E704" s="2" t="s">
        <v>30</v>
      </c>
      <c r="F704" s="1">
        <v>24</v>
      </c>
      <c r="G704" s="2" t="s">
        <v>48</v>
      </c>
      <c r="J704"/>
      <c r="K704" s="19"/>
      <c r="L704" s="21"/>
      <c r="M704" s="27"/>
      <c r="N704" s="19"/>
      <c r="O704" s="21"/>
      <c r="P704" s="7">
        <v>-0.17499999999999999</v>
      </c>
      <c r="Q704" s="7">
        <f>Table2[[#This Row],[Elevation
PILE TOP]]-Table2[[#This Row],[LENGTH(m.)
(Actual)]]</f>
        <v>-0.17499999999999999</v>
      </c>
      <c r="R704" s="2"/>
      <c r="S704" s="7">
        <f>Table2[[#This Row],[N]]+Table2[[#This Row],[Pile 
Deviation 
N (m)]]</f>
        <v>1511742.341</v>
      </c>
      <c r="T704" s="7">
        <f>Table2[[#This Row],[E]]+Table2[[#This Row],[Pile 
Deviation 
E (m)]]</f>
        <v>694006.08299999998</v>
      </c>
      <c r="W704" s="7">
        <v>-0.67500000000000004</v>
      </c>
      <c r="X704" s="2" t="s">
        <v>33</v>
      </c>
      <c r="AA704" s="9">
        <v>46214</v>
      </c>
    </row>
    <row r="705" spans="1:27" ht="13.95" hidden="1" customHeight="1" x14ac:dyDescent="0.65">
      <c r="A705">
        <v>703</v>
      </c>
      <c r="B705" t="s">
        <v>29</v>
      </c>
      <c r="C705" s="6">
        <v>1511742.5190000001</v>
      </c>
      <c r="D705" s="6">
        <v>694006.96499999997</v>
      </c>
      <c r="E705" s="2" t="s">
        <v>30</v>
      </c>
      <c r="F705" s="1">
        <v>24</v>
      </c>
      <c r="G705" s="2" t="s">
        <v>48</v>
      </c>
      <c r="J705"/>
      <c r="K705" s="19"/>
      <c r="L705" s="21"/>
      <c r="M705" s="27"/>
      <c r="N705" s="19"/>
      <c r="O705" s="21"/>
      <c r="P705" s="7">
        <v>-0.17499999999999999</v>
      </c>
      <c r="Q705" s="7">
        <f>Table2[[#This Row],[Elevation
PILE TOP]]-Table2[[#This Row],[LENGTH(m.)
(Actual)]]</f>
        <v>-0.17499999999999999</v>
      </c>
      <c r="R705" s="2"/>
      <c r="S705" s="7">
        <f>Table2[[#This Row],[N]]+Table2[[#This Row],[Pile 
Deviation 
N (m)]]</f>
        <v>1511742.5190000001</v>
      </c>
      <c r="T705" s="7">
        <f>Table2[[#This Row],[E]]+Table2[[#This Row],[Pile 
Deviation 
E (m)]]</f>
        <v>694006.96499999997</v>
      </c>
      <c r="W705" s="7">
        <v>-0.67500000000000004</v>
      </c>
      <c r="X705" s="2" t="s">
        <v>33</v>
      </c>
      <c r="AA705" s="9">
        <v>46214</v>
      </c>
    </row>
    <row r="706" spans="1:27" hidden="1" x14ac:dyDescent="0.65">
      <c r="A706">
        <v>704</v>
      </c>
      <c r="B706" t="s">
        <v>29</v>
      </c>
      <c r="C706" s="6">
        <v>1511741.557</v>
      </c>
      <c r="D706" s="6">
        <v>694006.24100000004</v>
      </c>
      <c r="E706" s="2" t="s">
        <v>30</v>
      </c>
      <c r="F706" s="1">
        <v>24</v>
      </c>
      <c r="G706" s="2" t="s">
        <v>48</v>
      </c>
      <c r="J706"/>
      <c r="K706" s="19"/>
      <c r="L706" s="21"/>
      <c r="M706" s="27"/>
      <c r="N706" s="19"/>
      <c r="O706" s="21"/>
      <c r="P706" s="7">
        <v>-0.17499999999999999</v>
      </c>
      <c r="Q706" s="7">
        <f>Table2[[#This Row],[Elevation
PILE TOP]]-Table2[[#This Row],[LENGTH(m.)
(Actual)]]</f>
        <v>-0.17499999999999999</v>
      </c>
      <c r="R706" s="2"/>
      <c r="S706" s="7">
        <f>Table2[[#This Row],[N]]+Table2[[#This Row],[Pile 
Deviation 
N (m)]]</f>
        <v>1511741.557</v>
      </c>
      <c r="T706" s="7">
        <f>Table2[[#This Row],[E]]+Table2[[#This Row],[Pile 
Deviation 
E (m)]]</f>
        <v>694006.24100000004</v>
      </c>
      <c r="W706" s="7">
        <v>-0.67500000000000004</v>
      </c>
      <c r="X706" s="2" t="s">
        <v>33</v>
      </c>
      <c r="AA706" s="9">
        <v>46214</v>
      </c>
    </row>
    <row r="707" spans="1:27" ht="13.95" hidden="1" customHeight="1" x14ac:dyDescent="0.65">
      <c r="A707">
        <v>705</v>
      </c>
      <c r="B707" t="s">
        <v>29</v>
      </c>
      <c r="C707" s="6">
        <v>1511741.7350000001</v>
      </c>
      <c r="D707" s="6">
        <v>694007.12300000002</v>
      </c>
      <c r="E707" s="2" t="s">
        <v>30</v>
      </c>
      <c r="F707" s="1">
        <v>24</v>
      </c>
      <c r="G707" s="2" t="s">
        <v>48</v>
      </c>
      <c r="J707"/>
      <c r="K707" s="19"/>
      <c r="L707" s="21"/>
      <c r="M707" s="27"/>
      <c r="N707" s="19"/>
      <c r="O707" s="21"/>
      <c r="P707" s="7">
        <v>-0.17499999999999999</v>
      </c>
      <c r="Q707" s="7">
        <f>Table2[[#This Row],[Elevation
PILE TOP]]-Table2[[#This Row],[LENGTH(m.)
(Actual)]]</f>
        <v>-0.17499999999999999</v>
      </c>
      <c r="R707" s="2"/>
      <c r="S707" s="7">
        <f>Table2[[#This Row],[N]]+Table2[[#This Row],[Pile 
Deviation 
N (m)]]</f>
        <v>1511741.7350000001</v>
      </c>
      <c r="T707" s="7">
        <f>Table2[[#This Row],[E]]+Table2[[#This Row],[Pile 
Deviation 
E (m)]]</f>
        <v>694007.12300000002</v>
      </c>
      <c r="W707" s="7">
        <v>-0.67500000000000004</v>
      </c>
      <c r="X707" s="2" t="s">
        <v>33</v>
      </c>
      <c r="AA707" s="9">
        <v>46214</v>
      </c>
    </row>
    <row r="708" spans="1:27" hidden="1" x14ac:dyDescent="0.65">
      <c r="A708">
        <v>706</v>
      </c>
      <c r="B708" t="s">
        <v>29</v>
      </c>
      <c r="C708" s="6">
        <v>1511743.202</v>
      </c>
      <c r="D708" s="6">
        <v>694008.353</v>
      </c>
      <c r="E708" s="2" t="s">
        <v>35</v>
      </c>
      <c r="F708" s="1">
        <v>24</v>
      </c>
      <c r="G708" s="2" t="s">
        <v>48</v>
      </c>
      <c r="J708"/>
      <c r="K708" s="19"/>
      <c r="L708" s="21"/>
      <c r="M708" s="27"/>
      <c r="N708" s="19"/>
      <c r="O708" s="21"/>
      <c r="P708" s="7">
        <v>0.28999999999999998</v>
      </c>
      <c r="Q708" s="7">
        <f>Table2[[#This Row],[Elevation
PILE TOP]]-Table2[[#This Row],[LENGTH(m.)
(Actual)]]</f>
        <v>0.28999999999999998</v>
      </c>
      <c r="R708" s="2"/>
      <c r="S708" s="7">
        <f>Table2[[#This Row],[N]]+Table2[[#This Row],[Pile 
Deviation 
N (m)]]</f>
        <v>1511743.202</v>
      </c>
      <c r="T708" s="7">
        <f>Table2[[#This Row],[E]]+Table2[[#This Row],[Pile 
Deviation 
E (m)]]</f>
        <v>694008.353</v>
      </c>
      <c r="W708" s="7">
        <v>0.28999999999999998</v>
      </c>
      <c r="X708" s="2" t="s">
        <v>40</v>
      </c>
      <c r="AA708" s="9">
        <v>46220</v>
      </c>
    </row>
    <row r="709" spans="1:27" ht="13.95" hidden="1" customHeight="1" x14ac:dyDescent="0.65">
      <c r="A709">
        <v>707</v>
      </c>
      <c r="B709" t="s">
        <v>29</v>
      </c>
      <c r="C709" s="6">
        <v>1511744.375</v>
      </c>
      <c r="D709" s="6">
        <v>694008.348</v>
      </c>
      <c r="E709" s="2" t="s">
        <v>41</v>
      </c>
      <c r="F709" s="1">
        <v>26</v>
      </c>
      <c r="G709" s="2" t="s">
        <v>48</v>
      </c>
      <c r="J709"/>
      <c r="K709" s="19"/>
      <c r="L709" s="21"/>
      <c r="M709" s="27"/>
      <c r="N709" s="19"/>
      <c r="O709" s="21"/>
      <c r="P709" s="7">
        <v>0.35</v>
      </c>
      <c r="Q709" s="7">
        <f>Table2[[#This Row],[Elevation
PILE TOP]]-Table2[[#This Row],[LENGTH(m.)
(Actual)]]</f>
        <v>0.35</v>
      </c>
      <c r="R709" s="2"/>
      <c r="S709" s="7">
        <f>Table2[[#This Row],[N]]+Table2[[#This Row],[Pile 
Deviation 
N (m)]]</f>
        <v>1511744.375</v>
      </c>
      <c r="T709" s="7">
        <f>Table2[[#This Row],[E]]+Table2[[#This Row],[Pile 
Deviation 
E (m)]]</f>
        <v>694008.348</v>
      </c>
      <c r="W709" s="7">
        <v>-0.15</v>
      </c>
      <c r="X709" s="2" t="s">
        <v>42</v>
      </c>
      <c r="AA709" s="9">
        <v>46220</v>
      </c>
    </row>
    <row r="710" spans="1:27" hidden="1" x14ac:dyDescent="0.65">
      <c r="A710">
        <v>708</v>
      </c>
      <c r="B710" t="s">
        <v>29</v>
      </c>
      <c r="C710" s="6">
        <v>1511746.2879999999</v>
      </c>
      <c r="D710" s="6">
        <v>694009.61800000002</v>
      </c>
      <c r="E710" s="2" t="s">
        <v>41</v>
      </c>
      <c r="F710" s="1">
        <v>26</v>
      </c>
      <c r="G710" s="2" t="s">
        <v>48</v>
      </c>
      <c r="J710"/>
      <c r="K710" s="19"/>
      <c r="L710" s="21"/>
      <c r="M710" s="27"/>
      <c r="N710" s="19"/>
      <c r="O710" s="21"/>
      <c r="P710" s="7">
        <v>0.35</v>
      </c>
      <c r="Q710" s="7">
        <f>Table2[[#This Row],[Elevation
PILE TOP]]-Table2[[#This Row],[LENGTH(m.)
(Actual)]]</f>
        <v>0.35</v>
      </c>
      <c r="R710" s="2"/>
      <c r="S710" s="7">
        <f>Table2[[#This Row],[N]]+Table2[[#This Row],[Pile 
Deviation 
N (m)]]</f>
        <v>1511746.2879999999</v>
      </c>
      <c r="T710" s="7">
        <f>Table2[[#This Row],[E]]+Table2[[#This Row],[Pile 
Deviation 
E (m)]]</f>
        <v>694009.61800000002</v>
      </c>
      <c r="W710" s="7">
        <v>-0.15</v>
      </c>
      <c r="X710" s="2" t="s">
        <v>42</v>
      </c>
      <c r="AA710" s="9">
        <v>46220</v>
      </c>
    </row>
    <row r="711" spans="1:27" ht="13.95" hidden="1" customHeight="1" x14ac:dyDescent="0.65">
      <c r="A711">
        <v>709</v>
      </c>
      <c r="B711" t="s">
        <v>29</v>
      </c>
      <c r="C711" s="6">
        <v>1511746.7420000001</v>
      </c>
      <c r="D711" s="6">
        <v>694011.86899999995</v>
      </c>
      <c r="E711" s="2" t="s">
        <v>41</v>
      </c>
      <c r="F711" s="1">
        <v>26</v>
      </c>
      <c r="G711" s="2" t="s">
        <v>48</v>
      </c>
      <c r="J711"/>
      <c r="K711" s="19"/>
      <c r="L711" s="21"/>
      <c r="M711" s="27"/>
      <c r="N711" s="19"/>
      <c r="O711" s="21"/>
      <c r="P711" s="7">
        <v>0.35</v>
      </c>
      <c r="Q711" s="7">
        <f>Table2[[#This Row],[Elevation
PILE TOP]]-Table2[[#This Row],[LENGTH(m.)
(Actual)]]</f>
        <v>0.35</v>
      </c>
      <c r="R711" s="2"/>
      <c r="S711" s="7">
        <f>Table2[[#This Row],[N]]+Table2[[#This Row],[Pile 
Deviation 
N (m)]]</f>
        <v>1511746.7420000001</v>
      </c>
      <c r="T711" s="7">
        <f>Table2[[#This Row],[E]]+Table2[[#This Row],[Pile 
Deviation 
E (m)]]</f>
        <v>694011.86899999995</v>
      </c>
      <c r="W711" s="7">
        <v>-0.15</v>
      </c>
      <c r="X711" s="2" t="s">
        <v>42</v>
      </c>
      <c r="AA711" s="9">
        <v>46219</v>
      </c>
    </row>
    <row r="712" spans="1:27" hidden="1" x14ac:dyDescent="0.65">
      <c r="A712">
        <v>710</v>
      </c>
      <c r="B712" t="s">
        <v>29</v>
      </c>
      <c r="C712" s="6">
        <v>1511745.4720000001</v>
      </c>
      <c r="D712" s="6">
        <v>694013.78200000001</v>
      </c>
      <c r="E712" s="2" t="s">
        <v>41</v>
      </c>
      <c r="F712" s="1">
        <v>26</v>
      </c>
      <c r="G712" s="2" t="s">
        <v>48</v>
      </c>
      <c r="J712"/>
      <c r="K712" s="19"/>
      <c r="L712" s="21"/>
      <c r="M712" s="27"/>
      <c r="N712" s="19"/>
      <c r="O712" s="21"/>
      <c r="P712" s="7">
        <v>0.35</v>
      </c>
      <c r="Q712" s="7">
        <f>Table2[[#This Row],[Elevation
PILE TOP]]-Table2[[#This Row],[LENGTH(m.)
(Actual)]]</f>
        <v>0.35</v>
      </c>
      <c r="R712" s="2"/>
      <c r="S712" s="7">
        <f>Table2[[#This Row],[N]]+Table2[[#This Row],[Pile 
Deviation 
N (m)]]</f>
        <v>1511745.4720000001</v>
      </c>
      <c r="T712" s="7">
        <f>Table2[[#This Row],[E]]+Table2[[#This Row],[Pile 
Deviation 
E (m)]]</f>
        <v>694013.78200000001</v>
      </c>
      <c r="W712" s="7">
        <v>-0.15</v>
      </c>
      <c r="X712" s="2" t="s">
        <v>42</v>
      </c>
      <c r="AA712" s="9">
        <v>46219</v>
      </c>
    </row>
    <row r="713" spans="1:27" ht="13.95" hidden="1" customHeight="1" x14ac:dyDescent="0.65">
      <c r="A713">
        <v>711</v>
      </c>
      <c r="B713" t="s">
        <v>29</v>
      </c>
      <c r="C713" s="6">
        <v>1511743.2209999999</v>
      </c>
      <c r="D713" s="6">
        <v>694014.23600000003</v>
      </c>
      <c r="E713" s="2" t="s">
        <v>41</v>
      </c>
      <c r="F713" s="1">
        <v>26</v>
      </c>
      <c r="G713" s="2" t="s">
        <v>48</v>
      </c>
      <c r="J713"/>
      <c r="K713" s="19"/>
      <c r="L713" s="21"/>
      <c r="M713" s="27"/>
      <c r="N713" s="19"/>
      <c r="O713" s="21"/>
      <c r="P713" s="7">
        <v>0.35</v>
      </c>
      <c r="Q713" s="7">
        <f>Table2[[#This Row],[Elevation
PILE TOP]]-Table2[[#This Row],[LENGTH(m.)
(Actual)]]</f>
        <v>0.35</v>
      </c>
      <c r="R713" s="2"/>
      <c r="S713" s="7">
        <f>Table2[[#This Row],[N]]+Table2[[#This Row],[Pile 
Deviation 
N (m)]]</f>
        <v>1511743.2209999999</v>
      </c>
      <c r="T713" s="7">
        <f>Table2[[#This Row],[E]]+Table2[[#This Row],[Pile 
Deviation 
E (m)]]</f>
        <v>694014.23600000003</v>
      </c>
      <c r="W713" s="7">
        <v>-0.15</v>
      </c>
      <c r="X713" s="2" t="s">
        <v>42</v>
      </c>
      <c r="AA713" s="9">
        <v>46219</v>
      </c>
    </row>
    <row r="714" spans="1:27" hidden="1" x14ac:dyDescent="0.65">
      <c r="A714">
        <v>712</v>
      </c>
      <c r="B714" t="s">
        <v>29</v>
      </c>
      <c r="C714" s="6">
        <v>1511741.308</v>
      </c>
      <c r="D714" s="6">
        <v>694012.96600000001</v>
      </c>
      <c r="E714" s="2" t="s">
        <v>41</v>
      </c>
      <c r="F714" s="1">
        <v>26</v>
      </c>
      <c r="G714" s="2" t="s">
        <v>48</v>
      </c>
      <c r="J714"/>
      <c r="K714" s="19"/>
      <c r="L714" s="21"/>
      <c r="M714" s="27"/>
      <c r="N714" s="19"/>
      <c r="O714" s="21"/>
      <c r="P714" s="7">
        <v>0.35</v>
      </c>
      <c r="Q714" s="7">
        <f>Table2[[#This Row],[Elevation
PILE TOP]]-Table2[[#This Row],[LENGTH(m.)
(Actual)]]</f>
        <v>0.35</v>
      </c>
      <c r="R714" s="2"/>
      <c r="S714" s="7">
        <f>Table2[[#This Row],[N]]+Table2[[#This Row],[Pile 
Deviation 
N (m)]]</f>
        <v>1511741.308</v>
      </c>
      <c r="T714" s="7">
        <f>Table2[[#This Row],[E]]+Table2[[#This Row],[Pile 
Deviation 
E (m)]]</f>
        <v>694012.96600000001</v>
      </c>
      <c r="W714" s="7">
        <v>-0.15</v>
      </c>
      <c r="X714" s="2" t="s">
        <v>42</v>
      </c>
      <c r="AA714" s="9">
        <v>46219</v>
      </c>
    </row>
    <row r="715" spans="1:27" ht="13.95" hidden="1" customHeight="1" x14ac:dyDescent="0.65">
      <c r="A715">
        <v>713</v>
      </c>
      <c r="B715" t="s">
        <v>29</v>
      </c>
      <c r="C715" s="6">
        <v>1511740.8540000001</v>
      </c>
      <c r="D715" s="6">
        <v>694010.71499999997</v>
      </c>
      <c r="E715" s="2" t="s">
        <v>41</v>
      </c>
      <c r="F715" s="1">
        <v>26</v>
      </c>
      <c r="G715" s="2" t="s">
        <v>48</v>
      </c>
      <c r="J715"/>
      <c r="K715" s="19"/>
      <c r="L715" s="21"/>
      <c r="M715" s="27"/>
      <c r="N715" s="19"/>
      <c r="O715" s="21"/>
      <c r="P715" s="7">
        <v>0.35</v>
      </c>
      <c r="Q715" s="7">
        <f>Table2[[#This Row],[Elevation
PILE TOP]]-Table2[[#This Row],[LENGTH(m.)
(Actual)]]</f>
        <v>0.35</v>
      </c>
      <c r="R715" s="2"/>
      <c r="S715" s="7">
        <f>Table2[[#This Row],[N]]+Table2[[#This Row],[Pile 
Deviation 
N (m)]]</f>
        <v>1511740.8540000001</v>
      </c>
      <c r="T715" s="7">
        <f>Table2[[#This Row],[E]]+Table2[[#This Row],[Pile 
Deviation 
E (m)]]</f>
        <v>694010.71499999997</v>
      </c>
      <c r="W715" s="7">
        <v>-0.15</v>
      </c>
      <c r="X715" s="2" t="s">
        <v>42</v>
      </c>
      <c r="AA715" s="9">
        <v>46220</v>
      </c>
    </row>
    <row r="716" spans="1:27" hidden="1" x14ac:dyDescent="0.65">
      <c r="A716">
        <v>714</v>
      </c>
      <c r="B716" t="s">
        <v>29</v>
      </c>
      <c r="C716" s="6">
        <v>1511742.1240000001</v>
      </c>
      <c r="D716" s="6">
        <v>694008.80299999996</v>
      </c>
      <c r="E716" s="2" t="s">
        <v>41</v>
      </c>
      <c r="F716" s="1">
        <v>26</v>
      </c>
      <c r="G716" s="2" t="s">
        <v>48</v>
      </c>
      <c r="J716"/>
      <c r="K716" s="19"/>
      <c r="L716" s="21"/>
      <c r="M716" s="27"/>
      <c r="N716" s="19"/>
      <c r="O716" s="21"/>
      <c r="P716" s="7">
        <v>0.35</v>
      </c>
      <c r="Q716" s="7">
        <f>Table2[[#This Row],[Elevation
PILE TOP]]-Table2[[#This Row],[LENGTH(m.)
(Actual)]]</f>
        <v>0.35</v>
      </c>
      <c r="R716" s="2"/>
      <c r="S716" s="7">
        <f>Table2[[#This Row],[N]]+Table2[[#This Row],[Pile 
Deviation 
N (m)]]</f>
        <v>1511742.1240000001</v>
      </c>
      <c r="T716" s="7">
        <f>Table2[[#This Row],[E]]+Table2[[#This Row],[Pile 
Deviation 
E (m)]]</f>
        <v>694008.80299999996</v>
      </c>
      <c r="W716" s="7">
        <v>-0.15</v>
      </c>
      <c r="X716" s="2" t="s">
        <v>42</v>
      </c>
      <c r="AA716" s="9">
        <v>46220</v>
      </c>
    </row>
    <row r="717" spans="1:27" ht="13.95" hidden="1" customHeight="1" x14ac:dyDescent="0.65">
      <c r="A717">
        <v>715</v>
      </c>
      <c r="B717" t="s">
        <v>29</v>
      </c>
      <c r="C717" s="6">
        <v>1511743.7960000001</v>
      </c>
      <c r="D717" s="6">
        <v>694011.29399999999</v>
      </c>
      <c r="E717" s="2" t="s">
        <v>35</v>
      </c>
      <c r="F717" s="1">
        <v>24</v>
      </c>
      <c r="G717" s="2" t="s">
        <v>48</v>
      </c>
      <c r="J717"/>
      <c r="K717" s="19"/>
      <c r="L717" s="21"/>
      <c r="M717" s="27"/>
      <c r="N717" s="19"/>
      <c r="O717" s="21"/>
      <c r="P717" s="7">
        <v>0.28999999999999998</v>
      </c>
      <c r="Q717" s="7">
        <f>Table2[[#This Row],[Elevation
PILE TOP]]-Table2[[#This Row],[LENGTH(m.)
(Actual)]]</f>
        <v>0.28999999999999998</v>
      </c>
      <c r="R717" s="2"/>
      <c r="S717" s="7">
        <f>Table2[[#This Row],[N]]+Table2[[#This Row],[Pile 
Deviation 
N (m)]]</f>
        <v>1511743.7960000001</v>
      </c>
      <c r="T717" s="7">
        <f>Table2[[#This Row],[E]]+Table2[[#This Row],[Pile 
Deviation 
E (m)]]</f>
        <v>694011.29399999999</v>
      </c>
      <c r="W717" s="7">
        <v>0.28999999999999998</v>
      </c>
      <c r="X717" s="2" t="s">
        <v>40</v>
      </c>
      <c r="AA717" s="9">
        <v>46220</v>
      </c>
    </row>
    <row r="718" spans="1:27" hidden="1" x14ac:dyDescent="0.65">
      <c r="A718">
        <v>716</v>
      </c>
      <c r="B718" t="s">
        <v>29</v>
      </c>
      <c r="C718" s="6">
        <v>1511744.469</v>
      </c>
      <c r="D718" s="6">
        <v>694014.62600000005</v>
      </c>
      <c r="E718" s="2" t="s">
        <v>35</v>
      </c>
      <c r="F718" s="1">
        <v>24</v>
      </c>
      <c r="G718" s="2" t="s">
        <v>48</v>
      </c>
      <c r="J718"/>
      <c r="K718" s="19"/>
      <c r="L718" s="21"/>
      <c r="M718" s="27"/>
      <c r="N718" s="19"/>
      <c r="O718" s="21"/>
      <c r="P718" s="7">
        <v>0.28999999999999998</v>
      </c>
      <c r="Q718" s="7">
        <f>Table2[[#This Row],[Elevation
PILE TOP]]-Table2[[#This Row],[LENGTH(m.)
(Actual)]]</f>
        <v>0.28999999999999998</v>
      </c>
      <c r="R718" s="2"/>
      <c r="S718" s="7">
        <f>Table2[[#This Row],[N]]+Table2[[#This Row],[Pile 
Deviation 
N (m)]]</f>
        <v>1511744.469</v>
      </c>
      <c r="T718" s="7">
        <f>Table2[[#This Row],[E]]+Table2[[#This Row],[Pile 
Deviation 
E (m)]]</f>
        <v>694014.62600000005</v>
      </c>
      <c r="W718" s="7">
        <v>0.28999999999999998</v>
      </c>
      <c r="X718" s="2" t="s">
        <v>40</v>
      </c>
      <c r="AA718" s="9">
        <v>46219</v>
      </c>
    </row>
    <row r="719" spans="1:27" ht="13.95" hidden="1" customHeight="1" x14ac:dyDescent="0.65">
      <c r="A719">
        <v>717</v>
      </c>
      <c r="B719" t="s">
        <v>29</v>
      </c>
      <c r="C719" s="6">
        <v>1511745.7220000001</v>
      </c>
      <c r="D719" s="6">
        <v>694015.01800000004</v>
      </c>
      <c r="E719" s="2" t="s">
        <v>41</v>
      </c>
      <c r="F719" s="1">
        <v>26</v>
      </c>
      <c r="G719" s="2" t="s">
        <v>48</v>
      </c>
      <c r="J719"/>
      <c r="K719" s="19"/>
      <c r="L719" s="21"/>
      <c r="M719" s="27"/>
      <c r="N719" s="19"/>
      <c r="O719" s="21"/>
      <c r="P719" s="7">
        <v>0.35</v>
      </c>
      <c r="Q719" s="7">
        <f>Table2[[#This Row],[Elevation
PILE TOP]]-Table2[[#This Row],[LENGTH(m.)
(Actual)]]</f>
        <v>0.35</v>
      </c>
      <c r="R719" s="2"/>
      <c r="S719" s="7">
        <f>Table2[[#This Row],[N]]+Table2[[#This Row],[Pile 
Deviation 
N (m)]]</f>
        <v>1511745.7220000001</v>
      </c>
      <c r="T719" s="7">
        <f>Table2[[#This Row],[E]]+Table2[[#This Row],[Pile 
Deviation 
E (m)]]</f>
        <v>694015.01800000004</v>
      </c>
      <c r="W719" s="7">
        <v>-0.15</v>
      </c>
      <c r="X719" s="2" t="s">
        <v>42</v>
      </c>
      <c r="AA719" s="9">
        <v>46219</v>
      </c>
    </row>
    <row r="720" spans="1:27" hidden="1" x14ac:dyDescent="0.65">
      <c r="A720">
        <v>718</v>
      </c>
      <c r="B720" t="s">
        <v>29</v>
      </c>
      <c r="C720" s="6">
        <v>1511747.6340000001</v>
      </c>
      <c r="D720" s="6">
        <v>694016.28799999994</v>
      </c>
      <c r="E720" s="2" t="s">
        <v>41</v>
      </c>
      <c r="F720" s="1">
        <v>26</v>
      </c>
      <c r="G720" s="2" t="s">
        <v>48</v>
      </c>
      <c r="J720"/>
      <c r="K720" s="19"/>
      <c r="L720" s="21"/>
      <c r="M720" s="27"/>
      <c r="N720" s="19"/>
      <c r="O720" s="21"/>
      <c r="P720" s="7">
        <v>0.35</v>
      </c>
      <c r="Q720" s="7">
        <f>Table2[[#This Row],[Elevation
PILE TOP]]-Table2[[#This Row],[LENGTH(m.)
(Actual)]]</f>
        <v>0.35</v>
      </c>
      <c r="R720" s="2"/>
      <c r="S720" s="7">
        <f>Table2[[#This Row],[N]]+Table2[[#This Row],[Pile 
Deviation 
N (m)]]</f>
        <v>1511747.6340000001</v>
      </c>
      <c r="T720" s="7">
        <f>Table2[[#This Row],[E]]+Table2[[#This Row],[Pile 
Deviation 
E (m)]]</f>
        <v>694016.28799999994</v>
      </c>
      <c r="W720" s="7">
        <v>-0.15</v>
      </c>
      <c r="X720" s="2" t="s">
        <v>42</v>
      </c>
      <c r="AA720" s="9">
        <v>46218</v>
      </c>
    </row>
    <row r="721" spans="1:27" ht="13.95" hidden="1" customHeight="1" x14ac:dyDescent="0.65">
      <c r="A721">
        <v>719</v>
      </c>
      <c r="B721" t="s">
        <v>29</v>
      </c>
      <c r="C721" s="6">
        <v>1511748.0889999999</v>
      </c>
      <c r="D721" s="6">
        <v>694018.53799999994</v>
      </c>
      <c r="E721" s="2" t="s">
        <v>41</v>
      </c>
      <c r="F721" s="1">
        <v>26</v>
      </c>
      <c r="G721" s="2" t="s">
        <v>48</v>
      </c>
      <c r="J721"/>
      <c r="K721" s="19"/>
      <c r="L721" s="21"/>
      <c r="M721" s="27"/>
      <c r="N721" s="19"/>
      <c r="O721" s="21"/>
      <c r="P721" s="7">
        <v>0.35</v>
      </c>
      <c r="Q721" s="7">
        <f>Table2[[#This Row],[Elevation
PILE TOP]]-Table2[[#This Row],[LENGTH(m.)
(Actual)]]</f>
        <v>0.35</v>
      </c>
      <c r="R721" s="2"/>
      <c r="S721" s="7">
        <f>Table2[[#This Row],[N]]+Table2[[#This Row],[Pile 
Deviation 
N (m)]]</f>
        <v>1511748.0889999999</v>
      </c>
      <c r="T721" s="7">
        <f>Table2[[#This Row],[E]]+Table2[[#This Row],[Pile 
Deviation 
E (m)]]</f>
        <v>694018.53799999994</v>
      </c>
      <c r="W721" s="7">
        <v>-0.15</v>
      </c>
      <c r="X721" s="2" t="s">
        <v>42</v>
      </c>
      <c r="AA721" s="9">
        <v>46218</v>
      </c>
    </row>
    <row r="722" spans="1:27" hidden="1" x14ac:dyDescent="0.65">
      <c r="A722">
        <v>720</v>
      </c>
      <c r="B722" t="s">
        <v>29</v>
      </c>
      <c r="C722" s="6">
        <v>1511746.8189999999</v>
      </c>
      <c r="D722" s="6">
        <v>694020.451</v>
      </c>
      <c r="E722" s="2" t="s">
        <v>41</v>
      </c>
      <c r="F722" s="1">
        <v>26</v>
      </c>
      <c r="G722" s="2" t="s">
        <v>48</v>
      </c>
      <c r="J722"/>
      <c r="K722" s="19"/>
      <c r="L722" s="21"/>
      <c r="M722" s="27"/>
      <c r="N722" s="19"/>
      <c r="O722" s="21"/>
      <c r="P722" s="7">
        <v>0.35</v>
      </c>
      <c r="Q722" s="7">
        <f>Table2[[#This Row],[Elevation
PILE TOP]]-Table2[[#This Row],[LENGTH(m.)
(Actual)]]</f>
        <v>0.35</v>
      </c>
      <c r="R722" s="2"/>
      <c r="S722" s="7">
        <f>Table2[[#This Row],[N]]+Table2[[#This Row],[Pile 
Deviation 
N (m)]]</f>
        <v>1511746.8189999999</v>
      </c>
      <c r="T722" s="7">
        <f>Table2[[#This Row],[E]]+Table2[[#This Row],[Pile 
Deviation 
E (m)]]</f>
        <v>694020.451</v>
      </c>
      <c r="W722" s="7">
        <v>-0.15</v>
      </c>
      <c r="X722" s="2" t="s">
        <v>42</v>
      </c>
      <c r="AA722" s="9">
        <v>46217</v>
      </c>
    </row>
    <row r="723" spans="1:27" ht="13.95" hidden="1" customHeight="1" x14ac:dyDescent="0.65">
      <c r="A723">
        <v>721</v>
      </c>
      <c r="B723" t="s">
        <v>29</v>
      </c>
      <c r="C723" s="6">
        <v>1511744.568</v>
      </c>
      <c r="D723" s="6">
        <v>694020.90599999996</v>
      </c>
      <c r="E723" s="2" t="s">
        <v>41</v>
      </c>
      <c r="F723" s="1">
        <v>26</v>
      </c>
      <c r="G723" s="2" t="s">
        <v>48</v>
      </c>
      <c r="J723"/>
      <c r="K723" s="19"/>
      <c r="L723" s="21"/>
      <c r="M723" s="27"/>
      <c r="N723" s="19"/>
      <c r="O723" s="21"/>
      <c r="P723" s="7">
        <v>0.35</v>
      </c>
      <c r="Q723" s="7">
        <f>Table2[[#This Row],[Elevation
PILE TOP]]-Table2[[#This Row],[LENGTH(m.)
(Actual)]]</f>
        <v>0.35</v>
      </c>
      <c r="R723" s="2"/>
      <c r="S723" s="7">
        <f>Table2[[#This Row],[N]]+Table2[[#This Row],[Pile 
Deviation 
N (m)]]</f>
        <v>1511744.568</v>
      </c>
      <c r="T723" s="7">
        <f>Table2[[#This Row],[E]]+Table2[[#This Row],[Pile 
Deviation 
E (m)]]</f>
        <v>694020.90599999996</v>
      </c>
      <c r="W723" s="7">
        <v>-0.15</v>
      </c>
      <c r="X723" s="2" t="s">
        <v>42</v>
      </c>
      <c r="AA723" s="9">
        <v>46217</v>
      </c>
    </row>
    <row r="724" spans="1:27" hidden="1" x14ac:dyDescent="0.65">
      <c r="A724">
        <v>722</v>
      </c>
      <c r="B724" t="s">
        <v>29</v>
      </c>
      <c r="C724" s="6">
        <v>1511742.655</v>
      </c>
      <c r="D724" s="6">
        <v>694019.63600000006</v>
      </c>
      <c r="E724" s="2" t="s">
        <v>41</v>
      </c>
      <c r="F724" s="1">
        <v>26</v>
      </c>
      <c r="G724" s="2" t="s">
        <v>48</v>
      </c>
      <c r="J724"/>
      <c r="K724" s="19"/>
      <c r="L724" s="21"/>
      <c r="M724" s="27"/>
      <c r="N724" s="19"/>
      <c r="O724" s="21"/>
      <c r="P724" s="7">
        <v>0.35</v>
      </c>
      <c r="Q724" s="7">
        <f>Table2[[#This Row],[Elevation
PILE TOP]]-Table2[[#This Row],[LENGTH(m.)
(Actual)]]</f>
        <v>0.35</v>
      </c>
      <c r="R724" s="2"/>
      <c r="S724" s="7">
        <f>Table2[[#This Row],[N]]+Table2[[#This Row],[Pile 
Deviation 
N (m)]]</f>
        <v>1511742.655</v>
      </c>
      <c r="T724" s="7">
        <f>Table2[[#This Row],[E]]+Table2[[#This Row],[Pile 
Deviation 
E (m)]]</f>
        <v>694019.63600000006</v>
      </c>
      <c r="W724" s="7">
        <v>-0.15</v>
      </c>
      <c r="X724" s="2" t="s">
        <v>42</v>
      </c>
      <c r="AA724" s="9">
        <v>46218</v>
      </c>
    </row>
    <row r="725" spans="1:27" ht="13.95" hidden="1" customHeight="1" x14ac:dyDescent="0.65">
      <c r="A725">
        <v>723</v>
      </c>
      <c r="B725" t="s">
        <v>29</v>
      </c>
      <c r="C725" s="6">
        <v>1511742.2009999999</v>
      </c>
      <c r="D725" s="6">
        <v>694017.38500000001</v>
      </c>
      <c r="E725" s="2" t="s">
        <v>41</v>
      </c>
      <c r="F725" s="1">
        <v>26</v>
      </c>
      <c r="G725" s="2" t="s">
        <v>48</v>
      </c>
      <c r="J725"/>
      <c r="K725" s="19"/>
      <c r="L725" s="21"/>
      <c r="M725" s="27"/>
      <c r="N725" s="19"/>
      <c r="O725" s="21"/>
      <c r="P725" s="7">
        <v>0.35</v>
      </c>
      <c r="Q725" s="7">
        <f>Table2[[#This Row],[Elevation
PILE TOP]]-Table2[[#This Row],[LENGTH(m.)
(Actual)]]</f>
        <v>0.35</v>
      </c>
      <c r="R725" s="2"/>
      <c r="S725" s="7">
        <f>Table2[[#This Row],[N]]+Table2[[#This Row],[Pile 
Deviation 
N (m)]]</f>
        <v>1511742.2009999999</v>
      </c>
      <c r="T725" s="7">
        <f>Table2[[#This Row],[E]]+Table2[[#This Row],[Pile 
Deviation 
E (m)]]</f>
        <v>694017.38500000001</v>
      </c>
      <c r="W725" s="7">
        <v>-0.15</v>
      </c>
      <c r="X725" s="2" t="s">
        <v>42</v>
      </c>
      <c r="AA725" s="9">
        <v>46218</v>
      </c>
    </row>
    <row r="726" spans="1:27" hidden="1" x14ac:dyDescent="0.65">
      <c r="A726">
        <v>724</v>
      </c>
      <c r="B726" t="s">
        <v>29</v>
      </c>
      <c r="C726" s="6">
        <v>1511743.4709999999</v>
      </c>
      <c r="D726" s="6">
        <v>694015.47199999995</v>
      </c>
      <c r="E726" s="2" t="s">
        <v>41</v>
      </c>
      <c r="F726" s="1">
        <v>26</v>
      </c>
      <c r="G726" s="2" t="s">
        <v>48</v>
      </c>
      <c r="J726"/>
      <c r="K726" s="19"/>
      <c r="L726" s="21"/>
      <c r="M726" s="27"/>
      <c r="N726" s="19"/>
      <c r="O726" s="21"/>
      <c r="P726" s="7">
        <v>0.35</v>
      </c>
      <c r="Q726" s="7">
        <f>Table2[[#This Row],[Elevation
PILE TOP]]-Table2[[#This Row],[LENGTH(m.)
(Actual)]]</f>
        <v>0.35</v>
      </c>
      <c r="R726" s="2"/>
      <c r="S726" s="7">
        <f>Table2[[#This Row],[N]]+Table2[[#This Row],[Pile 
Deviation 
N (m)]]</f>
        <v>1511743.4709999999</v>
      </c>
      <c r="T726" s="7">
        <f>Table2[[#This Row],[E]]+Table2[[#This Row],[Pile 
Deviation 
E (m)]]</f>
        <v>694015.47199999995</v>
      </c>
      <c r="W726" s="7">
        <v>-0.15</v>
      </c>
      <c r="X726" s="2" t="s">
        <v>42</v>
      </c>
      <c r="AA726" s="9">
        <v>46219</v>
      </c>
    </row>
    <row r="727" spans="1:27" ht="13.95" hidden="1" customHeight="1" x14ac:dyDescent="0.65">
      <c r="A727">
        <v>725</v>
      </c>
      <c r="B727" t="s">
        <v>29</v>
      </c>
      <c r="C727" s="6">
        <v>1511745.142</v>
      </c>
      <c r="D727" s="6">
        <v>694017.95900000003</v>
      </c>
      <c r="E727" s="2" t="s">
        <v>35</v>
      </c>
      <c r="F727" s="1">
        <v>24</v>
      </c>
      <c r="G727" s="2" t="s">
        <v>48</v>
      </c>
      <c r="J727"/>
      <c r="K727" s="19"/>
      <c r="L727" s="21"/>
      <c r="M727" s="27"/>
      <c r="N727" s="19"/>
      <c r="O727" s="21"/>
      <c r="P727" s="7">
        <v>0.28999999999999998</v>
      </c>
      <c r="Q727" s="7">
        <f>Table2[[#This Row],[Elevation
PILE TOP]]-Table2[[#This Row],[LENGTH(m.)
(Actual)]]</f>
        <v>0.28999999999999998</v>
      </c>
      <c r="R727" s="2"/>
      <c r="S727" s="7">
        <f>Table2[[#This Row],[N]]+Table2[[#This Row],[Pile 
Deviation 
N (m)]]</f>
        <v>1511745.142</v>
      </c>
      <c r="T727" s="7">
        <f>Table2[[#This Row],[E]]+Table2[[#This Row],[Pile 
Deviation 
E (m)]]</f>
        <v>694017.95900000003</v>
      </c>
      <c r="W727" s="7">
        <v>0.28999999999999998</v>
      </c>
      <c r="X727" s="2" t="s">
        <v>40</v>
      </c>
      <c r="AA727" s="9">
        <v>46218</v>
      </c>
    </row>
    <row r="728" spans="1:27" hidden="1" x14ac:dyDescent="0.65">
      <c r="A728">
        <v>726</v>
      </c>
      <c r="B728" t="s">
        <v>29</v>
      </c>
      <c r="C728" s="6">
        <v>1511745.8149999999</v>
      </c>
      <c r="D728" s="6">
        <v>694021.29200000002</v>
      </c>
      <c r="E728" s="2" t="s">
        <v>35</v>
      </c>
      <c r="F728" s="1">
        <v>24</v>
      </c>
      <c r="G728" s="2" t="s">
        <v>48</v>
      </c>
      <c r="J728"/>
      <c r="K728" s="19"/>
      <c r="L728" s="21"/>
      <c r="M728" s="27"/>
      <c r="N728" s="19"/>
      <c r="O728" s="21"/>
      <c r="P728" s="7">
        <v>0.28999999999999998</v>
      </c>
      <c r="Q728" s="7">
        <f>Table2[[#This Row],[Elevation
PILE TOP]]-Table2[[#This Row],[LENGTH(m.)
(Actual)]]</f>
        <v>0.28999999999999998</v>
      </c>
      <c r="R728" s="2"/>
      <c r="S728" s="7">
        <f>Table2[[#This Row],[N]]+Table2[[#This Row],[Pile 
Deviation 
N (m)]]</f>
        <v>1511745.8149999999</v>
      </c>
      <c r="T728" s="7">
        <f>Table2[[#This Row],[E]]+Table2[[#This Row],[Pile 
Deviation 
E (m)]]</f>
        <v>694021.29200000002</v>
      </c>
      <c r="W728" s="7">
        <v>0.28999999999999998</v>
      </c>
      <c r="X728" s="2" t="s">
        <v>40</v>
      </c>
      <c r="AA728" s="9">
        <v>46217</v>
      </c>
    </row>
    <row r="729" spans="1:27" ht="13.95" hidden="1" customHeight="1" x14ac:dyDescent="0.65">
      <c r="A729">
        <v>727</v>
      </c>
      <c r="B729" t="s">
        <v>29</v>
      </c>
      <c r="C729" s="6">
        <v>1511747.067</v>
      </c>
      <c r="D729" s="6">
        <v>694021.68200000003</v>
      </c>
      <c r="E729" s="2" t="s">
        <v>41</v>
      </c>
      <c r="F729" s="1">
        <v>26</v>
      </c>
      <c r="G729" s="2" t="s">
        <v>48</v>
      </c>
      <c r="J729"/>
      <c r="K729" s="19"/>
      <c r="L729" s="21"/>
      <c r="M729" s="27"/>
      <c r="N729" s="19"/>
      <c r="O729" s="21"/>
      <c r="P729" s="7">
        <v>0.35</v>
      </c>
      <c r="Q729" s="7">
        <f>Table2[[#This Row],[Elevation
PILE TOP]]-Table2[[#This Row],[LENGTH(m.)
(Actual)]]</f>
        <v>0.35</v>
      </c>
      <c r="R729" s="2"/>
      <c r="S729" s="7">
        <f>Table2[[#This Row],[N]]+Table2[[#This Row],[Pile 
Deviation 
N (m)]]</f>
        <v>1511747.067</v>
      </c>
      <c r="T729" s="7">
        <f>Table2[[#This Row],[E]]+Table2[[#This Row],[Pile 
Deviation 
E (m)]]</f>
        <v>694021.68200000003</v>
      </c>
      <c r="W729" s="7">
        <v>-0.15</v>
      </c>
      <c r="X729" s="2" t="s">
        <v>42</v>
      </c>
      <c r="AA729" s="9">
        <v>46217</v>
      </c>
    </row>
    <row r="730" spans="1:27" hidden="1" x14ac:dyDescent="0.65">
      <c r="A730">
        <v>728</v>
      </c>
      <c r="B730" t="s">
        <v>29</v>
      </c>
      <c r="C730" s="6">
        <v>1511748.98</v>
      </c>
      <c r="D730" s="6">
        <v>694022.95200000005</v>
      </c>
      <c r="E730" s="2" t="s">
        <v>41</v>
      </c>
      <c r="F730" s="1">
        <v>26</v>
      </c>
      <c r="G730" s="2" t="s">
        <v>48</v>
      </c>
      <c r="J730"/>
      <c r="K730" s="19"/>
      <c r="L730" s="21"/>
      <c r="M730" s="27"/>
      <c r="N730" s="19"/>
      <c r="O730" s="21"/>
      <c r="P730" s="7">
        <v>0.35</v>
      </c>
      <c r="Q730" s="7">
        <f>Table2[[#This Row],[Elevation
PILE TOP]]-Table2[[#This Row],[LENGTH(m.)
(Actual)]]</f>
        <v>0.35</v>
      </c>
      <c r="R730" s="2"/>
      <c r="S730" s="7">
        <f>Table2[[#This Row],[N]]+Table2[[#This Row],[Pile 
Deviation 
N (m)]]</f>
        <v>1511748.98</v>
      </c>
      <c r="T730" s="7">
        <f>Table2[[#This Row],[E]]+Table2[[#This Row],[Pile 
Deviation 
E (m)]]</f>
        <v>694022.95200000005</v>
      </c>
      <c r="W730" s="7">
        <v>-0.15</v>
      </c>
      <c r="X730" s="2" t="s">
        <v>42</v>
      </c>
      <c r="AA730" s="9">
        <v>46217</v>
      </c>
    </row>
    <row r="731" spans="1:27" ht="13.95" hidden="1" customHeight="1" x14ac:dyDescent="0.65">
      <c r="A731">
        <v>729</v>
      </c>
      <c r="B731" t="s">
        <v>29</v>
      </c>
      <c r="C731" s="6">
        <v>1511749.4350000001</v>
      </c>
      <c r="D731" s="6">
        <v>694025.20299999998</v>
      </c>
      <c r="E731" s="2" t="s">
        <v>41</v>
      </c>
      <c r="F731" s="1">
        <v>26</v>
      </c>
      <c r="G731" s="2" t="s">
        <v>48</v>
      </c>
      <c r="J731"/>
      <c r="K731" s="19"/>
      <c r="L731" s="21"/>
      <c r="M731" s="27"/>
      <c r="N731" s="19"/>
      <c r="O731" s="21"/>
      <c r="P731" s="7">
        <v>0.35</v>
      </c>
      <c r="Q731" s="7">
        <f>Table2[[#This Row],[Elevation
PILE TOP]]-Table2[[#This Row],[LENGTH(m.)
(Actual)]]</f>
        <v>0.35</v>
      </c>
      <c r="R731" s="2"/>
      <c r="S731" s="7">
        <f>Table2[[#This Row],[N]]+Table2[[#This Row],[Pile 
Deviation 
N (m)]]</f>
        <v>1511749.4350000001</v>
      </c>
      <c r="T731" s="7">
        <f>Table2[[#This Row],[E]]+Table2[[#This Row],[Pile 
Deviation 
E (m)]]</f>
        <v>694025.20299999998</v>
      </c>
      <c r="W731" s="7">
        <v>-0.15</v>
      </c>
      <c r="X731" s="2" t="s">
        <v>42</v>
      </c>
      <c r="AA731" s="9">
        <v>46216</v>
      </c>
    </row>
    <row r="732" spans="1:27" hidden="1" x14ac:dyDescent="0.65">
      <c r="A732">
        <v>730</v>
      </c>
      <c r="B732" t="s">
        <v>29</v>
      </c>
      <c r="C732" s="6">
        <v>1511748.165</v>
      </c>
      <c r="D732" s="6">
        <v>694027.11600000004</v>
      </c>
      <c r="E732" s="2" t="s">
        <v>41</v>
      </c>
      <c r="F732" s="1">
        <v>26</v>
      </c>
      <c r="G732" s="2" t="s">
        <v>48</v>
      </c>
      <c r="J732"/>
      <c r="K732" s="19"/>
      <c r="L732" s="21"/>
      <c r="M732" s="27"/>
      <c r="N732" s="19"/>
      <c r="O732" s="21"/>
      <c r="P732" s="7">
        <v>0.35</v>
      </c>
      <c r="Q732" s="7">
        <f>Table2[[#This Row],[Elevation
PILE TOP]]-Table2[[#This Row],[LENGTH(m.)
(Actual)]]</f>
        <v>0.35</v>
      </c>
      <c r="R732" s="2"/>
      <c r="S732" s="7">
        <f>Table2[[#This Row],[N]]+Table2[[#This Row],[Pile 
Deviation 
N (m)]]</f>
        <v>1511748.165</v>
      </c>
      <c r="T732" s="7">
        <f>Table2[[#This Row],[E]]+Table2[[#This Row],[Pile 
Deviation 
E (m)]]</f>
        <v>694027.11600000004</v>
      </c>
      <c r="W732" s="7">
        <v>-0.15</v>
      </c>
      <c r="X732" s="2" t="s">
        <v>42</v>
      </c>
      <c r="AA732" s="9">
        <v>46216</v>
      </c>
    </row>
    <row r="733" spans="1:27" ht="13.95" hidden="1" customHeight="1" x14ac:dyDescent="0.65">
      <c r="A733">
        <v>731</v>
      </c>
      <c r="B733" t="s">
        <v>29</v>
      </c>
      <c r="C733" s="6">
        <v>1511745.9140000001</v>
      </c>
      <c r="D733" s="6">
        <v>694027.57</v>
      </c>
      <c r="E733" s="2" t="s">
        <v>41</v>
      </c>
      <c r="F733" s="1">
        <v>26</v>
      </c>
      <c r="G733" s="2" t="s">
        <v>48</v>
      </c>
      <c r="J733"/>
      <c r="K733" s="19"/>
      <c r="L733" s="21"/>
      <c r="M733" s="27"/>
      <c r="N733" s="19"/>
      <c r="O733" s="21"/>
      <c r="P733" s="7">
        <v>0.35</v>
      </c>
      <c r="Q733" s="7">
        <f>Table2[[#This Row],[Elevation
PILE TOP]]-Table2[[#This Row],[LENGTH(m.)
(Actual)]]</f>
        <v>0.35</v>
      </c>
      <c r="R733" s="2"/>
      <c r="S733" s="7">
        <f>Table2[[#This Row],[N]]+Table2[[#This Row],[Pile 
Deviation 
N (m)]]</f>
        <v>1511745.9140000001</v>
      </c>
      <c r="T733" s="7">
        <f>Table2[[#This Row],[E]]+Table2[[#This Row],[Pile 
Deviation 
E (m)]]</f>
        <v>694027.57</v>
      </c>
      <c r="W733" s="7">
        <v>-0.15</v>
      </c>
      <c r="X733" s="2" t="s">
        <v>42</v>
      </c>
      <c r="AA733" s="9">
        <v>46216</v>
      </c>
    </row>
    <row r="734" spans="1:27" hidden="1" x14ac:dyDescent="0.65">
      <c r="A734">
        <v>732</v>
      </c>
      <c r="B734" t="s">
        <v>29</v>
      </c>
      <c r="C734" s="6">
        <v>1511744.0009999999</v>
      </c>
      <c r="D734" s="6">
        <v>694026.3</v>
      </c>
      <c r="E734" s="2" t="s">
        <v>41</v>
      </c>
      <c r="F734" s="1">
        <v>26</v>
      </c>
      <c r="G734" s="2" t="s">
        <v>48</v>
      </c>
      <c r="J734"/>
      <c r="K734" s="19"/>
      <c r="L734" s="21"/>
      <c r="M734" s="27"/>
      <c r="N734" s="19"/>
      <c r="O734" s="21"/>
      <c r="P734" s="7">
        <v>0.35</v>
      </c>
      <c r="Q734" s="7">
        <f>Table2[[#This Row],[Elevation
PILE TOP]]-Table2[[#This Row],[LENGTH(m.)
(Actual)]]</f>
        <v>0.35</v>
      </c>
      <c r="R734" s="2"/>
      <c r="S734" s="7">
        <f>Table2[[#This Row],[N]]+Table2[[#This Row],[Pile 
Deviation 
N (m)]]</f>
        <v>1511744.0009999999</v>
      </c>
      <c r="T734" s="7">
        <f>Table2[[#This Row],[E]]+Table2[[#This Row],[Pile 
Deviation 
E (m)]]</f>
        <v>694026.3</v>
      </c>
      <c r="W734" s="7">
        <v>-0.15</v>
      </c>
      <c r="X734" s="2" t="s">
        <v>42</v>
      </c>
      <c r="AA734" s="9">
        <v>46216</v>
      </c>
    </row>
    <row r="735" spans="1:27" ht="13.95" hidden="1" customHeight="1" x14ac:dyDescent="0.65">
      <c r="A735">
        <v>733</v>
      </c>
      <c r="B735" t="s">
        <v>29</v>
      </c>
      <c r="C735" s="6">
        <v>1511743.547</v>
      </c>
      <c r="D735" s="6">
        <v>694024.049</v>
      </c>
      <c r="E735" s="2" t="s">
        <v>41</v>
      </c>
      <c r="F735" s="1">
        <v>26</v>
      </c>
      <c r="G735" s="2" t="s">
        <v>48</v>
      </c>
      <c r="J735"/>
      <c r="K735" s="19"/>
      <c r="L735" s="21"/>
      <c r="M735" s="27"/>
      <c r="N735" s="19"/>
      <c r="O735" s="21"/>
      <c r="P735" s="7">
        <v>0.35</v>
      </c>
      <c r="Q735" s="7">
        <f>Table2[[#This Row],[Elevation
PILE TOP]]-Table2[[#This Row],[LENGTH(m.)
(Actual)]]</f>
        <v>0.35</v>
      </c>
      <c r="R735" s="2"/>
      <c r="S735" s="7">
        <f>Table2[[#This Row],[N]]+Table2[[#This Row],[Pile 
Deviation 
N (m)]]</f>
        <v>1511743.547</v>
      </c>
      <c r="T735" s="7">
        <f>Table2[[#This Row],[E]]+Table2[[#This Row],[Pile 
Deviation 
E (m)]]</f>
        <v>694024.049</v>
      </c>
      <c r="W735" s="7">
        <v>-0.15</v>
      </c>
      <c r="X735" s="2" t="s">
        <v>42</v>
      </c>
      <c r="AA735" s="9">
        <v>46217</v>
      </c>
    </row>
    <row r="736" spans="1:27" hidden="1" x14ac:dyDescent="0.65">
      <c r="A736">
        <v>734</v>
      </c>
      <c r="B736" t="s">
        <v>29</v>
      </c>
      <c r="C736" s="6">
        <v>1511744.817</v>
      </c>
      <c r="D736" s="6">
        <v>694022.13699999999</v>
      </c>
      <c r="E736" s="2" t="s">
        <v>41</v>
      </c>
      <c r="F736" s="1">
        <v>26</v>
      </c>
      <c r="G736" s="2" t="s">
        <v>48</v>
      </c>
      <c r="J736"/>
      <c r="K736" s="19"/>
      <c r="L736" s="21"/>
      <c r="M736" s="27"/>
      <c r="N736" s="19"/>
      <c r="O736" s="21"/>
      <c r="P736" s="7">
        <v>0.35</v>
      </c>
      <c r="Q736" s="7">
        <f>Table2[[#This Row],[Elevation
PILE TOP]]-Table2[[#This Row],[LENGTH(m.)
(Actual)]]</f>
        <v>0.35</v>
      </c>
      <c r="R736" s="2"/>
      <c r="S736" s="7">
        <f>Table2[[#This Row],[N]]+Table2[[#This Row],[Pile 
Deviation 
N (m)]]</f>
        <v>1511744.817</v>
      </c>
      <c r="T736" s="7">
        <f>Table2[[#This Row],[E]]+Table2[[#This Row],[Pile 
Deviation 
E (m)]]</f>
        <v>694022.13699999999</v>
      </c>
      <c r="W736" s="7">
        <v>-0.15</v>
      </c>
      <c r="X736" s="2" t="s">
        <v>42</v>
      </c>
      <c r="AA736" s="9">
        <v>46217</v>
      </c>
    </row>
    <row r="737" spans="1:27" ht="13.95" hidden="1" customHeight="1" x14ac:dyDescent="0.65">
      <c r="A737">
        <v>735</v>
      </c>
      <c r="B737" t="s">
        <v>29</v>
      </c>
      <c r="C737" s="6">
        <v>1511746.4879999999</v>
      </c>
      <c r="D737" s="6">
        <v>694024.625</v>
      </c>
      <c r="E737" s="2" t="s">
        <v>35</v>
      </c>
      <c r="F737" s="1">
        <v>24</v>
      </c>
      <c r="G737" s="2" t="s">
        <v>48</v>
      </c>
      <c r="J737"/>
      <c r="K737" s="19"/>
      <c r="L737" s="21"/>
      <c r="M737" s="27"/>
      <c r="N737" s="19"/>
      <c r="O737" s="21"/>
      <c r="P737" s="7">
        <v>0.28999999999999998</v>
      </c>
      <c r="Q737" s="7">
        <f>Table2[[#This Row],[Elevation
PILE TOP]]-Table2[[#This Row],[LENGTH(m.)
(Actual)]]</f>
        <v>0.28999999999999998</v>
      </c>
      <c r="R737" s="2"/>
      <c r="S737" s="7">
        <f>Table2[[#This Row],[N]]+Table2[[#This Row],[Pile 
Deviation 
N (m)]]</f>
        <v>1511746.4879999999</v>
      </c>
      <c r="T737" s="7">
        <f>Table2[[#This Row],[E]]+Table2[[#This Row],[Pile 
Deviation 
E (m)]]</f>
        <v>694024.625</v>
      </c>
      <c r="W737" s="7">
        <v>0.28999999999999998</v>
      </c>
      <c r="X737" s="2" t="s">
        <v>40</v>
      </c>
      <c r="AA737" s="9">
        <v>46216</v>
      </c>
    </row>
    <row r="738" spans="1:27" hidden="1" x14ac:dyDescent="0.65">
      <c r="A738">
        <v>736</v>
      </c>
      <c r="B738" t="s">
        <v>29</v>
      </c>
      <c r="C738" s="6">
        <v>1511747.0819999999</v>
      </c>
      <c r="D738" s="6">
        <v>694027.56499999994</v>
      </c>
      <c r="E738" s="2" t="s">
        <v>35</v>
      </c>
      <c r="F738" s="1">
        <v>24</v>
      </c>
      <c r="G738" s="2" t="s">
        <v>48</v>
      </c>
      <c r="J738"/>
      <c r="K738" s="19"/>
      <c r="L738" s="21"/>
      <c r="M738" s="27"/>
      <c r="N738" s="19"/>
      <c r="O738" s="21"/>
      <c r="P738" s="7">
        <v>0.28999999999999998</v>
      </c>
      <c r="Q738" s="7">
        <f>Table2[[#This Row],[Elevation
PILE TOP]]-Table2[[#This Row],[LENGTH(m.)
(Actual)]]</f>
        <v>0.28999999999999998</v>
      </c>
      <c r="R738" s="2"/>
      <c r="S738" s="7">
        <f>Table2[[#This Row],[N]]+Table2[[#This Row],[Pile 
Deviation 
N (m)]]</f>
        <v>1511747.0819999999</v>
      </c>
      <c r="T738" s="7">
        <f>Table2[[#This Row],[E]]+Table2[[#This Row],[Pile 
Deviation 
E (m)]]</f>
        <v>694027.56499999994</v>
      </c>
      <c r="W738" s="7">
        <v>0.28999999999999998</v>
      </c>
      <c r="X738" s="2" t="s">
        <v>40</v>
      </c>
      <c r="AA738" s="9">
        <v>46216</v>
      </c>
    </row>
    <row r="739" spans="1:27" ht="13.95" hidden="1" customHeight="1" x14ac:dyDescent="0.65">
      <c r="A739">
        <v>737</v>
      </c>
      <c r="B739" t="s">
        <v>29</v>
      </c>
      <c r="C739" s="6">
        <v>1511747.676</v>
      </c>
      <c r="D739" s="6">
        <v>694030.50600000005</v>
      </c>
      <c r="E739" s="2" t="s">
        <v>35</v>
      </c>
      <c r="F739" s="1">
        <v>24</v>
      </c>
      <c r="G739" s="2" t="s">
        <v>48</v>
      </c>
      <c r="J739"/>
      <c r="K739" s="19"/>
      <c r="L739" s="21"/>
      <c r="M739" s="27"/>
      <c r="N739" s="19"/>
      <c r="O739" s="21"/>
      <c r="P739" s="7">
        <v>0.28999999999999998</v>
      </c>
      <c r="Q739" s="7">
        <f>Table2[[#This Row],[Elevation
PILE TOP]]-Table2[[#This Row],[LENGTH(m.)
(Actual)]]</f>
        <v>0.28999999999999998</v>
      </c>
      <c r="R739" s="2"/>
      <c r="S739" s="7">
        <f>Table2[[#This Row],[N]]+Table2[[#This Row],[Pile 
Deviation 
N (m)]]</f>
        <v>1511747.676</v>
      </c>
      <c r="T739" s="7">
        <f>Table2[[#This Row],[E]]+Table2[[#This Row],[Pile 
Deviation 
E (m)]]</f>
        <v>694030.50600000005</v>
      </c>
      <c r="W739" s="7">
        <v>0.28999999999999998</v>
      </c>
      <c r="X739" s="2" t="s">
        <v>40</v>
      </c>
      <c r="AA739" s="9">
        <v>46205</v>
      </c>
    </row>
    <row r="740" spans="1:27" hidden="1" x14ac:dyDescent="0.65">
      <c r="A740">
        <v>738</v>
      </c>
      <c r="B740" t="s">
        <v>29</v>
      </c>
      <c r="C740" s="6">
        <v>1511748.8689999999</v>
      </c>
      <c r="D740" s="6">
        <v>694030.603</v>
      </c>
      <c r="E740" s="2" t="s">
        <v>41</v>
      </c>
      <c r="F740" s="1">
        <v>26</v>
      </c>
      <c r="G740" s="2" t="s">
        <v>48</v>
      </c>
      <c r="J740"/>
      <c r="K740" s="19"/>
      <c r="L740" s="21"/>
      <c r="M740" s="27"/>
      <c r="N740" s="19"/>
      <c r="O740" s="21"/>
      <c r="P740" s="7">
        <v>0.35</v>
      </c>
      <c r="Q740" s="7">
        <f>Table2[[#This Row],[Elevation
PILE TOP]]-Table2[[#This Row],[LENGTH(m.)
(Actual)]]</f>
        <v>0.35</v>
      </c>
      <c r="R740" s="2"/>
      <c r="S740" s="7">
        <f>Table2[[#This Row],[N]]+Table2[[#This Row],[Pile 
Deviation 
N (m)]]</f>
        <v>1511748.8689999999</v>
      </c>
      <c r="T740" s="7">
        <f>Table2[[#This Row],[E]]+Table2[[#This Row],[Pile 
Deviation 
E (m)]]</f>
        <v>694030.603</v>
      </c>
      <c r="W740" s="7">
        <v>-0.15</v>
      </c>
      <c r="X740" s="2" t="s">
        <v>42</v>
      </c>
      <c r="AA740" s="9">
        <v>46205</v>
      </c>
    </row>
    <row r="741" spans="1:27" ht="13.95" hidden="1" customHeight="1" x14ac:dyDescent="0.65">
      <c r="A741">
        <v>739</v>
      </c>
      <c r="B741" t="s">
        <v>29</v>
      </c>
      <c r="C741" s="6">
        <v>1511750.7819999999</v>
      </c>
      <c r="D741" s="6">
        <v>694031.87300000002</v>
      </c>
      <c r="E741" s="2" t="s">
        <v>41</v>
      </c>
      <c r="F741" s="1">
        <v>26</v>
      </c>
      <c r="G741" s="2" t="s">
        <v>48</v>
      </c>
      <c r="J741"/>
      <c r="K741" s="19"/>
      <c r="L741" s="21"/>
      <c r="M741" s="27"/>
      <c r="N741" s="19"/>
      <c r="O741" s="21"/>
      <c r="P741" s="7">
        <v>0.35</v>
      </c>
      <c r="Q741" s="7">
        <f>Table2[[#This Row],[Elevation
PILE TOP]]-Table2[[#This Row],[LENGTH(m.)
(Actual)]]</f>
        <v>0.35</v>
      </c>
      <c r="R741" s="2"/>
      <c r="S741" s="7">
        <f>Table2[[#This Row],[N]]+Table2[[#This Row],[Pile 
Deviation 
N (m)]]</f>
        <v>1511750.7819999999</v>
      </c>
      <c r="T741" s="7">
        <f>Table2[[#This Row],[E]]+Table2[[#This Row],[Pile 
Deviation 
E (m)]]</f>
        <v>694031.87300000002</v>
      </c>
      <c r="W741" s="7">
        <v>-0.15</v>
      </c>
      <c r="X741" s="2" t="s">
        <v>42</v>
      </c>
      <c r="AA741" s="9">
        <v>46206</v>
      </c>
    </row>
    <row r="742" spans="1:27" hidden="1" x14ac:dyDescent="0.65">
      <c r="A742">
        <v>740</v>
      </c>
      <c r="B742" t="s">
        <v>29</v>
      </c>
      <c r="C742" s="6">
        <v>1511751.236</v>
      </c>
      <c r="D742" s="6">
        <v>694034.12300000002</v>
      </c>
      <c r="E742" s="2" t="s">
        <v>41</v>
      </c>
      <c r="F742" s="1">
        <v>26</v>
      </c>
      <c r="G742" s="2" t="s">
        <v>48</v>
      </c>
      <c r="J742"/>
      <c r="K742" s="19"/>
      <c r="L742" s="21"/>
      <c r="M742" s="27"/>
      <c r="N742" s="19"/>
      <c r="O742" s="21"/>
      <c r="P742" s="7">
        <v>0.35</v>
      </c>
      <c r="Q742" s="7">
        <f>Table2[[#This Row],[Elevation
PILE TOP]]-Table2[[#This Row],[LENGTH(m.)
(Actual)]]</f>
        <v>0.35</v>
      </c>
      <c r="R742" s="2"/>
      <c r="S742" s="7">
        <f>Table2[[#This Row],[N]]+Table2[[#This Row],[Pile 
Deviation 
N (m)]]</f>
        <v>1511751.236</v>
      </c>
      <c r="T742" s="7">
        <f>Table2[[#This Row],[E]]+Table2[[#This Row],[Pile 
Deviation 
E (m)]]</f>
        <v>694034.12300000002</v>
      </c>
      <c r="W742" s="7">
        <v>-0.15</v>
      </c>
      <c r="X742" s="2" t="s">
        <v>42</v>
      </c>
      <c r="AA742" s="9">
        <v>46206</v>
      </c>
    </row>
    <row r="743" spans="1:27" ht="13.95" hidden="1" customHeight="1" x14ac:dyDescent="0.65">
      <c r="A743">
        <v>741</v>
      </c>
      <c r="B743" t="s">
        <v>29</v>
      </c>
      <c r="C743" s="6">
        <v>1511749.966</v>
      </c>
      <c r="D743" s="6">
        <v>694036.03599999996</v>
      </c>
      <c r="E743" s="2" t="s">
        <v>41</v>
      </c>
      <c r="F743" s="1">
        <v>26</v>
      </c>
      <c r="G743" s="2" t="s">
        <v>48</v>
      </c>
      <c r="J743"/>
      <c r="K743" s="19"/>
      <c r="L743" s="21"/>
      <c r="M743" s="27"/>
      <c r="N743" s="19"/>
      <c r="O743" s="21"/>
      <c r="P743" s="7">
        <v>0.35</v>
      </c>
      <c r="Q743" s="7">
        <f>Table2[[#This Row],[Elevation
PILE TOP]]-Table2[[#This Row],[LENGTH(m.)
(Actual)]]</f>
        <v>0.35</v>
      </c>
      <c r="R743" s="2"/>
      <c r="S743" s="7">
        <f>Table2[[#This Row],[N]]+Table2[[#This Row],[Pile 
Deviation 
N (m)]]</f>
        <v>1511749.966</v>
      </c>
      <c r="T743" s="7">
        <f>Table2[[#This Row],[E]]+Table2[[#This Row],[Pile 
Deviation 
E (m)]]</f>
        <v>694036.03599999996</v>
      </c>
      <c r="W743" s="7">
        <v>-0.15</v>
      </c>
      <c r="X743" s="2" t="s">
        <v>42</v>
      </c>
      <c r="AA743" s="9">
        <v>46207</v>
      </c>
    </row>
    <row r="744" spans="1:27" hidden="1" x14ac:dyDescent="0.65">
      <c r="A744">
        <v>742</v>
      </c>
      <c r="B744" t="s">
        <v>29</v>
      </c>
      <c r="C744" s="6">
        <v>1511747.716</v>
      </c>
      <c r="D744" s="6">
        <v>694036.49100000004</v>
      </c>
      <c r="E744" s="2" t="s">
        <v>41</v>
      </c>
      <c r="F744" s="1">
        <v>26</v>
      </c>
      <c r="G744" s="2" t="s">
        <v>48</v>
      </c>
      <c r="J744"/>
      <c r="K744" s="19"/>
      <c r="L744" s="21"/>
      <c r="M744" s="27"/>
      <c r="N744" s="19"/>
      <c r="O744" s="21"/>
      <c r="P744" s="7">
        <v>0.35</v>
      </c>
      <c r="Q744" s="7">
        <f>Table2[[#This Row],[Elevation
PILE TOP]]-Table2[[#This Row],[LENGTH(m.)
(Actual)]]</f>
        <v>0.35</v>
      </c>
      <c r="R744" s="2"/>
      <c r="S744" s="7">
        <f>Table2[[#This Row],[N]]+Table2[[#This Row],[Pile 
Deviation 
N (m)]]</f>
        <v>1511747.716</v>
      </c>
      <c r="T744" s="7">
        <f>Table2[[#This Row],[E]]+Table2[[#This Row],[Pile 
Deviation 
E (m)]]</f>
        <v>694036.49100000004</v>
      </c>
      <c r="W744" s="7">
        <v>-0.15</v>
      </c>
      <c r="X744" s="2" t="s">
        <v>42</v>
      </c>
      <c r="AA744" s="9">
        <v>46207</v>
      </c>
    </row>
    <row r="745" spans="1:27" ht="13.95" hidden="1" customHeight="1" x14ac:dyDescent="0.65">
      <c r="A745">
        <v>743</v>
      </c>
      <c r="B745" t="s">
        <v>29</v>
      </c>
      <c r="C745" s="6">
        <v>1511745.8030000001</v>
      </c>
      <c r="D745" s="6">
        <v>694035.22100000002</v>
      </c>
      <c r="E745" s="2" t="s">
        <v>41</v>
      </c>
      <c r="F745" s="1">
        <v>26</v>
      </c>
      <c r="G745" s="2" t="s">
        <v>48</v>
      </c>
      <c r="J745"/>
      <c r="K745" s="19"/>
      <c r="L745" s="21"/>
      <c r="M745" s="27"/>
      <c r="N745" s="19"/>
      <c r="O745" s="21"/>
      <c r="P745" s="7">
        <v>0.35</v>
      </c>
      <c r="Q745" s="7">
        <f>Table2[[#This Row],[Elevation
PILE TOP]]-Table2[[#This Row],[LENGTH(m.)
(Actual)]]</f>
        <v>0.35</v>
      </c>
      <c r="R745" s="2"/>
      <c r="S745" s="7">
        <f>Table2[[#This Row],[N]]+Table2[[#This Row],[Pile 
Deviation 
N (m)]]</f>
        <v>1511745.8030000001</v>
      </c>
      <c r="T745" s="7">
        <f>Table2[[#This Row],[E]]+Table2[[#This Row],[Pile 
Deviation 
E (m)]]</f>
        <v>694035.22100000002</v>
      </c>
      <c r="W745" s="7">
        <v>-0.15</v>
      </c>
      <c r="X745" s="2" t="s">
        <v>42</v>
      </c>
      <c r="AA745" s="9">
        <v>46206</v>
      </c>
    </row>
    <row r="746" spans="1:27" hidden="1" x14ac:dyDescent="0.65">
      <c r="A746">
        <v>744</v>
      </c>
      <c r="B746" t="s">
        <v>29</v>
      </c>
      <c r="C746" s="6">
        <v>1511745.348</v>
      </c>
      <c r="D746" s="6">
        <v>694032.97</v>
      </c>
      <c r="E746" s="2" t="s">
        <v>41</v>
      </c>
      <c r="F746" s="1">
        <v>26</v>
      </c>
      <c r="G746" s="2" t="s">
        <v>48</v>
      </c>
      <c r="J746"/>
      <c r="K746" s="19"/>
      <c r="L746" s="21"/>
      <c r="M746" s="27"/>
      <c r="N746" s="19"/>
      <c r="O746" s="21"/>
      <c r="P746" s="7">
        <v>0.35</v>
      </c>
      <c r="Q746" s="7">
        <f>Table2[[#This Row],[Elevation
PILE TOP]]-Table2[[#This Row],[LENGTH(m.)
(Actual)]]</f>
        <v>0.35</v>
      </c>
      <c r="R746" s="2"/>
      <c r="S746" s="7">
        <f>Table2[[#This Row],[N]]+Table2[[#This Row],[Pile 
Deviation 
N (m)]]</f>
        <v>1511745.348</v>
      </c>
      <c r="T746" s="7">
        <f>Table2[[#This Row],[E]]+Table2[[#This Row],[Pile 
Deviation 
E (m)]]</f>
        <v>694032.97</v>
      </c>
      <c r="W746" s="7">
        <v>-0.15</v>
      </c>
      <c r="X746" s="2" t="s">
        <v>42</v>
      </c>
      <c r="AA746" s="9">
        <v>46206</v>
      </c>
    </row>
    <row r="747" spans="1:27" ht="13.95" hidden="1" customHeight="1" x14ac:dyDescent="0.65">
      <c r="A747">
        <v>745</v>
      </c>
      <c r="B747" t="s">
        <v>29</v>
      </c>
      <c r="C747" s="6">
        <v>1511746.618</v>
      </c>
      <c r="D747" s="6">
        <v>694031.05700000003</v>
      </c>
      <c r="E747" s="2" t="s">
        <v>41</v>
      </c>
      <c r="F747" s="1">
        <v>26</v>
      </c>
      <c r="G747" s="2" t="s">
        <v>48</v>
      </c>
      <c r="J747"/>
      <c r="K747" s="19"/>
      <c r="L747" s="21"/>
      <c r="M747" s="27"/>
      <c r="N747" s="19"/>
      <c r="O747" s="21"/>
      <c r="P747" s="7">
        <v>0.35</v>
      </c>
      <c r="Q747" s="7">
        <f>Table2[[#This Row],[Elevation
PILE TOP]]-Table2[[#This Row],[LENGTH(m.)
(Actual)]]</f>
        <v>0.35</v>
      </c>
      <c r="R747" s="2"/>
      <c r="S747" s="7">
        <f>Table2[[#This Row],[N]]+Table2[[#This Row],[Pile 
Deviation 
N (m)]]</f>
        <v>1511746.618</v>
      </c>
      <c r="T747" s="7">
        <f>Table2[[#This Row],[E]]+Table2[[#This Row],[Pile 
Deviation 
E (m)]]</f>
        <v>694031.05700000003</v>
      </c>
      <c r="W747" s="7">
        <v>-0.15</v>
      </c>
      <c r="X747" s="2" t="s">
        <v>42</v>
      </c>
      <c r="AA747" s="9">
        <v>46205</v>
      </c>
    </row>
    <row r="748" spans="1:27" hidden="1" x14ac:dyDescent="0.65">
      <c r="A748">
        <v>746</v>
      </c>
      <c r="B748" t="s">
        <v>29</v>
      </c>
      <c r="C748" s="6">
        <v>1511748.2690000001</v>
      </c>
      <c r="D748" s="6">
        <v>694033.446</v>
      </c>
      <c r="E748" s="2" t="s">
        <v>35</v>
      </c>
      <c r="F748" s="1">
        <v>24</v>
      </c>
      <c r="G748" s="2" t="s">
        <v>48</v>
      </c>
      <c r="J748"/>
      <c r="K748" s="19"/>
      <c r="L748" s="21"/>
      <c r="M748" s="27"/>
      <c r="N748" s="19"/>
      <c r="O748" s="21"/>
      <c r="P748" s="7">
        <v>0.28999999999999998</v>
      </c>
      <c r="Q748" s="7">
        <f>Table2[[#This Row],[Elevation
PILE TOP]]-Table2[[#This Row],[LENGTH(m.)
(Actual)]]</f>
        <v>0.28999999999999998</v>
      </c>
      <c r="R748" s="2"/>
      <c r="S748" s="7">
        <f>Table2[[#This Row],[N]]+Table2[[#This Row],[Pile 
Deviation 
N (m)]]</f>
        <v>1511748.2690000001</v>
      </c>
      <c r="T748" s="7">
        <f>Table2[[#This Row],[E]]+Table2[[#This Row],[Pile 
Deviation 
E (m)]]</f>
        <v>694033.446</v>
      </c>
      <c r="W748" s="7">
        <v>0.28999999999999998</v>
      </c>
      <c r="X748" s="2" t="s">
        <v>40</v>
      </c>
      <c r="AA748" s="9">
        <v>46206</v>
      </c>
    </row>
    <row r="749" spans="1:27" ht="13.95" hidden="1" customHeight="1" x14ac:dyDescent="0.65">
      <c r="A749">
        <v>747</v>
      </c>
      <c r="B749" t="s">
        <v>29</v>
      </c>
      <c r="C749" s="6">
        <v>1511748.942</v>
      </c>
      <c r="D749" s="6">
        <v>694036.77899999998</v>
      </c>
      <c r="E749" s="2" t="s">
        <v>35</v>
      </c>
      <c r="F749" s="1">
        <v>24</v>
      </c>
      <c r="G749" s="2" t="s">
        <v>48</v>
      </c>
      <c r="J749"/>
      <c r="K749" s="19"/>
      <c r="L749" s="21"/>
      <c r="M749" s="27"/>
      <c r="N749" s="19"/>
      <c r="O749" s="21"/>
      <c r="P749" s="7">
        <v>0.28999999999999998</v>
      </c>
      <c r="Q749" s="7">
        <f>Table2[[#This Row],[Elevation
PILE TOP]]-Table2[[#This Row],[LENGTH(m.)
(Actual)]]</f>
        <v>0.28999999999999998</v>
      </c>
      <c r="R749" s="2"/>
      <c r="S749" s="7">
        <f>Table2[[#This Row],[N]]+Table2[[#This Row],[Pile 
Deviation 
N (m)]]</f>
        <v>1511748.942</v>
      </c>
      <c r="T749" s="7">
        <f>Table2[[#This Row],[E]]+Table2[[#This Row],[Pile 
Deviation 
E (m)]]</f>
        <v>694036.77899999998</v>
      </c>
      <c r="W749" s="7">
        <v>0.28999999999999998</v>
      </c>
      <c r="X749" s="2" t="s">
        <v>40</v>
      </c>
      <c r="AA749" s="9">
        <v>46207</v>
      </c>
    </row>
    <row r="750" spans="1:27" hidden="1" x14ac:dyDescent="0.65">
      <c r="A750">
        <v>748</v>
      </c>
      <c r="B750" t="s">
        <v>29</v>
      </c>
      <c r="C750" s="6">
        <v>1511750.2150000001</v>
      </c>
      <c r="D750" s="6">
        <v>694037.26699999999</v>
      </c>
      <c r="E750" s="2" t="s">
        <v>41</v>
      </c>
      <c r="F750" s="1">
        <v>26</v>
      </c>
      <c r="G750" s="2" t="s">
        <v>48</v>
      </c>
      <c r="J750"/>
      <c r="K750" s="19"/>
      <c r="L750" s="21"/>
      <c r="M750" s="27"/>
      <c r="N750" s="19"/>
      <c r="O750" s="21"/>
      <c r="P750" s="7">
        <v>0.35</v>
      </c>
      <c r="Q750" s="7">
        <f>Table2[[#This Row],[Elevation
PILE TOP]]-Table2[[#This Row],[LENGTH(m.)
(Actual)]]</f>
        <v>0.35</v>
      </c>
      <c r="R750" s="2"/>
      <c r="S750" s="7">
        <f>Table2[[#This Row],[N]]+Table2[[#This Row],[Pile 
Deviation 
N (m)]]</f>
        <v>1511750.2150000001</v>
      </c>
      <c r="T750" s="7">
        <f>Table2[[#This Row],[E]]+Table2[[#This Row],[Pile 
Deviation 
E (m)]]</f>
        <v>694037.26699999999</v>
      </c>
      <c r="W750" s="7">
        <v>-0.15</v>
      </c>
      <c r="X750" s="2" t="s">
        <v>42</v>
      </c>
      <c r="AA750" s="9">
        <v>46207</v>
      </c>
    </row>
    <row r="751" spans="1:27" ht="13.95" hidden="1" customHeight="1" x14ac:dyDescent="0.65">
      <c r="A751">
        <v>749</v>
      </c>
      <c r="B751" t="s">
        <v>29</v>
      </c>
      <c r="C751" s="6">
        <v>1511752.128</v>
      </c>
      <c r="D751" s="6">
        <v>694038.53700000001</v>
      </c>
      <c r="E751" s="2" t="s">
        <v>41</v>
      </c>
      <c r="F751" s="1">
        <v>26</v>
      </c>
      <c r="G751" s="2" t="s">
        <v>48</v>
      </c>
      <c r="J751"/>
      <c r="K751" s="19"/>
      <c r="L751" s="21"/>
      <c r="M751" s="27"/>
      <c r="N751" s="19"/>
      <c r="O751" s="21"/>
      <c r="P751" s="7">
        <v>0.35</v>
      </c>
      <c r="Q751" s="7">
        <f>Table2[[#This Row],[Elevation
PILE TOP]]-Table2[[#This Row],[LENGTH(m.)
(Actual)]]</f>
        <v>0.35</v>
      </c>
      <c r="R751" s="2"/>
      <c r="S751" s="7">
        <f>Table2[[#This Row],[N]]+Table2[[#This Row],[Pile 
Deviation 
N (m)]]</f>
        <v>1511752.128</v>
      </c>
      <c r="T751" s="7">
        <f>Table2[[#This Row],[E]]+Table2[[#This Row],[Pile 
Deviation 
E (m)]]</f>
        <v>694038.53700000001</v>
      </c>
      <c r="W751" s="7">
        <v>-0.15</v>
      </c>
      <c r="X751" s="2" t="s">
        <v>42</v>
      </c>
      <c r="AA751" s="9">
        <v>46207</v>
      </c>
    </row>
    <row r="752" spans="1:27" hidden="1" x14ac:dyDescent="0.65">
      <c r="A752">
        <v>750</v>
      </c>
      <c r="B752" t="s">
        <v>29</v>
      </c>
      <c r="C752" s="6">
        <v>1511752.5819999999</v>
      </c>
      <c r="D752" s="6">
        <v>694040.78799999994</v>
      </c>
      <c r="E752" s="2" t="s">
        <v>41</v>
      </c>
      <c r="F752" s="1">
        <v>26</v>
      </c>
      <c r="G752" s="2" t="s">
        <v>48</v>
      </c>
      <c r="J752"/>
      <c r="K752" s="19"/>
      <c r="L752" s="21"/>
      <c r="M752" s="27"/>
      <c r="N752" s="19"/>
      <c r="O752" s="21"/>
      <c r="P752" s="7">
        <v>0.35</v>
      </c>
      <c r="Q752" s="7">
        <f>Table2[[#This Row],[Elevation
PILE TOP]]-Table2[[#This Row],[LENGTH(m.)
(Actual)]]</f>
        <v>0.35</v>
      </c>
      <c r="R752" s="2"/>
      <c r="S752" s="7">
        <f>Table2[[#This Row],[N]]+Table2[[#This Row],[Pile 
Deviation 
N (m)]]</f>
        <v>1511752.5819999999</v>
      </c>
      <c r="T752" s="7">
        <f>Table2[[#This Row],[E]]+Table2[[#This Row],[Pile 
Deviation 
E (m)]]</f>
        <v>694040.78799999994</v>
      </c>
      <c r="W752" s="7">
        <v>-0.15</v>
      </c>
      <c r="X752" s="2" t="s">
        <v>42</v>
      </c>
      <c r="AA752" s="9">
        <v>46209</v>
      </c>
    </row>
    <row r="753" spans="1:27" ht="13.95" hidden="1" customHeight="1" x14ac:dyDescent="0.65">
      <c r="A753">
        <v>751</v>
      </c>
      <c r="B753" t="s">
        <v>29</v>
      </c>
      <c r="C753" s="6">
        <v>1511751.3119999999</v>
      </c>
      <c r="D753" s="6">
        <v>694042.701</v>
      </c>
      <c r="E753" s="2" t="s">
        <v>41</v>
      </c>
      <c r="F753" s="1">
        <v>26</v>
      </c>
      <c r="G753" s="2" t="s">
        <v>48</v>
      </c>
      <c r="J753"/>
      <c r="K753" s="19"/>
      <c r="L753" s="21"/>
      <c r="M753" s="27"/>
      <c r="N753" s="19"/>
      <c r="O753" s="21"/>
      <c r="P753" s="7">
        <v>0.35</v>
      </c>
      <c r="Q753" s="7">
        <f>Table2[[#This Row],[Elevation
PILE TOP]]-Table2[[#This Row],[LENGTH(m.)
(Actual)]]</f>
        <v>0.35</v>
      </c>
      <c r="R753" s="2"/>
      <c r="S753" s="7">
        <f>Table2[[#This Row],[N]]+Table2[[#This Row],[Pile 
Deviation 
N (m)]]</f>
        <v>1511751.3119999999</v>
      </c>
      <c r="T753" s="7">
        <f>Table2[[#This Row],[E]]+Table2[[#This Row],[Pile 
Deviation 
E (m)]]</f>
        <v>694042.701</v>
      </c>
      <c r="W753" s="7">
        <v>-0.15</v>
      </c>
      <c r="X753" s="2" t="s">
        <v>42</v>
      </c>
      <c r="AA753" s="9">
        <v>46209</v>
      </c>
    </row>
    <row r="754" spans="1:27" hidden="1" x14ac:dyDescent="0.65">
      <c r="A754">
        <v>752</v>
      </c>
      <c r="B754" t="s">
        <v>29</v>
      </c>
      <c r="C754" s="6">
        <v>1511749.061</v>
      </c>
      <c r="D754" s="6">
        <v>694043.15500000003</v>
      </c>
      <c r="E754" s="2" t="s">
        <v>41</v>
      </c>
      <c r="F754" s="1">
        <v>26</v>
      </c>
      <c r="G754" s="2" t="s">
        <v>48</v>
      </c>
      <c r="J754"/>
      <c r="K754" s="19"/>
      <c r="L754" s="21"/>
      <c r="M754" s="27"/>
      <c r="N754" s="19"/>
      <c r="O754" s="21"/>
      <c r="P754" s="7">
        <v>0.35</v>
      </c>
      <c r="Q754" s="7">
        <f>Table2[[#This Row],[Elevation
PILE TOP]]-Table2[[#This Row],[LENGTH(m.)
(Actual)]]</f>
        <v>0.35</v>
      </c>
      <c r="R754" s="2"/>
      <c r="S754" s="7">
        <f>Table2[[#This Row],[N]]+Table2[[#This Row],[Pile 
Deviation 
N (m)]]</f>
        <v>1511749.061</v>
      </c>
      <c r="T754" s="7">
        <f>Table2[[#This Row],[E]]+Table2[[#This Row],[Pile 
Deviation 
E (m)]]</f>
        <v>694043.15500000003</v>
      </c>
      <c r="W754" s="7">
        <v>-0.15</v>
      </c>
      <c r="X754" s="2" t="s">
        <v>42</v>
      </c>
      <c r="AA754" s="9">
        <v>46209</v>
      </c>
    </row>
    <row r="755" spans="1:27" ht="13.95" hidden="1" customHeight="1" x14ac:dyDescent="0.65">
      <c r="A755">
        <v>753</v>
      </c>
      <c r="B755" t="s">
        <v>29</v>
      </c>
      <c r="C755" s="6">
        <v>1511747.149</v>
      </c>
      <c r="D755" s="6">
        <v>694041.88500000001</v>
      </c>
      <c r="E755" s="2" t="s">
        <v>41</v>
      </c>
      <c r="F755" s="1">
        <v>26</v>
      </c>
      <c r="G755" s="2" t="s">
        <v>48</v>
      </c>
      <c r="J755"/>
      <c r="K755" s="19"/>
      <c r="L755" s="21"/>
      <c r="M755" s="27"/>
      <c r="N755" s="19"/>
      <c r="O755" s="21"/>
      <c r="P755" s="7">
        <v>0.35</v>
      </c>
      <c r="Q755" s="7">
        <f>Table2[[#This Row],[Elevation
PILE TOP]]-Table2[[#This Row],[LENGTH(m.)
(Actual)]]</f>
        <v>0.35</v>
      </c>
      <c r="R755" s="2"/>
      <c r="S755" s="7">
        <f>Table2[[#This Row],[N]]+Table2[[#This Row],[Pile 
Deviation 
N (m)]]</f>
        <v>1511747.149</v>
      </c>
      <c r="T755" s="7">
        <f>Table2[[#This Row],[E]]+Table2[[#This Row],[Pile 
Deviation 
E (m)]]</f>
        <v>694041.88500000001</v>
      </c>
      <c r="W755" s="7">
        <v>-0.15</v>
      </c>
      <c r="X755" s="2" t="s">
        <v>42</v>
      </c>
      <c r="AA755" s="9">
        <v>46209</v>
      </c>
    </row>
    <row r="756" spans="1:27" hidden="1" x14ac:dyDescent="0.65">
      <c r="A756">
        <v>754</v>
      </c>
      <c r="B756" t="s">
        <v>29</v>
      </c>
      <c r="C756" s="6">
        <v>1511746.6939999999</v>
      </c>
      <c r="D756" s="6">
        <v>694039.63399999996</v>
      </c>
      <c r="E756" s="2" t="s">
        <v>41</v>
      </c>
      <c r="F756" s="1">
        <v>26</v>
      </c>
      <c r="G756" s="2" t="s">
        <v>48</v>
      </c>
      <c r="J756"/>
      <c r="K756" s="19"/>
      <c r="L756" s="21"/>
      <c r="M756" s="27"/>
      <c r="N756" s="19"/>
      <c r="O756" s="21"/>
      <c r="P756" s="7">
        <v>0.35</v>
      </c>
      <c r="Q756" s="7">
        <f>Table2[[#This Row],[Elevation
PILE TOP]]-Table2[[#This Row],[LENGTH(m.)
(Actual)]]</f>
        <v>0.35</v>
      </c>
      <c r="R756" s="2"/>
      <c r="S756" s="7">
        <f>Table2[[#This Row],[N]]+Table2[[#This Row],[Pile 
Deviation 
N (m)]]</f>
        <v>1511746.6939999999</v>
      </c>
      <c r="T756" s="7">
        <f>Table2[[#This Row],[E]]+Table2[[#This Row],[Pile 
Deviation 
E (m)]]</f>
        <v>694039.63399999996</v>
      </c>
      <c r="W756" s="7">
        <v>-0.15</v>
      </c>
      <c r="X756" s="2" t="s">
        <v>42</v>
      </c>
      <c r="AA756" s="9">
        <v>46207</v>
      </c>
    </row>
    <row r="757" spans="1:27" ht="13.95" hidden="1" customHeight="1" x14ac:dyDescent="0.65">
      <c r="A757">
        <v>755</v>
      </c>
      <c r="B757" t="s">
        <v>29</v>
      </c>
      <c r="C757" s="6">
        <v>1511747.9639999999</v>
      </c>
      <c r="D757" s="6">
        <v>694037.72100000002</v>
      </c>
      <c r="E757" s="2" t="s">
        <v>41</v>
      </c>
      <c r="F757" s="1">
        <v>26</v>
      </c>
      <c r="G757" s="2" t="s">
        <v>48</v>
      </c>
      <c r="J757"/>
      <c r="K757" s="19"/>
      <c r="L757" s="21"/>
      <c r="M757" s="27"/>
      <c r="N757" s="19"/>
      <c r="O757" s="21"/>
      <c r="P757" s="7">
        <v>0.35</v>
      </c>
      <c r="Q757" s="7">
        <f>Table2[[#This Row],[Elevation
PILE TOP]]-Table2[[#This Row],[LENGTH(m.)
(Actual)]]</f>
        <v>0.35</v>
      </c>
      <c r="R757" s="2"/>
      <c r="S757" s="7">
        <f>Table2[[#This Row],[N]]+Table2[[#This Row],[Pile 
Deviation 
N (m)]]</f>
        <v>1511747.9639999999</v>
      </c>
      <c r="T757" s="7">
        <f>Table2[[#This Row],[E]]+Table2[[#This Row],[Pile 
Deviation 
E (m)]]</f>
        <v>694037.72100000002</v>
      </c>
      <c r="W757" s="7">
        <v>-0.15</v>
      </c>
      <c r="X757" s="2" t="s">
        <v>42</v>
      </c>
      <c r="AA757" s="9">
        <v>46207</v>
      </c>
    </row>
    <row r="758" spans="1:27" hidden="1" x14ac:dyDescent="0.65">
      <c r="A758">
        <v>756</v>
      </c>
      <c r="B758" t="s">
        <v>29</v>
      </c>
      <c r="C758" s="6">
        <v>1511749.615</v>
      </c>
      <c r="D758" s="6">
        <v>694040.11199999996</v>
      </c>
      <c r="E758" s="2" t="s">
        <v>35</v>
      </c>
      <c r="F758" s="1">
        <v>24</v>
      </c>
      <c r="G758" s="2" t="s">
        <v>48</v>
      </c>
      <c r="J758"/>
      <c r="K758" s="19"/>
      <c r="L758" s="21"/>
      <c r="M758" s="27"/>
      <c r="N758" s="19"/>
      <c r="O758" s="21"/>
      <c r="P758" s="7">
        <v>0.28999999999999998</v>
      </c>
      <c r="Q758" s="7">
        <f>Table2[[#This Row],[Elevation
PILE TOP]]-Table2[[#This Row],[LENGTH(m.)
(Actual)]]</f>
        <v>0.28999999999999998</v>
      </c>
      <c r="R758" s="2"/>
      <c r="S758" s="7">
        <f>Table2[[#This Row],[N]]+Table2[[#This Row],[Pile 
Deviation 
N (m)]]</f>
        <v>1511749.615</v>
      </c>
      <c r="T758" s="7">
        <f>Table2[[#This Row],[E]]+Table2[[#This Row],[Pile 
Deviation 
E (m)]]</f>
        <v>694040.11199999996</v>
      </c>
      <c r="W758" s="7">
        <v>0.28999999999999998</v>
      </c>
      <c r="X758" s="2" t="s">
        <v>40</v>
      </c>
      <c r="AA758" s="9">
        <v>46209</v>
      </c>
    </row>
    <row r="759" spans="1:27" ht="13.95" hidden="1" customHeight="1" x14ac:dyDescent="0.65">
      <c r="A759">
        <v>757</v>
      </c>
      <c r="B759" t="s">
        <v>29</v>
      </c>
      <c r="C759" s="6">
        <v>1511750.209</v>
      </c>
      <c r="D759" s="6">
        <v>694043.05200000003</v>
      </c>
      <c r="E759" s="2" t="s">
        <v>35</v>
      </c>
      <c r="F759" s="1">
        <v>24</v>
      </c>
      <c r="G759" s="2" t="s">
        <v>48</v>
      </c>
      <c r="J759"/>
      <c r="K759" s="19"/>
      <c r="L759" s="21"/>
      <c r="M759" s="27"/>
      <c r="N759" s="19"/>
      <c r="O759" s="21"/>
      <c r="P759" s="7">
        <v>0.28999999999999998</v>
      </c>
      <c r="Q759" s="7">
        <f>Table2[[#This Row],[Elevation
PILE TOP]]-Table2[[#This Row],[LENGTH(m.)
(Actual)]]</f>
        <v>0.28999999999999998</v>
      </c>
      <c r="R759" s="2"/>
      <c r="S759" s="7">
        <f>Table2[[#This Row],[N]]+Table2[[#This Row],[Pile 
Deviation 
N (m)]]</f>
        <v>1511750.209</v>
      </c>
      <c r="T759" s="7">
        <f>Table2[[#This Row],[E]]+Table2[[#This Row],[Pile 
Deviation 
E (m)]]</f>
        <v>694043.05200000003</v>
      </c>
      <c r="W759" s="7">
        <v>0.28999999999999998</v>
      </c>
      <c r="X759" s="2" t="s">
        <v>40</v>
      </c>
      <c r="AA759" s="9">
        <v>46209</v>
      </c>
    </row>
    <row r="760" spans="1:27" x14ac:dyDescent="0.65">
      <c r="A760">
        <v>758</v>
      </c>
      <c r="B760" t="s">
        <v>29</v>
      </c>
      <c r="C760" s="6">
        <v>1511750.121</v>
      </c>
      <c r="D760" s="6">
        <v>694044.60499999998</v>
      </c>
      <c r="E760" s="2" t="s">
        <v>30</v>
      </c>
      <c r="F760" s="1">
        <v>24</v>
      </c>
      <c r="G760" s="2" t="s">
        <v>48</v>
      </c>
      <c r="J760"/>
      <c r="K760" s="19"/>
      <c r="L760" s="21"/>
      <c r="M760" s="27"/>
      <c r="N760" s="19"/>
      <c r="O760" s="21"/>
      <c r="P760" s="7">
        <v>-0.17499999999999999</v>
      </c>
      <c r="Q760" s="7">
        <f>Table2[[#This Row],[Elevation
PILE TOP]]-Table2[[#This Row],[LENGTH(m.)
(Actual)]]</f>
        <v>-0.17499999999999999</v>
      </c>
      <c r="R760" s="2"/>
      <c r="S760" s="7">
        <f>Table2[[#This Row],[N]]+Table2[[#This Row],[Pile 
Deviation 
N (m)]]</f>
        <v>1511750.121</v>
      </c>
      <c r="T760" s="7">
        <f>Table2[[#This Row],[E]]+Table2[[#This Row],[Pile 
Deviation 
E (m)]]</f>
        <v>694044.60499999998</v>
      </c>
      <c r="W760" s="7">
        <v>-0.67500000000000004</v>
      </c>
      <c r="X760" s="2" t="s">
        <v>33</v>
      </c>
      <c r="AA760" s="9">
        <v>46200</v>
      </c>
    </row>
    <row r="761" spans="1:27" ht="13.95" customHeight="1" x14ac:dyDescent="0.65">
      <c r="A761">
        <v>759</v>
      </c>
      <c r="B761" t="s">
        <v>29</v>
      </c>
      <c r="C761" s="6">
        <v>1511750.2990000001</v>
      </c>
      <c r="D761" s="6">
        <v>694045.48699999996</v>
      </c>
      <c r="E761" s="2" t="s">
        <v>30</v>
      </c>
      <c r="F761" s="1">
        <v>24</v>
      </c>
      <c r="G761" s="2" t="s">
        <v>48</v>
      </c>
      <c r="J761"/>
      <c r="K761" s="19"/>
      <c r="L761" s="21"/>
      <c r="M761" s="27"/>
      <c r="N761" s="19"/>
      <c r="O761" s="21"/>
      <c r="P761" s="7">
        <v>-0.17499999999999999</v>
      </c>
      <c r="Q761" s="7">
        <f>Table2[[#This Row],[Elevation
PILE TOP]]-Table2[[#This Row],[LENGTH(m.)
(Actual)]]</f>
        <v>-0.17499999999999999</v>
      </c>
      <c r="R761" s="2"/>
      <c r="S761" s="7">
        <f>Table2[[#This Row],[N]]+Table2[[#This Row],[Pile 
Deviation 
N (m)]]</f>
        <v>1511750.2990000001</v>
      </c>
      <c r="T761" s="7">
        <f>Table2[[#This Row],[E]]+Table2[[#This Row],[Pile 
Deviation 
E (m)]]</f>
        <v>694045.48699999996</v>
      </c>
      <c r="W761" s="7">
        <v>-0.67500000000000004</v>
      </c>
      <c r="X761" s="2" t="s">
        <v>33</v>
      </c>
      <c r="AA761" s="9">
        <v>46200</v>
      </c>
    </row>
    <row r="762" spans="1:27" x14ac:dyDescent="0.65">
      <c r="A762">
        <v>760</v>
      </c>
      <c r="B762" t="s">
        <v>29</v>
      </c>
      <c r="C762" s="6">
        <v>1511749.3370000001</v>
      </c>
      <c r="D762" s="6">
        <v>694044.76300000004</v>
      </c>
      <c r="E762" s="2" t="s">
        <v>30</v>
      </c>
      <c r="F762" s="1">
        <v>24</v>
      </c>
      <c r="G762" s="2" t="s">
        <v>48</v>
      </c>
      <c r="J762"/>
      <c r="K762" s="19"/>
      <c r="L762" s="21"/>
      <c r="M762" s="27"/>
      <c r="N762" s="19"/>
      <c r="O762" s="21"/>
      <c r="P762" s="7">
        <v>-0.17499999999999999</v>
      </c>
      <c r="Q762" s="7">
        <f>Table2[[#This Row],[Elevation
PILE TOP]]-Table2[[#This Row],[LENGTH(m.)
(Actual)]]</f>
        <v>-0.17499999999999999</v>
      </c>
      <c r="R762" s="2"/>
      <c r="S762" s="7">
        <f>Table2[[#This Row],[N]]+Table2[[#This Row],[Pile 
Deviation 
N (m)]]</f>
        <v>1511749.3370000001</v>
      </c>
      <c r="T762" s="7">
        <f>Table2[[#This Row],[E]]+Table2[[#This Row],[Pile 
Deviation 
E (m)]]</f>
        <v>694044.76300000004</v>
      </c>
      <c r="W762" s="7">
        <v>-0.67500000000000004</v>
      </c>
      <c r="X762" s="2" t="s">
        <v>33</v>
      </c>
      <c r="AA762" s="9">
        <v>46200</v>
      </c>
    </row>
    <row r="763" spans="1:27" ht="13.95" customHeight="1" x14ac:dyDescent="0.65">
      <c r="A763">
        <v>761</v>
      </c>
      <c r="B763" t="s">
        <v>29</v>
      </c>
      <c r="C763" s="6">
        <v>1511749.5149999999</v>
      </c>
      <c r="D763" s="6">
        <v>694045.64599999995</v>
      </c>
      <c r="E763" s="2" t="s">
        <v>30</v>
      </c>
      <c r="F763" s="1">
        <v>24</v>
      </c>
      <c r="G763" s="2" t="s">
        <v>48</v>
      </c>
      <c r="J763"/>
      <c r="K763" s="19"/>
      <c r="L763" s="21"/>
      <c r="M763" s="27"/>
      <c r="N763" s="19"/>
      <c r="O763" s="21"/>
      <c r="P763" s="7">
        <v>-0.17499999999999999</v>
      </c>
      <c r="Q763" s="7">
        <f>Table2[[#This Row],[Elevation
PILE TOP]]-Table2[[#This Row],[LENGTH(m.)
(Actual)]]</f>
        <v>-0.17499999999999999</v>
      </c>
      <c r="R763" s="2"/>
      <c r="S763" s="7">
        <f>Table2[[#This Row],[N]]+Table2[[#This Row],[Pile 
Deviation 
N (m)]]</f>
        <v>1511749.5149999999</v>
      </c>
      <c r="T763" s="7">
        <f>Table2[[#This Row],[E]]+Table2[[#This Row],[Pile 
Deviation 
E (m)]]</f>
        <v>694045.64599999995</v>
      </c>
      <c r="W763" s="7">
        <v>-0.67500000000000004</v>
      </c>
      <c r="X763" s="2" t="s">
        <v>33</v>
      </c>
      <c r="AA763" s="9">
        <v>46200</v>
      </c>
    </row>
    <row r="764" spans="1:27" hidden="1" x14ac:dyDescent="0.65">
      <c r="A764">
        <v>762</v>
      </c>
      <c r="B764" t="s">
        <v>29</v>
      </c>
      <c r="C764" s="6">
        <v>1511739.8689999999</v>
      </c>
      <c r="D764" s="6">
        <v>694009.02599999995</v>
      </c>
      <c r="E764" s="2" t="s">
        <v>35</v>
      </c>
      <c r="F764" s="1">
        <v>24</v>
      </c>
      <c r="G764" s="2" t="s">
        <v>48</v>
      </c>
      <c r="J764"/>
      <c r="K764" s="19"/>
      <c r="L764" s="21"/>
      <c r="M764" s="27"/>
      <c r="N764" s="19"/>
      <c r="O764" s="21"/>
      <c r="P764" s="7">
        <v>0.28999999999999998</v>
      </c>
      <c r="Q764" s="7">
        <f>Table2[[#This Row],[Elevation
PILE TOP]]-Table2[[#This Row],[LENGTH(m.)
(Actual)]]</f>
        <v>0.28999999999999998</v>
      </c>
      <c r="R764" s="2"/>
      <c r="S764" s="7">
        <f>Table2[[#This Row],[N]]+Table2[[#This Row],[Pile 
Deviation 
N (m)]]</f>
        <v>1511739.8689999999</v>
      </c>
      <c r="T764" s="7">
        <f>Table2[[#This Row],[E]]+Table2[[#This Row],[Pile 
Deviation 
E (m)]]</f>
        <v>694009.02599999995</v>
      </c>
      <c r="W764" s="7">
        <v>0.28999999999999998</v>
      </c>
      <c r="X764" s="2" t="s">
        <v>40</v>
      </c>
      <c r="AA764" s="9">
        <v>46220</v>
      </c>
    </row>
    <row r="765" spans="1:27" ht="13.95" hidden="1" customHeight="1" x14ac:dyDescent="0.65">
      <c r="A765">
        <v>763</v>
      </c>
      <c r="B765" t="s">
        <v>29</v>
      </c>
      <c r="C765" s="6">
        <v>1511740.463</v>
      </c>
      <c r="D765" s="6">
        <v>694011.96699999995</v>
      </c>
      <c r="E765" s="2" t="s">
        <v>35</v>
      </c>
      <c r="F765" s="1">
        <v>24</v>
      </c>
      <c r="G765" s="2" t="s">
        <v>48</v>
      </c>
      <c r="J765"/>
      <c r="K765" s="19"/>
      <c r="L765" s="21"/>
      <c r="M765" s="27"/>
      <c r="N765" s="19"/>
      <c r="O765" s="21"/>
      <c r="P765" s="7">
        <v>0.28999999999999998</v>
      </c>
      <c r="Q765" s="7">
        <f>Table2[[#This Row],[Elevation
PILE TOP]]-Table2[[#This Row],[LENGTH(m.)
(Actual)]]</f>
        <v>0.28999999999999998</v>
      </c>
      <c r="R765" s="2"/>
      <c r="S765" s="7">
        <f>Table2[[#This Row],[N]]+Table2[[#This Row],[Pile 
Deviation 
N (m)]]</f>
        <v>1511740.463</v>
      </c>
      <c r="T765" s="7">
        <f>Table2[[#This Row],[E]]+Table2[[#This Row],[Pile 
Deviation 
E (m)]]</f>
        <v>694011.96699999995</v>
      </c>
      <c r="W765" s="7">
        <v>0.28999999999999998</v>
      </c>
      <c r="X765" s="2" t="s">
        <v>40</v>
      </c>
      <c r="AA765" s="9">
        <v>46220</v>
      </c>
    </row>
    <row r="766" spans="1:27" hidden="1" x14ac:dyDescent="0.65">
      <c r="A766">
        <v>764</v>
      </c>
      <c r="B766" t="s">
        <v>29</v>
      </c>
      <c r="C766" s="6">
        <v>1511741.1359999999</v>
      </c>
      <c r="D766" s="6">
        <v>694015.299</v>
      </c>
      <c r="E766" s="2" t="s">
        <v>35</v>
      </c>
      <c r="F766" s="1">
        <v>24</v>
      </c>
      <c r="G766" s="2" t="s">
        <v>48</v>
      </c>
      <c r="J766"/>
      <c r="K766" s="19"/>
      <c r="L766" s="21"/>
      <c r="M766" s="27"/>
      <c r="N766" s="19"/>
      <c r="O766" s="21"/>
      <c r="P766" s="7">
        <v>0.28999999999999998</v>
      </c>
      <c r="Q766" s="7">
        <f>Table2[[#This Row],[Elevation
PILE TOP]]-Table2[[#This Row],[LENGTH(m.)
(Actual)]]</f>
        <v>0.28999999999999998</v>
      </c>
      <c r="R766" s="2"/>
      <c r="S766" s="7">
        <f>Table2[[#This Row],[N]]+Table2[[#This Row],[Pile 
Deviation 
N (m)]]</f>
        <v>1511741.1359999999</v>
      </c>
      <c r="T766" s="7">
        <f>Table2[[#This Row],[E]]+Table2[[#This Row],[Pile 
Deviation 
E (m)]]</f>
        <v>694015.299</v>
      </c>
      <c r="W766" s="7">
        <v>0.28999999999999998</v>
      </c>
      <c r="X766" s="2" t="s">
        <v>40</v>
      </c>
      <c r="AA766" s="9">
        <v>46219</v>
      </c>
    </row>
    <row r="767" spans="1:27" ht="13.95" hidden="1" customHeight="1" x14ac:dyDescent="0.65">
      <c r="A767">
        <v>765</v>
      </c>
      <c r="B767" t="s">
        <v>29</v>
      </c>
      <c r="C767" s="6">
        <v>1511741.8089999999</v>
      </c>
      <c r="D767" s="6">
        <v>694018.63199999998</v>
      </c>
      <c r="E767" s="2" t="s">
        <v>35</v>
      </c>
      <c r="F767" s="1">
        <v>24</v>
      </c>
      <c r="G767" s="2" t="s">
        <v>48</v>
      </c>
      <c r="J767"/>
      <c r="K767" s="19"/>
      <c r="L767" s="21"/>
      <c r="M767" s="27"/>
      <c r="N767" s="19"/>
      <c r="O767" s="21"/>
      <c r="P767" s="7">
        <v>0.28999999999999998</v>
      </c>
      <c r="Q767" s="7">
        <f>Table2[[#This Row],[Elevation
PILE TOP]]-Table2[[#This Row],[LENGTH(m.)
(Actual)]]</f>
        <v>0.28999999999999998</v>
      </c>
      <c r="R767" s="2"/>
      <c r="S767" s="7">
        <f>Table2[[#This Row],[N]]+Table2[[#This Row],[Pile 
Deviation 
N (m)]]</f>
        <v>1511741.8089999999</v>
      </c>
      <c r="T767" s="7">
        <f>Table2[[#This Row],[E]]+Table2[[#This Row],[Pile 
Deviation 
E (m)]]</f>
        <v>694018.63199999998</v>
      </c>
      <c r="W767" s="7">
        <v>0.28999999999999998</v>
      </c>
      <c r="X767" s="2" t="s">
        <v>40</v>
      </c>
      <c r="AA767" s="9">
        <v>46218</v>
      </c>
    </row>
    <row r="768" spans="1:27" hidden="1" x14ac:dyDescent="0.65">
      <c r="A768">
        <v>766</v>
      </c>
      <c r="B768" t="s">
        <v>29</v>
      </c>
      <c r="C768" s="6">
        <v>1511742.4820000001</v>
      </c>
      <c r="D768" s="6">
        <v>694021.96499999997</v>
      </c>
      <c r="E768" s="2" t="s">
        <v>35</v>
      </c>
      <c r="F768" s="1">
        <v>24</v>
      </c>
      <c r="G768" s="2" t="s">
        <v>48</v>
      </c>
      <c r="J768"/>
      <c r="K768" s="19"/>
      <c r="L768" s="21"/>
      <c r="M768" s="27"/>
      <c r="N768" s="19"/>
      <c r="O768" s="21"/>
      <c r="P768" s="7">
        <v>0.28999999999999998</v>
      </c>
      <c r="Q768" s="7">
        <f>Table2[[#This Row],[Elevation
PILE TOP]]-Table2[[#This Row],[LENGTH(m.)
(Actual)]]</f>
        <v>0.28999999999999998</v>
      </c>
      <c r="R768" s="2"/>
      <c r="S768" s="7">
        <f>Table2[[#This Row],[N]]+Table2[[#This Row],[Pile 
Deviation 
N (m)]]</f>
        <v>1511742.4820000001</v>
      </c>
      <c r="T768" s="7">
        <f>Table2[[#This Row],[E]]+Table2[[#This Row],[Pile 
Deviation 
E (m)]]</f>
        <v>694021.96499999997</v>
      </c>
      <c r="W768" s="7">
        <v>0.28999999999999998</v>
      </c>
      <c r="X768" s="2" t="s">
        <v>40</v>
      </c>
      <c r="AA768" s="9">
        <v>46217</v>
      </c>
    </row>
    <row r="769" spans="1:27" ht="13.95" hidden="1" customHeight="1" x14ac:dyDescent="0.65">
      <c r="A769">
        <v>767</v>
      </c>
      <c r="B769" t="s">
        <v>29</v>
      </c>
      <c r="C769" s="6">
        <v>1511743.155</v>
      </c>
      <c r="D769" s="6">
        <v>694025.29799999995</v>
      </c>
      <c r="E769" s="2" t="s">
        <v>35</v>
      </c>
      <c r="F769" s="1">
        <v>24</v>
      </c>
      <c r="G769" s="2" t="s">
        <v>48</v>
      </c>
      <c r="J769"/>
      <c r="K769" s="19"/>
      <c r="L769" s="21"/>
      <c r="M769" s="27"/>
      <c r="N769" s="19"/>
      <c r="O769" s="21"/>
      <c r="P769" s="7">
        <v>0.28999999999999998</v>
      </c>
      <c r="Q769" s="7">
        <f>Table2[[#This Row],[Elevation
PILE TOP]]-Table2[[#This Row],[LENGTH(m.)
(Actual)]]</f>
        <v>0.28999999999999998</v>
      </c>
      <c r="R769" s="2"/>
      <c r="S769" s="7">
        <f>Table2[[#This Row],[N]]+Table2[[#This Row],[Pile 
Deviation 
N (m)]]</f>
        <v>1511743.155</v>
      </c>
      <c r="T769" s="7">
        <f>Table2[[#This Row],[E]]+Table2[[#This Row],[Pile 
Deviation 
E (m)]]</f>
        <v>694025.29799999995</v>
      </c>
      <c r="W769" s="7">
        <v>0.28999999999999998</v>
      </c>
      <c r="X769" s="2" t="s">
        <v>40</v>
      </c>
      <c r="AA769" s="9">
        <v>46216</v>
      </c>
    </row>
    <row r="770" spans="1:27" hidden="1" x14ac:dyDescent="0.65">
      <c r="A770">
        <v>768</v>
      </c>
      <c r="B770" t="s">
        <v>29</v>
      </c>
      <c r="C770" s="6">
        <v>1511743.7490000001</v>
      </c>
      <c r="D770" s="6">
        <v>694028.23800000001</v>
      </c>
      <c r="E770" s="2" t="s">
        <v>35</v>
      </c>
      <c r="F770" s="1">
        <v>24</v>
      </c>
      <c r="G770" s="2" t="s">
        <v>48</v>
      </c>
      <c r="J770"/>
      <c r="K770" s="19"/>
      <c r="L770" s="21"/>
      <c r="M770" s="27"/>
      <c r="N770" s="19"/>
      <c r="O770" s="21"/>
      <c r="P770" s="7">
        <v>0.28999999999999998</v>
      </c>
      <c r="Q770" s="7">
        <f>Table2[[#This Row],[Elevation
PILE TOP]]-Table2[[#This Row],[LENGTH(m.)
(Actual)]]</f>
        <v>0.28999999999999998</v>
      </c>
      <c r="R770" s="2"/>
      <c r="S770" s="7">
        <f>Table2[[#This Row],[N]]+Table2[[#This Row],[Pile 
Deviation 
N (m)]]</f>
        <v>1511743.7490000001</v>
      </c>
      <c r="T770" s="7">
        <f>Table2[[#This Row],[E]]+Table2[[#This Row],[Pile 
Deviation 
E (m)]]</f>
        <v>694028.23800000001</v>
      </c>
      <c r="W770" s="7">
        <v>0.28999999999999998</v>
      </c>
      <c r="X770" s="2" t="s">
        <v>40</v>
      </c>
      <c r="AA770" s="9">
        <v>46216</v>
      </c>
    </row>
    <row r="771" spans="1:27" ht="13.95" hidden="1" customHeight="1" x14ac:dyDescent="0.65">
      <c r="A771">
        <v>769</v>
      </c>
      <c r="B771" t="s">
        <v>29</v>
      </c>
      <c r="C771" s="6">
        <v>1511744.3430000001</v>
      </c>
      <c r="D771" s="6">
        <v>694031.179</v>
      </c>
      <c r="E771" s="2" t="s">
        <v>35</v>
      </c>
      <c r="F771" s="1">
        <v>24</v>
      </c>
      <c r="G771" s="2" t="s">
        <v>48</v>
      </c>
      <c r="J771"/>
      <c r="K771" s="19"/>
      <c r="L771" s="21"/>
      <c r="M771" s="27"/>
      <c r="N771" s="19"/>
      <c r="O771" s="21"/>
      <c r="P771" s="7">
        <v>0.28999999999999998</v>
      </c>
      <c r="Q771" s="7">
        <f>Table2[[#This Row],[Elevation
PILE TOP]]-Table2[[#This Row],[LENGTH(m.)
(Actual)]]</f>
        <v>0.28999999999999998</v>
      </c>
      <c r="R771" s="2"/>
      <c r="S771" s="7">
        <f>Table2[[#This Row],[N]]+Table2[[#This Row],[Pile 
Deviation 
N (m)]]</f>
        <v>1511744.3430000001</v>
      </c>
      <c r="T771" s="7">
        <f>Table2[[#This Row],[E]]+Table2[[#This Row],[Pile 
Deviation 
E (m)]]</f>
        <v>694031.179</v>
      </c>
      <c r="W771" s="7">
        <v>0.28999999999999998</v>
      </c>
      <c r="X771" s="2" t="s">
        <v>40</v>
      </c>
      <c r="AA771" s="9">
        <v>46205</v>
      </c>
    </row>
    <row r="772" spans="1:27" hidden="1" x14ac:dyDescent="0.65">
      <c r="A772">
        <v>770</v>
      </c>
      <c r="B772" t="s">
        <v>29</v>
      </c>
      <c r="C772" s="6">
        <v>1511744.9369999999</v>
      </c>
      <c r="D772" s="6">
        <v>694034.11899999995</v>
      </c>
      <c r="E772" s="2" t="s">
        <v>35</v>
      </c>
      <c r="F772" s="1">
        <v>24</v>
      </c>
      <c r="G772" s="2" t="s">
        <v>48</v>
      </c>
      <c r="J772"/>
      <c r="K772" s="19"/>
      <c r="L772" s="21"/>
      <c r="M772" s="27"/>
      <c r="N772" s="19"/>
      <c r="O772" s="21"/>
      <c r="P772" s="7">
        <v>0.28999999999999998</v>
      </c>
      <c r="Q772" s="7">
        <f>Table2[[#This Row],[Elevation
PILE TOP]]-Table2[[#This Row],[LENGTH(m.)
(Actual)]]</f>
        <v>0.28999999999999998</v>
      </c>
      <c r="R772" s="2"/>
      <c r="S772" s="7">
        <f>Table2[[#This Row],[N]]+Table2[[#This Row],[Pile 
Deviation 
N (m)]]</f>
        <v>1511744.9369999999</v>
      </c>
      <c r="T772" s="7">
        <f>Table2[[#This Row],[E]]+Table2[[#This Row],[Pile 
Deviation 
E (m)]]</f>
        <v>694034.11899999995</v>
      </c>
      <c r="W772" s="7">
        <v>0.28999999999999998</v>
      </c>
      <c r="X772" s="2" t="s">
        <v>40</v>
      </c>
      <c r="AA772" s="9">
        <v>46206</v>
      </c>
    </row>
    <row r="773" spans="1:27" ht="13.95" hidden="1" customHeight="1" x14ac:dyDescent="0.65">
      <c r="A773">
        <v>771</v>
      </c>
      <c r="B773" t="s">
        <v>29</v>
      </c>
      <c r="C773" s="6">
        <v>1511745.61</v>
      </c>
      <c r="D773" s="6">
        <v>694037.45200000005</v>
      </c>
      <c r="E773" s="2" t="s">
        <v>35</v>
      </c>
      <c r="F773" s="1">
        <v>24</v>
      </c>
      <c r="G773" s="2" t="s">
        <v>48</v>
      </c>
      <c r="J773"/>
      <c r="K773" s="19"/>
      <c r="L773" s="21"/>
      <c r="M773" s="27"/>
      <c r="N773" s="19"/>
      <c r="O773" s="21"/>
      <c r="P773" s="7">
        <v>0.28999999999999998</v>
      </c>
      <c r="Q773" s="7">
        <f>Table2[[#This Row],[Elevation
PILE TOP]]-Table2[[#This Row],[LENGTH(m.)
(Actual)]]</f>
        <v>0.28999999999999998</v>
      </c>
      <c r="R773" s="2"/>
      <c r="S773" s="7">
        <f>Table2[[#This Row],[N]]+Table2[[#This Row],[Pile 
Deviation 
N (m)]]</f>
        <v>1511745.61</v>
      </c>
      <c r="T773" s="7">
        <f>Table2[[#This Row],[E]]+Table2[[#This Row],[Pile 
Deviation 
E (m)]]</f>
        <v>694037.45200000005</v>
      </c>
      <c r="W773" s="7">
        <v>0.28999999999999998</v>
      </c>
      <c r="X773" s="2" t="s">
        <v>40</v>
      </c>
      <c r="AA773" s="9">
        <v>46207</v>
      </c>
    </row>
    <row r="774" spans="1:27" hidden="1" x14ac:dyDescent="0.65">
      <c r="A774">
        <v>772</v>
      </c>
      <c r="B774" t="s">
        <v>29</v>
      </c>
      <c r="C774" s="6">
        <v>1511746.2830000001</v>
      </c>
      <c r="D774" s="6">
        <v>694040.78500000003</v>
      </c>
      <c r="E774" s="2" t="s">
        <v>35</v>
      </c>
      <c r="F774" s="1">
        <v>24</v>
      </c>
      <c r="G774" s="2" t="s">
        <v>48</v>
      </c>
      <c r="J774"/>
      <c r="K774" s="19"/>
      <c r="L774" s="21"/>
      <c r="M774" s="27"/>
      <c r="N774" s="19"/>
      <c r="O774" s="21"/>
      <c r="P774" s="7">
        <v>0.28999999999999998</v>
      </c>
      <c r="Q774" s="7">
        <f>Table2[[#This Row],[Elevation
PILE TOP]]-Table2[[#This Row],[LENGTH(m.)
(Actual)]]</f>
        <v>0.28999999999999998</v>
      </c>
      <c r="R774" s="2"/>
      <c r="S774" s="7">
        <f>Table2[[#This Row],[N]]+Table2[[#This Row],[Pile 
Deviation 
N (m)]]</f>
        <v>1511746.2830000001</v>
      </c>
      <c r="T774" s="7">
        <f>Table2[[#This Row],[E]]+Table2[[#This Row],[Pile 
Deviation 
E (m)]]</f>
        <v>694040.78500000003</v>
      </c>
      <c r="W774" s="7">
        <v>0.28999999999999998</v>
      </c>
      <c r="X774" s="2" t="s">
        <v>40</v>
      </c>
      <c r="AA774" s="9">
        <v>46209</v>
      </c>
    </row>
    <row r="775" spans="1:27" ht="13.95" hidden="1" customHeight="1" x14ac:dyDescent="0.65">
      <c r="A775">
        <v>773</v>
      </c>
      <c r="B775" t="s">
        <v>29</v>
      </c>
      <c r="C775" s="6">
        <v>1511746.8770000001</v>
      </c>
      <c r="D775" s="6">
        <v>694043.72600000002</v>
      </c>
      <c r="E775" s="2" t="s">
        <v>35</v>
      </c>
      <c r="F775" s="1">
        <v>24</v>
      </c>
      <c r="G775" s="2" t="s">
        <v>48</v>
      </c>
      <c r="J775"/>
      <c r="K775" s="19"/>
      <c r="L775" s="21"/>
      <c r="M775" s="27"/>
      <c r="N775" s="19"/>
      <c r="O775" s="21"/>
      <c r="P775" s="7">
        <v>0.28999999999999998</v>
      </c>
      <c r="Q775" s="7">
        <f>Table2[[#This Row],[Elevation
PILE TOP]]-Table2[[#This Row],[LENGTH(m.)
(Actual)]]</f>
        <v>0.28999999999999998</v>
      </c>
      <c r="R775" s="2"/>
      <c r="S775" s="7">
        <f>Table2[[#This Row],[N]]+Table2[[#This Row],[Pile 
Deviation 
N (m)]]</f>
        <v>1511746.8770000001</v>
      </c>
      <c r="T775" s="7">
        <f>Table2[[#This Row],[E]]+Table2[[#This Row],[Pile 
Deviation 
E (m)]]</f>
        <v>694043.72600000002</v>
      </c>
      <c r="W775" s="7">
        <v>0.28999999999999998</v>
      </c>
      <c r="X775" s="2" t="s">
        <v>40</v>
      </c>
      <c r="AA775" s="9">
        <v>46209</v>
      </c>
    </row>
    <row r="776" spans="1:27" hidden="1" x14ac:dyDescent="0.65">
      <c r="A776">
        <v>774</v>
      </c>
      <c r="B776" t="s">
        <v>29</v>
      </c>
      <c r="C776" s="6">
        <v>1511736.46</v>
      </c>
      <c r="D776" s="6">
        <v>694007.27</v>
      </c>
      <c r="E776" s="2" t="s">
        <v>30</v>
      </c>
      <c r="F776" s="1">
        <v>24</v>
      </c>
      <c r="G776" s="2" t="s">
        <v>48</v>
      </c>
      <c r="J776"/>
      <c r="K776" s="19"/>
      <c r="L776" s="21"/>
      <c r="M776" s="27"/>
      <c r="N776" s="19"/>
      <c r="O776" s="21"/>
      <c r="P776" s="7">
        <v>-0.17499999999999999</v>
      </c>
      <c r="Q776" s="7">
        <f>Table2[[#This Row],[Elevation
PILE TOP]]-Table2[[#This Row],[LENGTH(m.)
(Actual)]]</f>
        <v>-0.17499999999999999</v>
      </c>
      <c r="R776" s="2"/>
      <c r="S776" s="7">
        <f>Table2[[#This Row],[N]]+Table2[[#This Row],[Pile 
Deviation 
N (m)]]</f>
        <v>1511736.46</v>
      </c>
      <c r="T776" s="7">
        <f>Table2[[#This Row],[E]]+Table2[[#This Row],[Pile 
Deviation 
E (m)]]</f>
        <v>694007.27</v>
      </c>
      <c r="W776" s="7">
        <v>-0.67500000000000004</v>
      </c>
      <c r="X776" s="2" t="s">
        <v>33</v>
      </c>
      <c r="AA776" s="9">
        <v>46214</v>
      </c>
    </row>
    <row r="777" spans="1:27" ht="13.95" hidden="1" customHeight="1" x14ac:dyDescent="0.65">
      <c r="A777">
        <v>775</v>
      </c>
      <c r="B777" t="s">
        <v>29</v>
      </c>
      <c r="C777" s="6">
        <v>1511736.638</v>
      </c>
      <c r="D777" s="6">
        <v>694008.15300000005</v>
      </c>
      <c r="E777" s="2" t="s">
        <v>30</v>
      </c>
      <c r="F777" s="1">
        <v>24</v>
      </c>
      <c r="G777" s="2" t="s">
        <v>48</v>
      </c>
      <c r="J777"/>
      <c r="K777" s="19"/>
      <c r="L777" s="21"/>
      <c r="M777" s="27"/>
      <c r="N777" s="19"/>
      <c r="O777" s="21"/>
      <c r="P777" s="7">
        <v>-0.17499999999999999</v>
      </c>
      <c r="Q777" s="7">
        <f>Table2[[#This Row],[Elevation
PILE TOP]]-Table2[[#This Row],[LENGTH(m.)
(Actual)]]</f>
        <v>-0.17499999999999999</v>
      </c>
      <c r="R777" s="2"/>
      <c r="S777" s="7">
        <f>Table2[[#This Row],[N]]+Table2[[#This Row],[Pile 
Deviation 
N (m)]]</f>
        <v>1511736.638</v>
      </c>
      <c r="T777" s="7">
        <f>Table2[[#This Row],[E]]+Table2[[#This Row],[Pile 
Deviation 
E (m)]]</f>
        <v>694008.15300000005</v>
      </c>
      <c r="W777" s="7">
        <v>-0.67500000000000004</v>
      </c>
      <c r="X777" s="2" t="s">
        <v>33</v>
      </c>
      <c r="AA777" s="9">
        <v>46214</v>
      </c>
    </row>
    <row r="778" spans="1:27" hidden="1" x14ac:dyDescent="0.65">
      <c r="A778">
        <v>776</v>
      </c>
      <c r="B778" t="s">
        <v>29</v>
      </c>
      <c r="C778" s="6">
        <v>1511735.676</v>
      </c>
      <c r="D778" s="6">
        <v>694007.429</v>
      </c>
      <c r="E778" s="2" t="s">
        <v>30</v>
      </c>
      <c r="F778" s="1">
        <v>24</v>
      </c>
      <c r="G778" s="2" t="s">
        <v>48</v>
      </c>
      <c r="J778"/>
      <c r="K778" s="19"/>
      <c r="L778" s="21"/>
      <c r="M778" s="27"/>
      <c r="N778" s="19"/>
      <c r="O778" s="21"/>
      <c r="P778" s="7">
        <v>-0.17499999999999999</v>
      </c>
      <c r="Q778" s="7">
        <f>Table2[[#This Row],[Elevation
PILE TOP]]-Table2[[#This Row],[LENGTH(m.)
(Actual)]]</f>
        <v>-0.17499999999999999</v>
      </c>
      <c r="R778" s="2"/>
      <c r="S778" s="7">
        <f>Table2[[#This Row],[N]]+Table2[[#This Row],[Pile 
Deviation 
N (m)]]</f>
        <v>1511735.676</v>
      </c>
      <c r="T778" s="7">
        <f>Table2[[#This Row],[E]]+Table2[[#This Row],[Pile 
Deviation 
E (m)]]</f>
        <v>694007.429</v>
      </c>
      <c r="W778" s="7">
        <v>-0.67500000000000004</v>
      </c>
      <c r="X778" s="2" t="s">
        <v>33</v>
      </c>
      <c r="AA778" s="9">
        <v>46214</v>
      </c>
    </row>
    <row r="779" spans="1:27" ht="13.95" hidden="1" customHeight="1" x14ac:dyDescent="0.65">
      <c r="A779">
        <v>777</v>
      </c>
      <c r="B779" t="s">
        <v>29</v>
      </c>
      <c r="C779" s="6">
        <v>1511735.8540000001</v>
      </c>
      <c r="D779" s="6">
        <v>694008.31099999999</v>
      </c>
      <c r="E779" s="2" t="s">
        <v>30</v>
      </c>
      <c r="F779" s="1">
        <v>24</v>
      </c>
      <c r="G779" s="2" t="s">
        <v>48</v>
      </c>
      <c r="J779"/>
      <c r="K779" s="19"/>
      <c r="L779" s="21"/>
      <c r="M779" s="27"/>
      <c r="N779" s="19"/>
      <c r="O779" s="21"/>
      <c r="P779" s="7">
        <v>-0.17499999999999999</v>
      </c>
      <c r="Q779" s="7">
        <f>Table2[[#This Row],[Elevation
PILE TOP]]-Table2[[#This Row],[LENGTH(m.)
(Actual)]]</f>
        <v>-0.17499999999999999</v>
      </c>
      <c r="R779" s="2"/>
      <c r="S779" s="7">
        <f>Table2[[#This Row],[N]]+Table2[[#This Row],[Pile 
Deviation 
N (m)]]</f>
        <v>1511735.8540000001</v>
      </c>
      <c r="T779" s="7">
        <f>Table2[[#This Row],[E]]+Table2[[#This Row],[Pile 
Deviation 
E (m)]]</f>
        <v>694008.31099999999</v>
      </c>
      <c r="W779" s="7">
        <v>-0.67500000000000004</v>
      </c>
      <c r="X779" s="2" t="s">
        <v>33</v>
      </c>
      <c r="AA779" s="9">
        <v>46214</v>
      </c>
    </row>
    <row r="780" spans="1:27" hidden="1" x14ac:dyDescent="0.65">
      <c r="A780">
        <v>778</v>
      </c>
      <c r="B780" t="s">
        <v>29</v>
      </c>
      <c r="C780" s="6">
        <v>1511736.5360000001</v>
      </c>
      <c r="D780" s="6">
        <v>694009.69900000002</v>
      </c>
      <c r="E780" s="2" t="s">
        <v>35</v>
      </c>
      <c r="F780" s="1">
        <v>24</v>
      </c>
      <c r="G780" s="2" t="s">
        <v>48</v>
      </c>
      <c r="J780"/>
      <c r="K780" s="19"/>
      <c r="L780" s="21"/>
      <c r="M780" s="27"/>
      <c r="N780" s="19"/>
      <c r="O780" s="21"/>
      <c r="P780" s="7">
        <v>0.28999999999999998</v>
      </c>
      <c r="Q780" s="7">
        <f>Table2[[#This Row],[Elevation
PILE TOP]]-Table2[[#This Row],[LENGTH(m.)
(Actual)]]</f>
        <v>0.28999999999999998</v>
      </c>
      <c r="R780" s="2"/>
      <c r="S780" s="7">
        <f>Table2[[#This Row],[N]]+Table2[[#This Row],[Pile 
Deviation 
N (m)]]</f>
        <v>1511736.5360000001</v>
      </c>
      <c r="T780" s="7">
        <f>Table2[[#This Row],[E]]+Table2[[#This Row],[Pile 
Deviation 
E (m)]]</f>
        <v>694009.69900000002</v>
      </c>
      <c r="W780" s="7">
        <v>0.28999999999999998</v>
      </c>
      <c r="X780" s="2" t="s">
        <v>40</v>
      </c>
      <c r="AA780" s="9">
        <v>46221</v>
      </c>
    </row>
    <row r="781" spans="1:27" ht="13.95" hidden="1" customHeight="1" x14ac:dyDescent="0.65">
      <c r="A781">
        <v>779</v>
      </c>
      <c r="B781" t="s">
        <v>29</v>
      </c>
      <c r="C781" s="6">
        <v>1511737.709</v>
      </c>
      <c r="D781" s="6">
        <v>694009.69400000002</v>
      </c>
      <c r="E781" s="2" t="s">
        <v>41</v>
      </c>
      <c r="F781" s="1">
        <v>26</v>
      </c>
      <c r="G781" s="2" t="s">
        <v>48</v>
      </c>
      <c r="J781"/>
      <c r="K781" s="19"/>
      <c r="L781" s="21"/>
      <c r="M781" s="27"/>
      <c r="N781" s="19"/>
      <c r="O781" s="21"/>
      <c r="P781" s="7">
        <v>0.35</v>
      </c>
      <c r="Q781" s="7">
        <f>Table2[[#This Row],[Elevation
PILE TOP]]-Table2[[#This Row],[LENGTH(m.)
(Actual)]]</f>
        <v>0.35</v>
      </c>
      <c r="R781" s="2"/>
      <c r="S781" s="7">
        <f>Table2[[#This Row],[N]]+Table2[[#This Row],[Pile 
Deviation 
N (m)]]</f>
        <v>1511737.709</v>
      </c>
      <c r="T781" s="7">
        <f>Table2[[#This Row],[E]]+Table2[[#This Row],[Pile 
Deviation 
E (m)]]</f>
        <v>694009.69400000002</v>
      </c>
      <c r="W781" s="7">
        <v>-0.15</v>
      </c>
      <c r="X781" s="2" t="s">
        <v>42</v>
      </c>
      <c r="AA781" s="9">
        <v>46221</v>
      </c>
    </row>
    <row r="782" spans="1:27" hidden="1" x14ac:dyDescent="0.65">
      <c r="A782">
        <v>780</v>
      </c>
      <c r="B782" t="s">
        <v>29</v>
      </c>
      <c r="C782" s="6">
        <v>1511739.622</v>
      </c>
      <c r="D782" s="6">
        <v>694010.96400000004</v>
      </c>
      <c r="E782" s="2" t="s">
        <v>41</v>
      </c>
      <c r="F782" s="1">
        <v>26</v>
      </c>
      <c r="G782" s="2" t="s">
        <v>48</v>
      </c>
      <c r="J782"/>
      <c r="K782" s="19"/>
      <c r="L782" s="21"/>
      <c r="M782" s="27"/>
      <c r="N782" s="19"/>
      <c r="O782" s="21"/>
      <c r="P782" s="7">
        <v>0.35</v>
      </c>
      <c r="Q782" s="7">
        <f>Table2[[#This Row],[Elevation
PILE TOP]]-Table2[[#This Row],[LENGTH(m.)
(Actual)]]</f>
        <v>0.35</v>
      </c>
      <c r="R782" s="2"/>
      <c r="S782" s="7">
        <f>Table2[[#This Row],[N]]+Table2[[#This Row],[Pile 
Deviation 
N (m)]]</f>
        <v>1511739.622</v>
      </c>
      <c r="T782" s="7">
        <f>Table2[[#This Row],[E]]+Table2[[#This Row],[Pile 
Deviation 
E (m)]]</f>
        <v>694010.96400000004</v>
      </c>
      <c r="W782" s="7">
        <v>-0.15</v>
      </c>
      <c r="X782" s="2" t="s">
        <v>42</v>
      </c>
      <c r="AA782" s="9">
        <v>46221</v>
      </c>
    </row>
    <row r="783" spans="1:27" ht="13.95" hidden="1" customHeight="1" x14ac:dyDescent="0.65">
      <c r="A783">
        <v>781</v>
      </c>
      <c r="B783" t="s">
        <v>29</v>
      </c>
      <c r="C783" s="6">
        <v>1511740.077</v>
      </c>
      <c r="D783" s="6">
        <v>694013.21499999997</v>
      </c>
      <c r="E783" s="2" t="s">
        <v>41</v>
      </c>
      <c r="F783" s="1">
        <v>26</v>
      </c>
      <c r="G783" s="2" t="s">
        <v>48</v>
      </c>
      <c r="J783"/>
      <c r="K783" s="19"/>
      <c r="L783" s="21"/>
      <c r="M783" s="27"/>
      <c r="N783" s="19"/>
      <c r="O783" s="21"/>
      <c r="P783" s="7">
        <v>0.35</v>
      </c>
      <c r="Q783" s="7">
        <f>Table2[[#This Row],[Elevation
PILE TOP]]-Table2[[#This Row],[LENGTH(m.)
(Actual)]]</f>
        <v>0.35</v>
      </c>
      <c r="R783" s="2"/>
      <c r="S783" s="7">
        <f>Table2[[#This Row],[N]]+Table2[[#This Row],[Pile 
Deviation 
N (m)]]</f>
        <v>1511740.077</v>
      </c>
      <c r="T783" s="7">
        <f>Table2[[#This Row],[E]]+Table2[[#This Row],[Pile 
Deviation 
E (m)]]</f>
        <v>694013.21499999997</v>
      </c>
      <c r="W783" s="7">
        <v>-0.15</v>
      </c>
      <c r="X783" s="2" t="s">
        <v>42</v>
      </c>
      <c r="AA783" s="9">
        <v>46223</v>
      </c>
    </row>
    <row r="784" spans="1:27" hidden="1" x14ac:dyDescent="0.65">
      <c r="A784">
        <v>782</v>
      </c>
      <c r="B784" t="s">
        <v>29</v>
      </c>
      <c r="C784" s="6">
        <v>1511738.807</v>
      </c>
      <c r="D784" s="6">
        <v>694015.12800000003</v>
      </c>
      <c r="E784" s="2" t="s">
        <v>41</v>
      </c>
      <c r="F784" s="1">
        <v>26</v>
      </c>
      <c r="G784" s="2" t="s">
        <v>48</v>
      </c>
      <c r="J784"/>
      <c r="K784" s="19"/>
      <c r="L784" s="21"/>
      <c r="M784" s="27"/>
      <c r="N784" s="19"/>
      <c r="O784" s="21"/>
      <c r="P784" s="7">
        <v>0.35</v>
      </c>
      <c r="Q784" s="7">
        <f>Table2[[#This Row],[Elevation
PILE TOP]]-Table2[[#This Row],[LENGTH(m.)
(Actual)]]</f>
        <v>0.35</v>
      </c>
      <c r="R784" s="2"/>
      <c r="S784" s="7">
        <f>Table2[[#This Row],[N]]+Table2[[#This Row],[Pile 
Deviation 
N (m)]]</f>
        <v>1511738.807</v>
      </c>
      <c r="T784" s="7">
        <f>Table2[[#This Row],[E]]+Table2[[#This Row],[Pile 
Deviation 
E (m)]]</f>
        <v>694015.12800000003</v>
      </c>
      <c r="W784" s="7">
        <v>-0.15</v>
      </c>
      <c r="X784" s="2" t="s">
        <v>42</v>
      </c>
      <c r="AA784" s="9">
        <v>46223</v>
      </c>
    </row>
    <row r="785" spans="1:27" ht="13.95" hidden="1" customHeight="1" x14ac:dyDescent="0.65">
      <c r="A785">
        <v>783</v>
      </c>
      <c r="B785" t="s">
        <v>29</v>
      </c>
      <c r="C785" s="6">
        <v>1511736.5560000001</v>
      </c>
      <c r="D785" s="6">
        <v>694015.58200000005</v>
      </c>
      <c r="E785" s="2" t="s">
        <v>41</v>
      </c>
      <c r="F785" s="1">
        <v>26</v>
      </c>
      <c r="G785" s="2" t="s">
        <v>48</v>
      </c>
      <c r="J785"/>
      <c r="K785" s="19"/>
      <c r="L785" s="21"/>
      <c r="M785" s="27"/>
      <c r="N785" s="19"/>
      <c r="O785" s="21"/>
      <c r="P785" s="7">
        <v>0.35</v>
      </c>
      <c r="Q785" s="7">
        <f>Table2[[#This Row],[Elevation
PILE TOP]]-Table2[[#This Row],[LENGTH(m.)
(Actual)]]</f>
        <v>0.35</v>
      </c>
      <c r="R785" s="2"/>
      <c r="S785" s="7">
        <f>Table2[[#This Row],[N]]+Table2[[#This Row],[Pile 
Deviation 
N (m)]]</f>
        <v>1511736.5560000001</v>
      </c>
      <c r="T785" s="7">
        <f>Table2[[#This Row],[E]]+Table2[[#This Row],[Pile 
Deviation 
E (m)]]</f>
        <v>694015.58200000005</v>
      </c>
      <c r="W785" s="7">
        <v>-0.15</v>
      </c>
      <c r="X785" s="2" t="s">
        <v>42</v>
      </c>
      <c r="AA785" s="9">
        <v>46223</v>
      </c>
    </row>
    <row r="786" spans="1:27" hidden="1" x14ac:dyDescent="0.65">
      <c r="A786">
        <v>784</v>
      </c>
      <c r="B786" t="s">
        <v>29</v>
      </c>
      <c r="C786" s="6">
        <v>1511734.6429999999</v>
      </c>
      <c r="D786" s="6">
        <v>694014.31200000003</v>
      </c>
      <c r="E786" s="2" t="s">
        <v>41</v>
      </c>
      <c r="F786" s="1">
        <v>26</v>
      </c>
      <c r="G786" s="2" t="s">
        <v>48</v>
      </c>
      <c r="J786"/>
      <c r="K786" s="19"/>
      <c r="L786" s="21"/>
      <c r="M786" s="27"/>
      <c r="N786" s="19"/>
      <c r="O786" s="21"/>
      <c r="P786" s="7">
        <v>0.35</v>
      </c>
      <c r="Q786" s="7">
        <f>Table2[[#This Row],[Elevation
PILE TOP]]-Table2[[#This Row],[LENGTH(m.)
(Actual)]]</f>
        <v>0.35</v>
      </c>
      <c r="R786" s="2"/>
      <c r="S786" s="7">
        <f>Table2[[#This Row],[N]]+Table2[[#This Row],[Pile 
Deviation 
N (m)]]</f>
        <v>1511734.6429999999</v>
      </c>
      <c r="T786" s="7">
        <f>Table2[[#This Row],[E]]+Table2[[#This Row],[Pile 
Deviation 
E (m)]]</f>
        <v>694014.31200000003</v>
      </c>
      <c r="W786" s="7">
        <v>-0.15</v>
      </c>
      <c r="X786" s="2" t="s">
        <v>42</v>
      </c>
      <c r="AA786" s="9">
        <v>46223</v>
      </c>
    </row>
    <row r="787" spans="1:27" ht="13.95" hidden="1" customHeight="1" x14ac:dyDescent="0.65">
      <c r="A787">
        <v>785</v>
      </c>
      <c r="B787" t="s">
        <v>29</v>
      </c>
      <c r="C787" s="6">
        <v>1511734.189</v>
      </c>
      <c r="D787" s="6">
        <v>694012.06200000003</v>
      </c>
      <c r="E787" s="2" t="s">
        <v>41</v>
      </c>
      <c r="F787" s="1">
        <v>26</v>
      </c>
      <c r="G787" s="2" t="s">
        <v>48</v>
      </c>
      <c r="J787"/>
      <c r="K787" s="19"/>
      <c r="L787" s="21"/>
      <c r="M787" s="27"/>
      <c r="N787" s="19"/>
      <c r="O787" s="21"/>
      <c r="P787" s="7">
        <v>0.35</v>
      </c>
      <c r="Q787" s="7">
        <f>Table2[[#This Row],[Elevation
PILE TOP]]-Table2[[#This Row],[LENGTH(m.)
(Actual)]]</f>
        <v>0.35</v>
      </c>
      <c r="R787" s="2"/>
      <c r="S787" s="7">
        <f>Table2[[#This Row],[N]]+Table2[[#This Row],[Pile 
Deviation 
N (m)]]</f>
        <v>1511734.189</v>
      </c>
      <c r="T787" s="7">
        <f>Table2[[#This Row],[E]]+Table2[[#This Row],[Pile 
Deviation 
E (m)]]</f>
        <v>694012.06200000003</v>
      </c>
      <c r="W787" s="7">
        <v>-0.15</v>
      </c>
      <c r="X787" s="2" t="s">
        <v>42</v>
      </c>
      <c r="AA787" s="9">
        <v>46221</v>
      </c>
    </row>
    <row r="788" spans="1:27" hidden="1" x14ac:dyDescent="0.65">
      <c r="A788">
        <v>786</v>
      </c>
      <c r="B788" t="s">
        <v>29</v>
      </c>
      <c r="C788" s="6">
        <v>1511735.459</v>
      </c>
      <c r="D788" s="6">
        <v>694010.14899999998</v>
      </c>
      <c r="E788" s="2" t="s">
        <v>41</v>
      </c>
      <c r="F788" s="1">
        <v>26</v>
      </c>
      <c r="G788" s="2" t="s">
        <v>48</v>
      </c>
      <c r="J788"/>
      <c r="K788" s="19"/>
      <c r="L788" s="21"/>
      <c r="M788" s="27"/>
      <c r="N788" s="19"/>
      <c r="O788" s="21"/>
      <c r="P788" s="7">
        <v>0.35</v>
      </c>
      <c r="Q788" s="7">
        <f>Table2[[#This Row],[Elevation
PILE TOP]]-Table2[[#This Row],[LENGTH(m.)
(Actual)]]</f>
        <v>0.35</v>
      </c>
      <c r="R788" s="2"/>
      <c r="S788" s="7">
        <f>Table2[[#This Row],[N]]+Table2[[#This Row],[Pile 
Deviation 
N (m)]]</f>
        <v>1511735.459</v>
      </c>
      <c r="T788" s="7">
        <f>Table2[[#This Row],[E]]+Table2[[#This Row],[Pile 
Deviation 
E (m)]]</f>
        <v>694010.14899999998</v>
      </c>
      <c r="W788" s="7">
        <v>-0.15</v>
      </c>
      <c r="X788" s="2" t="s">
        <v>42</v>
      </c>
      <c r="AA788" s="9">
        <v>46221</v>
      </c>
    </row>
    <row r="789" spans="1:27" ht="13.95" hidden="1" customHeight="1" x14ac:dyDescent="0.65">
      <c r="A789">
        <v>787</v>
      </c>
      <c r="B789" t="s">
        <v>29</v>
      </c>
      <c r="C789" s="6">
        <v>1511737.13</v>
      </c>
      <c r="D789" s="6">
        <v>694012.64</v>
      </c>
      <c r="E789" s="2" t="s">
        <v>35</v>
      </c>
      <c r="F789" s="1">
        <v>24</v>
      </c>
      <c r="G789" s="2" t="s">
        <v>48</v>
      </c>
      <c r="J789"/>
      <c r="K789" s="19"/>
      <c r="L789" s="21"/>
      <c r="M789" s="27"/>
      <c r="N789" s="19"/>
      <c r="O789" s="21"/>
      <c r="P789" s="7">
        <v>0.28999999999999998</v>
      </c>
      <c r="Q789" s="7">
        <f>Table2[[#This Row],[Elevation
PILE TOP]]-Table2[[#This Row],[LENGTH(m.)
(Actual)]]</f>
        <v>0.28999999999999998</v>
      </c>
      <c r="R789" s="2"/>
      <c r="S789" s="7">
        <f>Table2[[#This Row],[N]]+Table2[[#This Row],[Pile 
Deviation 
N (m)]]</f>
        <v>1511737.13</v>
      </c>
      <c r="T789" s="7">
        <f>Table2[[#This Row],[E]]+Table2[[#This Row],[Pile 
Deviation 
E (m)]]</f>
        <v>694012.64</v>
      </c>
      <c r="W789" s="7">
        <v>0.28999999999999998</v>
      </c>
      <c r="X789" s="2" t="s">
        <v>40</v>
      </c>
      <c r="AA789" s="9">
        <v>46221</v>
      </c>
    </row>
    <row r="790" spans="1:27" hidden="1" x14ac:dyDescent="0.65">
      <c r="A790">
        <v>788</v>
      </c>
      <c r="B790" t="s">
        <v>29</v>
      </c>
      <c r="C790" s="6">
        <v>1511737.8030000001</v>
      </c>
      <c r="D790" s="6">
        <v>694015.97199999995</v>
      </c>
      <c r="E790" s="2" t="s">
        <v>35</v>
      </c>
      <c r="F790" s="1">
        <v>24</v>
      </c>
      <c r="G790" s="2" t="s">
        <v>48</v>
      </c>
      <c r="J790"/>
      <c r="K790" s="19"/>
      <c r="L790" s="21"/>
      <c r="M790" s="27"/>
      <c r="N790" s="19"/>
      <c r="O790" s="21"/>
      <c r="P790" s="7">
        <v>0.28999999999999998</v>
      </c>
      <c r="Q790" s="7">
        <f>Table2[[#This Row],[Elevation
PILE TOP]]-Table2[[#This Row],[LENGTH(m.)
(Actual)]]</f>
        <v>0.28999999999999998</v>
      </c>
      <c r="R790" s="2"/>
      <c r="S790" s="7">
        <f>Table2[[#This Row],[N]]+Table2[[#This Row],[Pile 
Deviation 
N (m)]]</f>
        <v>1511737.8030000001</v>
      </c>
      <c r="T790" s="7">
        <f>Table2[[#This Row],[E]]+Table2[[#This Row],[Pile 
Deviation 
E (m)]]</f>
        <v>694015.97199999995</v>
      </c>
      <c r="W790" s="7">
        <v>0.28999999999999998</v>
      </c>
      <c r="X790" s="2" t="s">
        <v>40</v>
      </c>
      <c r="AA790" s="9">
        <v>46223</v>
      </c>
    </row>
    <row r="791" spans="1:27" ht="13.95" hidden="1" customHeight="1" x14ac:dyDescent="0.65">
      <c r="A791">
        <v>789</v>
      </c>
      <c r="B791" t="s">
        <v>29</v>
      </c>
      <c r="C791" s="6">
        <v>1511739.0560000001</v>
      </c>
      <c r="D791" s="6">
        <v>694016.36399999994</v>
      </c>
      <c r="E791" s="2" t="s">
        <v>41</v>
      </c>
      <c r="F791" s="1">
        <v>26</v>
      </c>
      <c r="G791" s="2" t="s">
        <v>48</v>
      </c>
      <c r="J791"/>
      <c r="K791" s="19"/>
      <c r="L791" s="21"/>
      <c r="M791" s="27"/>
      <c r="N791" s="19"/>
      <c r="O791" s="21"/>
      <c r="P791" s="7">
        <v>0.35</v>
      </c>
      <c r="Q791" s="7">
        <f>Table2[[#This Row],[Elevation
PILE TOP]]-Table2[[#This Row],[LENGTH(m.)
(Actual)]]</f>
        <v>0.35</v>
      </c>
      <c r="R791" s="2"/>
      <c r="S791" s="7">
        <f>Table2[[#This Row],[N]]+Table2[[#This Row],[Pile 
Deviation 
N (m)]]</f>
        <v>1511739.0560000001</v>
      </c>
      <c r="T791" s="7">
        <f>Table2[[#This Row],[E]]+Table2[[#This Row],[Pile 
Deviation 
E (m)]]</f>
        <v>694016.36399999994</v>
      </c>
      <c r="W791" s="7">
        <v>-0.15</v>
      </c>
      <c r="X791" s="2" t="s">
        <v>42</v>
      </c>
      <c r="AA791" s="9">
        <v>46223</v>
      </c>
    </row>
    <row r="792" spans="1:27" hidden="1" x14ac:dyDescent="0.65">
      <c r="A792">
        <v>790</v>
      </c>
      <c r="B792" t="s">
        <v>29</v>
      </c>
      <c r="C792" s="6">
        <v>1511740.969</v>
      </c>
      <c r="D792" s="6">
        <v>694017.63399999996</v>
      </c>
      <c r="E792" s="2" t="s">
        <v>41</v>
      </c>
      <c r="F792" s="1">
        <v>26</v>
      </c>
      <c r="G792" s="2" t="s">
        <v>48</v>
      </c>
      <c r="J792"/>
      <c r="K792" s="19"/>
      <c r="L792" s="21"/>
      <c r="M792" s="27"/>
      <c r="N792" s="19"/>
      <c r="O792" s="21"/>
      <c r="P792" s="7">
        <v>0.35</v>
      </c>
      <c r="Q792" s="7">
        <f>Table2[[#This Row],[Elevation
PILE TOP]]-Table2[[#This Row],[LENGTH(m.)
(Actual)]]</f>
        <v>0.35</v>
      </c>
      <c r="R792" s="2"/>
      <c r="S792" s="7">
        <f>Table2[[#This Row],[N]]+Table2[[#This Row],[Pile 
Deviation 
N (m)]]</f>
        <v>1511740.969</v>
      </c>
      <c r="T792" s="7">
        <f>Table2[[#This Row],[E]]+Table2[[#This Row],[Pile 
Deviation 
E (m)]]</f>
        <v>694017.63399999996</v>
      </c>
      <c r="W792" s="7">
        <v>-0.15</v>
      </c>
      <c r="X792" s="2" t="s">
        <v>42</v>
      </c>
      <c r="AA792" s="9">
        <v>46224</v>
      </c>
    </row>
    <row r="793" spans="1:27" ht="13.95" hidden="1" customHeight="1" x14ac:dyDescent="0.65">
      <c r="A793">
        <v>791</v>
      </c>
      <c r="B793" t="s">
        <v>29</v>
      </c>
      <c r="C793" s="6">
        <v>1511741.4240000001</v>
      </c>
      <c r="D793" s="6">
        <v>694019.88399999996</v>
      </c>
      <c r="E793" s="2" t="s">
        <v>41</v>
      </c>
      <c r="F793" s="1">
        <v>26</v>
      </c>
      <c r="G793" s="2" t="s">
        <v>48</v>
      </c>
      <c r="J793"/>
      <c r="K793" s="19"/>
      <c r="L793" s="21"/>
      <c r="M793" s="27"/>
      <c r="N793" s="19"/>
      <c r="O793" s="21"/>
      <c r="P793" s="7">
        <v>0.35</v>
      </c>
      <c r="Q793" s="7">
        <f>Table2[[#This Row],[Elevation
PILE TOP]]-Table2[[#This Row],[LENGTH(m.)
(Actual)]]</f>
        <v>0.35</v>
      </c>
      <c r="R793" s="2"/>
      <c r="S793" s="7">
        <f>Table2[[#This Row],[N]]+Table2[[#This Row],[Pile 
Deviation 
N (m)]]</f>
        <v>1511741.4240000001</v>
      </c>
      <c r="T793" s="7">
        <f>Table2[[#This Row],[E]]+Table2[[#This Row],[Pile 
Deviation 
E (m)]]</f>
        <v>694019.88399999996</v>
      </c>
      <c r="W793" s="7">
        <v>-0.15</v>
      </c>
      <c r="X793" s="2" t="s">
        <v>42</v>
      </c>
      <c r="AA793" s="9">
        <v>46224</v>
      </c>
    </row>
    <row r="794" spans="1:27" hidden="1" x14ac:dyDescent="0.65">
      <c r="A794">
        <v>792</v>
      </c>
      <c r="B794" t="s">
        <v>29</v>
      </c>
      <c r="C794" s="6">
        <v>1511740.1529999999</v>
      </c>
      <c r="D794" s="6">
        <v>694021.79700000002</v>
      </c>
      <c r="E794" s="2" t="s">
        <v>41</v>
      </c>
      <c r="F794" s="1">
        <v>26</v>
      </c>
      <c r="G794" s="2" t="s">
        <v>48</v>
      </c>
      <c r="J794"/>
      <c r="K794" s="19"/>
      <c r="L794" s="21"/>
      <c r="M794" s="27"/>
      <c r="N794" s="19"/>
      <c r="O794" s="21"/>
      <c r="P794" s="7">
        <v>0.35</v>
      </c>
      <c r="Q794" s="7">
        <f>Table2[[#This Row],[Elevation
PILE TOP]]-Table2[[#This Row],[LENGTH(m.)
(Actual)]]</f>
        <v>0.35</v>
      </c>
      <c r="R794" s="2"/>
      <c r="S794" s="7">
        <f>Table2[[#This Row],[N]]+Table2[[#This Row],[Pile 
Deviation 
N (m)]]</f>
        <v>1511740.1529999999</v>
      </c>
      <c r="T794" s="7">
        <f>Table2[[#This Row],[E]]+Table2[[#This Row],[Pile 
Deviation 
E (m)]]</f>
        <v>694021.79700000002</v>
      </c>
      <c r="W794" s="7">
        <v>-0.15</v>
      </c>
      <c r="X794" s="2" t="s">
        <v>42</v>
      </c>
      <c r="AA794" s="9">
        <v>46225</v>
      </c>
    </row>
    <row r="795" spans="1:27" ht="13.95" hidden="1" customHeight="1" x14ac:dyDescent="0.65">
      <c r="A795">
        <v>793</v>
      </c>
      <c r="B795" t="s">
        <v>29</v>
      </c>
      <c r="C795" s="6">
        <v>1511737.9029999999</v>
      </c>
      <c r="D795" s="6">
        <v>694022.25199999998</v>
      </c>
      <c r="E795" s="2" t="s">
        <v>41</v>
      </c>
      <c r="F795" s="1">
        <v>26</v>
      </c>
      <c r="G795" s="2" t="s">
        <v>48</v>
      </c>
      <c r="J795"/>
      <c r="K795" s="19"/>
      <c r="L795" s="21"/>
      <c r="M795" s="27"/>
      <c r="N795" s="19"/>
      <c r="O795" s="21"/>
      <c r="P795" s="7">
        <v>0.35</v>
      </c>
      <c r="Q795" s="7">
        <f>Table2[[#This Row],[Elevation
PILE TOP]]-Table2[[#This Row],[LENGTH(m.)
(Actual)]]</f>
        <v>0.35</v>
      </c>
      <c r="R795" s="2"/>
      <c r="S795" s="7">
        <f>Table2[[#This Row],[N]]+Table2[[#This Row],[Pile 
Deviation 
N (m)]]</f>
        <v>1511737.9029999999</v>
      </c>
      <c r="T795" s="7">
        <f>Table2[[#This Row],[E]]+Table2[[#This Row],[Pile 
Deviation 
E (m)]]</f>
        <v>694022.25199999998</v>
      </c>
      <c r="W795" s="7">
        <v>-0.15</v>
      </c>
      <c r="X795" s="2" t="s">
        <v>42</v>
      </c>
      <c r="AA795" s="9">
        <v>46225</v>
      </c>
    </row>
    <row r="796" spans="1:27" hidden="1" x14ac:dyDescent="0.65">
      <c r="A796">
        <v>794</v>
      </c>
      <c r="B796" t="s">
        <v>29</v>
      </c>
      <c r="C796" s="6">
        <v>1511735.99</v>
      </c>
      <c r="D796" s="6">
        <v>694020.98199999996</v>
      </c>
      <c r="E796" s="2" t="s">
        <v>41</v>
      </c>
      <c r="F796" s="1">
        <v>26</v>
      </c>
      <c r="G796" s="2" t="s">
        <v>48</v>
      </c>
      <c r="J796"/>
      <c r="K796" s="19"/>
      <c r="L796" s="21"/>
      <c r="M796" s="27"/>
      <c r="N796" s="19"/>
      <c r="O796" s="21"/>
      <c r="P796" s="7">
        <v>0.35</v>
      </c>
      <c r="Q796" s="7">
        <f>Table2[[#This Row],[Elevation
PILE TOP]]-Table2[[#This Row],[LENGTH(m.)
(Actual)]]</f>
        <v>0.35</v>
      </c>
      <c r="R796" s="2"/>
      <c r="S796" s="7">
        <f>Table2[[#This Row],[N]]+Table2[[#This Row],[Pile 
Deviation 
N (m)]]</f>
        <v>1511735.99</v>
      </c>
      <c r="T796" s="7">
        <f>Table2[[#This Row],[E]]+Table2[[#This Row],[Pile 
Deviation 
E (m)]]</f>
        <v>694020.98199999996</v>
      </c>
      <c r="W796" s="7">
        <v>-0.15</v>
      </c>
      <c r="X796" s="2" t="s">
        <v>42</v>
      </c>
      <c r="AA796" s="9">
        <v>46224</v>
      </c>
    </row>
    <row r="797" spans="1:27" ht="13.95" hidden="1" customHeight="1" x14ac:dyDescent="0.65">
      <c r="A797">
        <v>795</v>
      </c>
      <c r="B797" t="s">
        <v>29</v>
      </c>
      <c r="C797" s="6">
        <v>1511735.5349999999</v>
      </c>
      <c r="D797" s="6">
        <v>694018.73100000003</v>
      </c>
      <c r="E797" s="2" t="s">
        <v>41</v>
      </c>
      <c r="F797" s="1">
        <v>26</v>
      </c>
      <c r="G797" s="2" t="s">
        <v>48</v>
      </c>
      <c r="J797"/>
      <c r="K797" s="19"/>
      <c r="L797" s="21"/>
      <c r="M797" s="27"/>
      <c r="N797" s="19"/>
      <c r="O797" s="21"/>
      <c r="P797" s="7">
        <v>0.35</v>
      </c>
      <c r="Q797" s="7">
        <f>Table2[[#This Row],[Elevation
PILE TOP]]-Table2[[#This Row],[LENGTH(m.)
(Actual)]]</f>
        <v>0.35</v>
      </c>
      <c r="R797" s="2"/>
      <c r="S797" s="7">
        <f>Table2[[#This Row],[N]]+Table2[[#This Row],[Pile 
Deviation 
N (m)]]</f>
        <v>1511735.5349999999</v>
      </c>
      <c r="T797" s="7">
        <f>Table2[[#This Row],[E]]+Table2[[#This Row],[Pile 
Deviation 
E (m)]]</f>
        <v>694018.73100000003</v>
      </c>
      <c r="W797" s="7">
        <v>-0.15</v>
      </c>
      <c r="X797" s="2" t="s">
        <v>42</v>
      </c>
      <c r="AA797" s="9">
        <v>46224</v>
      </c>
    </row>
    <row r="798" spans="1:27" hidden="1" x14ac:dyDescent="0.65">
      <c r="A798">
        <v>796</v>
      </c>
      <c r="B798" t="s">
        <v>29</v>
      </c>
      <c r="C798" s="6">
        <v>1511736.8060000001</v>
      </c>
      <c r="D798" s="6">
        <v>694016.81799999997</v>
      </c>
      <c r="E798" s="2" t="s">
        <v>41</v>
      </c>
      <c r="F798" s="1">
        <v>26</v>
      </c>
      <c r="G798" s="2" t="s">
        <v>48</v>
      </c>
      <c r="J798"/>
      <c r="K798" s="19"/>
      <c r="L798" s="21"/>
      <c r="M798" s="27"/>
      <c r="N798" s="19"/>
      <c r="O798" s="21"/>
      <c r="P798" s="7">
        <v>0.35</v>
      </c>
      <c r="Q798" s="7">
        <f>Table2[[#This Row],[Elevation
PILE TOP]]-Table2[[#This Row],[LENGTH(m.)
(Actual)]]</f>
        <v>0.35</v>
      </c>
      <c r="R798" s="2"/>
      <c r="S798" s="7">
        <f>Table2[[#This Row],[N]]+Table2[[#This Row],[Pile 
Deviation 
N (m)]]</f>
        <v>1511736.8060000001</v>
      </c>
      <c r="T798" s="7">
        <f>Table2[[#This Row],[E]]+Table2[[#This Row],[Pile 
Deviation 
E (m)]]</f>
        <v>694016.81799999997</v>
      </c>
      <c r="W798" s="7">
        <v>-0.15</v>
      </c>
      <c r="X798" s="2" t="s">
        <v>42</v>
      </c>
      <c r="AA798" s="9">
        <v>46223</v>
      </c>
    </row>
    <row r="799" spans="1:27" ht="13.95" hidden="1" customHeight="1" x14ac:dyDescent="0.65">
      <c r="A799">
        <v>797</v>
      </c>
      <c r="B799" t="s">
        <v>29</v>
      </c>
      <c r="C799" s="6">
        <v>1511738.476</v>
      </c>
      <c r="D799" s="6">
        <v>694019.30500000005</v>
      </c>
      <c r="E799" s="2" t="s">
        <v>35</v>
      </c>
      <c r="F799" s="1">
        <v>24</v>
      </c>
      <c r="G799" s="2" t="s">
        <v>48</v>
      </c>
      <c r="J799"/>
      <c r="K799" s="19"/>
      <c r="L799" s="21"/>
      <c r="M799" s="27"/>
      <c r="N799" s="19"/>
      <c r="O799" s="21"/>
      <c r="P799" s="7">
        <v>0.28999999999999998</v>
      </c>
      <c r="Q799" s="7">
        <f>Table2[[#This Row],[Elevation
PILE TOP]]-Table2[[#This Row],[LENGTH(m.)
(Actual)]]</f>
        <v>0.28999999999999998</v>
      </c>
      <c r="R799" s="2"/>
      <c r="S799" s="7">
        <f>Table2[[#This Row],[N]]+Table2[[#This Row],[Pile 
Deviation 
N (m)]]</f>
        <v>1511738.476</v>
      </c>
      <c r="T799" s="7">
        <f>Table2[[#This Row],[E]]+Table2[[#This Row],[Pile 
Deviation 
E (m)]]</f>
        <v>694019.30500000005</v>
      </c>
      <c r="W799" s="7">
        <v>0.28999999999999998</v>
      </c>
      <c r="X799" s="2" t="s">
        <v>40</v>
      </c>
      <c r="AA799" s="9">
        <v>46224</v>
      </c>
    </row>
    <row r="800" spans="1:27" hidden="1" x14ac:dyDescent="0.65">
      <c r="A800">
        <v>798</v>
      </c>
      <c r="B800" t="s">
        <v>29</v>
      </c>
      <c r="C800" s="6">
        <v>1511739.149</v>
      </c>
      <c r="D800" s="6">
        <v>694022.63800000004</v>
      </c>
      <c r="E800" s="2" t="s">
        <v>35</v>
      </c>
      <c r="F800" s="1">
        <v>24</v>
      </c>
      <c r="G800" s="2" t="s">
        <v>48</v>
      </c>
      <c r="J800"/>
      <c r="K800" s="19"/>
      <c r="L800" s="21"/>
      <c r="M800" s="27"/>
      <c r="N800" s="19"/>
      <c r="O800" s="21"/>
      <c r="P800" s="7">
        <v>0.28999999999999998</v>
      </c>
      <c r="Q800" s="7">
        <f>Table2[[#This Row],[Elevation
PILE TOP]]-Table2[[#This Row],[LENGTH(m.)
(Actual)]]</f>
        <v>0.28999999999999998</v>
      </c>
      <c r="R800" s="2"/>
      <c r="S800" s="7">
        <f>Table2[[#This Row],[N]]+Table2[[#This Row],[Pile 
Deviation 
N (m)]]</f>
        <v>1511739.149</v>
      </c>
      <c r="T800" s="7">
        <f>Table2[[#This Row],[E]]+Table2[[#This Row],[Pile 
Deviation 
E (m)]]</f>
        <v>694022.63800000004</v>
      </c>
      <c r="W800" s="7">
        <v>0.28999999999999998</v>
      </c>
      <c r="X800" s="2" t="s">
        <v>40</v>
      </c>
      <c r="AA800" s="9">
        <v>46225</v>
      </c>
    </row>
    <row r="801" spans="1:27" ht="13.95" hidden="1" customHeight="1" x14ac:dyDescent="0.65">
      <c r="A801">
        <v>799</v>
      </c>
      <c r="B801" t="s">
        <v>29</v>
      </c>
      <c r="C801" s="6">
        <v>1511740.402</v>
      </c>
      <c r="D801" s="6">
        <v>694023.02800000005</v>
      </c>
      <c r="E801" s="2" t="s">
        <v>41</v>
      </c>
      <c r="F801" s="1">
        <v>26</v>
      </c>
      <c r="G801" s="2" t="s">
        <v>48</v>
      </c>
      <c r="J801"/>
      <c r="K801" s="19"/>
      <c r="L801" s="21"/>
      <c r="M801" s="27"/>
      <c r="N801" s="19"/>
      <c r="O801" s="21"/>
      <c r="P801" s="7">
        <v>0.35</v>
      </c>
      <c r="Q801" s="7">
        <f>Table2[[#This Row],[Elevation
PILE TOP]]-Table2[[#This Row],[LENGTH(m.)
(Actual)]]</f>
        <v>0.35</v>
      </c>
      <c r="R801" s="2"/>
      <c r="S801" s="7">
        <f>Table2[[#This Row],[N]]+Table2[[#This Row],[Pile 
Deviation 
N (m)]]</f>
        <v>1511740.402</v>
      </c>
      <c r="T801" s="7">
        <f>Table2[[#This Row],[E]]+Table2[[#This Row],[Pile 
Deviation 
E (m)]]</f>
        <v>694023.02800000005</v>
      </c>
      <c r="W801" s="7">
        <v>-0.15</v>
      </c>
      <c r="X801" s="2" t="s">
        <v>42</v>
      </c>
      <c r="AA801" s="9">
        <v>46216</v>
      </c>
    </row>
    <row r="802" spans="1:27" hidden="1" x14ac:dyDescent="0.65">
      <c r="A802">
        <v>800</v>
      </c>
      <c r="B802" t="s">
        <v>29</v>
      </c>
      <c r="C802" s="6">
        <v>1511742.3149999999</v>
      </c>
      <c r="D802" s="6">
        <v>694024.29799999995</v>
      </c>
      <c r="E802" s="2" t="s">
        <v>41</v>
      </c>
      <c r="F802" s="1">
        <v>26</v>
      </c>
      <c r="G802" s="2" t="s">
        <v>48</v>
      </c>
      <c r="J802"/>
      <c r="K802" s="19"/>
      <c r="L802" s="21"/>
      <c r="M802" s="27"/>
      <c r="N802" s="19"/>
      <c r="O802" s="21"/>
      <c r="P802" s="7">
        <v>0.35</v>
      </c>
      <c r="Q802" s="7">
        <f>Table2[[#This Row],[Elevation
PILE TOP]]-Table2[[#This Row],[LENGTH(m.)
(Actual)]]</f>
        <v>0.35</v>
      </c>
      <c r="R802" s="2"/>
      <c r="S802" s="7">
        <f>Table2[[#This Row],[N]]+Table2[[#This Row],[Pile 
Deviation 
N (m)]]</f>
        <v>1511742.3149999999</v>
      </c>
      <c r="T802" s="7">
        <f>Table2[[#This Row],[E]]+Table2[[#This Row],[Pile 
Deviation 
E (m)]]</f>
        <v>694024.29799999995</v>
      </c>
      <c r="W802" s="7">
        <v>-0.15</v>
      </c>
      <c r="X802" s="2" t="s">
        <v>42</v>
      </c>
      <c r="AA802" s="9">
        <v>46216</v>
      </c>
    </row>
    <row r="803" spans="1:27" ht="13.95" hidden="1" customHeight="1" x14ac:dyDescent="0.65">
      <c r="A803">
        <v>801</v>
      </c>
      <c r="B803" t="s">
        <v>29</v>
      </c>
      <c r="C803" s="6">
        <v>1511742.7690000001</v>
      </c>
      <c r="D803" s="6">
        <v>694026.549</v>
      </c>
      <c r="E803" s="2" t="s">
        <v>41</v>
      </c>
      <c r="F803" s="1">
        <v>26</v>
      </c>
      <c r="G803" s="2" t="s">
        <v>48</v>
      </c>
      <c r="J803"/>
      <c r="K803" s="19"/>
      <c r="L803" s="21"/>
      <c r="M803" s="27"/>
      <c r="N803" s="19"/>
      <c r="O803" s="21"/>
      <c r="P803" s="7">
        <v>0.35</v>
      </c>
      <c r="Q803" s="7">
        <f>Table2[[#This Row],[Elevation
PILE TOP]]-Table2[[#This Row],[LENGTH(m.)
(Actual)]]</f>
        <v>0.35</v>
      </c>
      <c r="R803" s="2"/>
      <c r="S803" s="7">
        <f>Table2[[#This Row],[N]]+Table2[[#This Row],[Pile 
Deviation 
N (m)]]</f>
        <v>1511742.7690000001</v>
      </c>
      <c r="T803" s="7">
        <f>Table2[[#This Row],[E]]+Table2[[#This Row],[Pile 
Deviation 
E (m)]]</f>
        <v>694026.549</v>
      </c>
      <c r="W803" s="7">
        <v>-0.15</v>
      </c>
      <c r="X803" s="2" t="s">
        <v>42</v>
      </c>
      <c r="AA803" s="9">
        <v>46214</v>
      </c>
    </row>
    <row r="804" spans="1:27" hidden="1" x14ac:dyDescent="0.65">
      <c r="A804">
        <v>802</v>
      </c>
      <c r="B804" t="s">
        <v>29</v>
      </c>
      <c r="C804" s="6">
        <v>1511741.4990000001</v>
      </c>
      <c r="D804" s="6">
        <v>694028.46200000006</v>
      </c>
      <c r="E804" s="2" t="s">
        <v>41</v>
      </c>
      <c r="F804" s="1">
        <v>26</v>
      </c>
      <c r="G804" s="2" t="s">
        <v>48</v>
      </c>
      <c r="J804"/>
      <c r="K804" s="19"/>
      <c r="L804" s="21"/>
      <c r="M804" s="27"/>
      <c r="N804" s="19"/>
      <c r="O804" s="21"/>
      <c r="P804" s="7">
        <v>0.35</v>
      </c>
      <c r="Q804" s="7">
        <f>Table2[[#This Row],[Elevation
PILE TOP]]-Table2[[#This Row],[LENGTH(m.)
(Actual)]]</f>
        <v>0.35</v>
      </c>
      <c r="R804" s="2"/>
      <c r="S804" s="7">
        <f>Table2[[#This Row],[N]]+Table2[[#This Row],[Pile 
Deviation 
N (m)]]</f>
        <v>1511741.4990000001</v>
      </c>
      <c r="T804" s="7">
        <f>Table2[[#This Row],[E]]+Table2[[#This Row],[Pile 
Deviation 
E (m)]]</f>
        <v>694028.46200000006</v>
      </c>
      <c r="W804" s="7">
        <v>-0.15</v>
      </c>
      <c r="X804" s="2" t="s">
        <v>42</v>
      </c>
      <c r="AA804" s="9">
        <v>46214</v>
      </c>
    </row>
    <row r="805" spans="1:27" ht="13.95" hidden="1" customHeight="1" x14ac:dyDescent="0.65">
      <c r="A805">
        <v>803</v>
      </c>
      <c r="B805" t="s">
        <v>29</v>
      </c>
      <c r="C805" s="6">
        <v>1511739.2490000001</v>
      </c>
      <c r="D805" s="6">
        <v>694028.91599999997</v>
      </c>
      <c r="E805" s="2" t="s">
        <v>41</v>
      </c>
      <c r="F805" s="1">
        <v>26</v>
      </c>
      <c r="G805" s="2" t="s">
        <v>48</v>
      </c>
      <c r="J805"/>
      <c r="K805" s="19"/>
      <c r="L805" s="21"/>
      <c r="M805" s="27"/>
      <c r="N805" s="19"/>
      <c r="O805" s="21"/>
      <c r="P805" s="7">
        <v>0.35</v>
      </c>
      <c r="Q805" s="7">
        <f>Table2[[#This Row],[Elevation
PILE TOP]]-Table2[[#This Row],[LENGTH(m.)
(Actual)]]</f>
        <v>0.35</v>
      </c>
      <c r="R805" s="2"/>
      <c r="S805" s="7">
        <f>Table2[[#This Row],[N]]+Table2[[#This Row],[Pile 
Deviation 
N (m)]]</f>
        <v>1511739.2490000001</v>
      </c>
      <c r="T805" s="7">
        <f>Table2[[#This Row],[E]]+Table2[[#This Row],[Pile 
Deviation 
E (m)]]</f>
        <v>694028.91599999997</v>
      </c>
      <c r="W805" s="7">
        <v>-0.15</v>
      </c>
      <c r="X805" s="2" t="s">
        <v>42</v>
      </c>
      <c r="AA805" s="9">
        <v>46214</v>
      </c>
    </row>
    <row r="806" spans="1:27" hidden="1" x14ac:dyDescent="0.65">
      <c r="A806">
        <v>804</v>
      </c>
      <c r="B806" t="s">
        <v>29</v>
      </c>
      <c r="C806" s="6">
        <v>1511737.3359999999</v>
      </c>
      <c r="D806" s="6">
        <v>694027.64599999995</v>
      </c>
      <c r="E806" s="2" t="s">
        <v>41</v>
      </c>
      <c r="F806" s="1">
        <v>26</v>
      </c>
      <c r="G806" s="2" t="s">
        <v>48</v>
      </c>
      <c r="J806"/>
      <c r="K806" s="19"/>
      <c r="L806" s="21"/>
      <c r="M806" s="27"/>
      <c r="N806" s="19"/>
      <c r="O806" s="21"/>
      <c r="P806" s="7">
        <v>0.35</v>
      </c>
      <c r="Q806" s="7">
        <f>Table2[[#This Row],[Elevation
PILE TOP]]-Table2[[#This Row],[LENGTH(m.)
(Actual)]]</f>
        <v>0.35</v>
      </c>
      <c r="R806" s="2"/>
      <c r="S806" s="7">
        <f>Table2[[#This Row],[N]]+Table2[[#This Row],[Pile 
Deviation 
N (m)]]</f>
        <v>1511737.3359999999</v>
      </c>
      <c r="T806" s="7">
        <f>Table2[[#This Row],[E]]+Table2[[#This Row],[Pile 
Deviation 
E (m)]]</f>
        <v>694027.64599999995</v>
      </c>
      <c r="W806" s="7">
        <v>-0.15</v>
      </c>
      <c r="X806" s="2" t="s">
        <v>42</v>
      </c>
      <c r="AA806" s="9">
        <v>46214</v>
      </c>
    </row>
    <row r="807" spans="1:27" ht="13.95" hidden="1" customHeight="1" x14ac:dyDescent="0.65">
      <c r="A807">
        <v>805</v>
      </c>
      <c r="B807" t="s">
        <v>29</v>
      </c>
      <c r="C807" s="6">
        <v>1511736.8810000001</v>
      </c>
      <c r="D807" s="6">
        <v>694025.39599999995</v>
      </c>
      <c r="E807" s="2" t="s">
        <v>41</v>
      </c>
      <c r="F807" s="1">
        <v>26</v>
      </c>
      <c r="G807" s="2" t="s">
        <v>48</v>
      </c>
      <c r="J807"/>
      <c r="K807" s="19"/>
      <c r="L807" s="21"/>
      <c r="M807" s="27"/>
      <c r="N807" s="19"/>
      <c r="O807" s="21"/>
      <c r="P807" s="7">
        <v>0.35</v>
      </c>
      <c r="Q807" s="7">
        <f>Table2[[#This Row],[Elevation
PILE TOP]]-Table2[[#This Row],[LENGTH(m.)
(Actual)]]</f>
        <v>0.35</v>
      </c>
      <c r="R807" s="2"/>
      <c r="S807" s="7">
        <f>Table2[[#This Row],[N]]+Table2[[#This Row],[Pile 
Deviation 
N (m)]]</f>
        <v>1511736.8810000001</v>
      </c>
      <c r="T807" s="7">
        <f>Table2[[#This Row],[E]]+Table2[[#This Row],[Pile 
Deviation 
E (m)]]</f>
        <v>694025.39599999995</v>
      </c>
      <c r="W807" s="7">
        <v>-0.15</v>
      </c>
      <c r="X807" s="2" t="s">
        <v>42</v>
      </c>
      <c r="AA807" s="9">
        <v>46216</v>
      </c>
    </row>
    <row r="808" spans="1:27" hidden="1" x14ac:dyDescent="0.65">
      <c r="A808">
        <v>806</v>
      </c>
      <c r="B808" t="s">
        <v>29</v>
      </c>
      <c r="C808" s="6">
        <v>1511738.1510000001</v>
      </c>
      <c r="D808" s="6">
        <v>694023.48300000001</v>
      </c>
      <c r="E808" s="2" t="s">
        <v>41</v>
      </c>
      <c r="F808" s="1">
        <v>26</v>
      </c>
      <c r="G808" s="2" t="s">
        <v>48</v>
      </c>
      <c r="J808"/>
      <c r="K808" s="19"/>
      <c r="L808" s="21"/>
      <c r="M808" s="27"/>
      <c r="N808" s="19"/>
      <c r="O808" s="21"/>
      <c r="P808" s="7">
        <v>0.35</v>
      </c>
      <c r="Q808" s="7">
        <f>Table2[[#This Row],[Elevation
PILE TOP]]-Table2[[#This Row],[LENGTH(m.)
(Actual)]]</f>
        <v>0.35</v>
      </c>
      <c r="R808" s="2"/>
      <c r="S808" s="7">
        <f>Table2[[#This Row],[N]]+Table2[[#This Row],[Pile 
Deviation 
N (m)]]</f>
        <v>1511738.1510000001</v>
      </c>
      <c r="T808" s="7">
        <f>Table2[[#This Row],[E]]+Table2[[#This Row],[Pile 
Deviation 
E (m)]]</f>
        <v>694023.48300000001</v>
      </c>
      <c r="W808" s="7">
        <v>-0.15</v>
      </c>
      <c r="X808" s="2" t="s">
        <v>42</v>
      </c>
      <c r="AA808" s="9">
        <v>46216</v>
      </c>
    </row>
    <row r="809" spans="1:27" ht="13.95" hidden="1" customHeight="1" x14ac:dyDescent="0.65">
      <c r="A809">
        <v>807</v>
      </c>
      <c r="B809" t="s">
        <v>29</v>
      </c>
      <c r="C809" s="6">
        <v>1511739.8219999999</v>
      </c>
      <c r="D809" s="6">
        <v>694025.97100000002</v>
      </c>
      <c r="E809" s="2" t="s">
        <v>35</v>
      </c>
      <c r="F809" s="1">
        <v>24</v>
      </c>
      <c r="G809" s="2" t="s">
        <v>48</v>
      </c>
      <c r="J809"/>
      <c r="K809" s="19"/>
      <c r="L809" s="21"/>
      <c r="M809" s="27"/>
      <c r="N809" s="19"/>
      <c r="O809" s="21"/>
      <c r="P809" s="7">
        <v>0.28999999999999998</v>
      </c>
      <c r="Q809" s="7">
        <f>Table2[[#This Row],[Elevation
PILE TOP]]-Table2[[#This Row],[LENGTH(m.)
(Actual)]]</f>
        <v>0.28999999999999998</v>
      </c>
      <c r="R809" s="2"/>
      <c r="S809" s="7">
        <f>Table2[[#This Row],[N]]+Table2[[#This Row],[Pile 
Deviation 
N (m)]]</f>
        <v>1511739.8219999999</v>
      </c>
      <c r="T809" s="7">
        <f>Table2[[#This Row],[E]]+Table2[[#This Row],[Pile 
Deviation 
E (m)]]</f>
        <v>694025.97100000002</v>
      </c>
      <c r="W809" s="7">
        <v>0.28999999999999998</v>
      </c>
      <c r="X809" s="2" t="s">
        <v>40</v>
      </c>
      <c r="AA809" s="9">
        <v>46216</v>
      </c>
    </row>
    <row r="810" spans="1:27" hidden="1" x14ac:dyDescent="0.65">
      <c r="A810">
        <v>808</v>
      </c>
      <c r="B810" t="s">
        <v>29</v>
      </c>
      <c r="C810" s="6">
        <v>1511740.416</v>
      </c>
      <c r="D810" s="6">
        <v>694028.91099999996</v>
      </c>
      <c r="E810" s="2" t="s">
        <v>35</v>
      </c>
      <c r="F810" s="1">
        <v>24</v>
      </c>
      <c r="G810" s="2" t="s">
        <v>48</v>
      </c>
      <c r="J810"/>
      <c r="K810" s="19"/>
      <c r="L810" s="21"/>
      <c r="M810" s="27"/>
      <c r="N810" s="19"/>
      <c r="O810" s="21"/>
      <c r="P810" s="7">
        <v>0.28999999999999998</v>
      </c>
      <c r="Q810" s="7">
        <f>Table2[[#This Row],[Elevation
PILE TOP]]-Table2[[#This Row],[LENGTH(m.)
(Actual)]]</f>
        <v>0.28999999999999998</v>
      </c>
      <c r="R810" s="2"/>
      <c r="S810" s="7">
        <f>Table2[[#This Row],[N]]+Table2[[#This Row],[Pile 
Deviation 
N (m)]]</f>
        <v>1511740.416</v>
      </c>
      <c r="T810" s="7">
        <f>Table2[[#This Row],[E]]+Table2[[#This Row],[Pile 
Deviation 
E (m)]]</f>
        <v>694028.91099999996</v>
      </c>
      <c r="W810" s="7">
        <v>0.28999999999999998</v>
      </c>
      <c r="X810" s="2" t="s">
        <v>40</v>
      </c>
      <c r="AA810" s="9">
        <v>46214</v>
      </c>
    </row>
    <row r="811" spans="1:27" ht="13.95" hidden="1" customHeight="1" x14ac:dyDescent="0.65">
      <c r="A811">
        <v>809</v>
      </c>
      <c r="B811" t="s">
        <v>29</v>
      </c>
      <c r="C811" s="6">
        <v>1511741.0970000001</v>
      </c>
      <c r="D811" s="6">
        <v>694029.69900000002</v>
      </c>
      <c r="E811" s="2" t="s">
        <v>44</v>
      </c>
      <c r="F811" s="1">
        <v>24</v>
      </c>
      <c r="G811" s="2" t="s">
        <v>48</v>
      </c>
      <c r="J811"/>
      <c r="K811" s="19"/>
      <c r="L811" s="21"/>
      <c r="M811" s="27"/>
      <c r="N811" s="19"/>
      <c r="O811" s="21"/>
      <c r="P811" s="7">
        <v>-0.27500000000000002</v>
      </c>
      <c r="Q811" s="7">
        <f>Table2[[#This Row],[Elevation
PILE TOP]]-Table2[[#This Row],[LENGTH(m.)
(Actual)]]</f>
        <v>-0.27500000000000002</v>
      </c>
      <c r="R811" s="2"/>
      <c r="S811" s="7">
        <f>Table2[[#This Row],[N]]+Table2[[#This Row],[Pile 
Deviation 
N (m)]]</f>
        <v>1511741.0970000001</v>
      </c>
      <c r="T811" s="7">
        <f>Table2[[#This Row],[E]]+Table2[[#This Row],[Pile 
Deviation 
E (m)]]</f>
        <v>694029.69900000002</v>
      </c>
      <c r="W811" s="7">
        <v>-0.77500000000000002</v>
      </c>
      <c r="X811" s="2" t="s">
        <v>45</v>
      </c>
      <c r="AA811" s="9">
        <v>46214</v>
      </c>
    </row>
    <row r="812" spans="1:27" hidden="1" x14ac:dyDescent="0.65">
      <c r="A812">
        <v>810</v>
      </c>
      <c r="B812" t="s">
        <v>29</v>
      </c>
      <c r="C812" s="6">
        <v>1511741.2949999999</v>
      </c>
      <c r="D812" s="6">
        <v>694030.679</v>
      </c>
      <c r="E812" s="2" t="s">
        <v>44</v>
      </c>
      <c r="F812" s="1">
        <v>24</v>
      </c>
      <c r="G812" s="2" t="s">
        <v>48</v>
      </c>
      <c r="J812"/>
      <c r="K812" s="19"/>
      <c r="L812" s="21"/>
      <c r="M812" s="27"/>
      <c r="N812" s="19"/>
      <c r="O812" s="21"/>
      <c r="P812" s="7">
        <v>-0.27500000000000002</v>
      </c>
      <c r="Q812" s="7">
        <f>Table2[[#This Row],[Elevation
PILE TOP]]-Table2[[#This Row],[LENGTH(m.)
(Actual)]]</f>
        <v>-0.27500000000000002</v>
      </c>
      <c r="R812" s="2"/>
      <c r="S812" s="7">
        <f>Table2[[#This Row],[N]]+Table2[[#This Row],[Pile 
Deviation 
N (m)]]</f>
        <v>1511741.2949999999</v>
      </c>
      <c r="T812" s="7">
        <f>Table2[[#This Row],[E]]+Table2[[#This Row],[Pile 
Deviation 
E (m)]]</f>
        <v>694030.679</v>
      </c>
      <c r="W812" s="7">
        <v>-0.77500000000000002</v>
      </c>
      <c r="X812" s="2" t="s">
        <v>45</v>
      </c>
      <c r="AA812" s="9">
        <v>46213</v>
      </c>
    </row>
    <row r="813" spans="1:27" ht="13.95" hidden="1" customHeight="1" x14ac:dyDescent="0.65">
      <c r="A813">
        <v>811</v>
      </c>
      <c r="B813" t="s">
        <v>29</v>
      </c>
      <c r="C813" s="6">
        <v>1511740.1170000001</v>
      </c>
      <c r="D813" s="6">
        <v>694029.897</v>
      </c>
      <c r="E813" s="2" t="s">
        <v>44</v>
      </c>
      <c r="F813" s="1">
        <v>24</v>
      </c>
      <c r="G813" s="2" t="s">
        <v>48</v>
      </c>
      <c r="J813"/>
      <c r="K813" s="19"/>
      <c r="L813" s="21"/>
      <c r="M813" s="27"/>
      <c r="N813" s="19"/>
      <c r="O813" s="21"/>
      <c r="P813" s="7">
        <v>-0.27500000000000002</v>
      </c>
      <c r="Q813" s="7">
        <f>Table2[[#This Row],[Elevation
PILE TOP]]-Table2[[#This Row],[LENGTH(m.)
(Actual)]]</f>
        <v>-0.27500000000000002</v>
      </c>
      <c r="R813" s="2"/>
      <c r="S813" s="7">
        <f>Table2[[#This Row],[N]]+Table2[[#This Row],[Pile 
Deviation 
N (m)]]</f>
        <v>1511740.1170000001</v>
      </c>
      <c r="T813" s="7">
        <f>Table2[[#This Row],[E]]+Table2[[#This Row],[Pile 
Deviation 
E (m)]]</f>
        <v>694029.897</v>
      </c>
      <c r="W813" s="7">
        <v>-0.77500000000000002</v>
      </c>
      <c r="X813" s="2" t="s">
        <v>45</v>
      </c>
      <c r="AA813" s="9">
        <v>46214</v>
      </c>
    </row>
    <row r="814" spans="1:27" hidden="1" x14ac:dyDescent="0.65">
      <c r="A814">
        <v>812</v>
      </c>
      <c r="B814" t="s">
        <v>29</v>
      </c>
      <c r="C814" s="6">
        <v>1511740.314</v>
      </c>
      <c r="D814" s="6">
        <v>694030.87699999998</v>
      </c>
      <c r="E814" s="2" t="s">
        <v>44</v>
      </c>
      <c r="F814" s="1">
        <v>24</v>
      </c>
      <c r="G814" s="2" t="s">
        <v>48</v>
      </c>
      <c r="J814"/>
      <c r="K814" s="19"/>
      <c r="L814" s="21"/>
      <c r="M814" s="27"/>
      <c r="N814" s="19"/>
      <c r="O814" s="21"/>
      <c r="P814" s="7">
        <v>-0.27500000000000002</v>
      </c>
      <c r="Q814" s="7">
        <f>Table2[[#This Row],[Elevation
PILE TOP]]-Table2[[#This Row],[LENGTH(m.)
(Actual)]]</f>
        <v>-0.27500000000000002</v>
      </c>
      <c r="R814" s="2"/>
      <c r="S814" s="7">
        <f>Table2[[#This Row],[N]]+Table2[[#This Row],[Pile 
Deviation 
N (m)]]</f>
        <v>1511740.314</v>
      </c>
      <c r="T814" s="7">
        <f>Table2[[#This Row],[E]]+Table2[[#This Row],[Pile 
Deviation 
E (m)]]</f>
        <v>694030.87699999998</v>
      </c>
      <c r="W814" s="7">
        <v>-0.77500000000000002</v>
      </c>
      <c r="X814" s="2" t="s">
        <v>45</v>
      </c>
      <c r="AA814" s="9">
        <v>46213</v>
      </c>
    </row>
    <row r="815" spans="1:27" ht="13.95" hidden="1" customHeight="1" x14ac:dyDescent="0.65">
      <c r="A815">
        <v>813</v>
      </c>
      <c r="B815" t="s">
        <v>29</v>
      </c>
      <c r="C815" s="6">
        <v>1511741.01</v>
      </c>
      <c r="D815" s="6">
        <v>694031.85199999996</v>
      </c>
      <c r="E815" s="2" t="s">
        <v>35</v>
      </c>
      <c r="F815" s="1">
        <v>24</v>
      </c>
      <c r="G815" s="2" t="s">
        <v>48</v>
      </c>
      <c r="J815"/>
      <c r="K815" s="19"/>
      <c r="L815" s="21"/>
      <c r="M815" s="27"/>
      <c r="N815" s="19"/>
      <c r="O815" s="21"/>
      <c r="P815" s="7">
        <v>0.28999999999999998</v>
      </c>
      <c r="Q815" s="7">
        <f>Table2[[#This Row],[Elevation
PILE TOP]]-Table2[[#This Row],[LENGTH(m.)
(Actual)]]</f>
        <v>0.28999999999999998</v>
      </c>
      <c r="R815" s="2"/>
      <c r="S815" s="7">
        <f>Table2[[#This Row],[N]]+Table2[[#This Row],[Pile 
Deviation 
N (m)]]</f>
        <v>1511741.01</v>
      </c>
      <c r="T815" s="7">
        <f>Table2[[#This Row],[E]]+Table2[[#This Row],[Pile 
Deviation 
E (m)]]</f>
        <v>694031.85199999996</v>
      </c>
      <c r="W815" s="7">
        <v>0.28999999999999998</v>
      </c>
      <c r="X815" s="2" t="s">
        <v>40</v>
      </c>
      <c r="AA815" s="9">
        <v>46213</v>
      </c>
    </row>
    <row r="816" spans="1:27" hidden="1" x14ac:dyDescent="0.65">
      <c r="A816">
        <v>814</v>
      </c>
      <c r="B816" t="s">
        <v>29</v>
      </c>
      <c r="C816" s="6">
        <v>1511742.2039999999</v>
      </c>
      <c r="D816" s="6">
        <v>694031.94900000002</v>
      </c>
      <c r="E816" s="2" t="s">
        <v>41</v>
      </c>
      <c r="F816" s="1">
        <v>26</v>
      </c>
      <c r="G816" s="2" t="s">
        <v>48</v>
      </c>
      <c r="J816"/>
      <c r="K816" s="19"/>
      <c r="L816" s="21"/>
      <c r="M816" s="27"/>
      <c r="N816" s="19"/>
      <c r="O816" s="21"/>
      <c r="P816" s="7">
        <v>0.35</v>
      </c>
      <c r="Q816" s="7">
        <f>Table2[[#This Row],[Elevation
PILE TOP]]-Table2[[#This Row],[LENGTH(m.)
(Actual)]]</f>
        <v>0.35</v>
      </c>
      <c r="R816" s="2"/>
      <c r="S816" s="7">
        <f>Table2[[#This Row],[N]]+Table2[[#This Row],[Pile 
Deviation 
N (m)]]</f>
        <v>1511742.2039999999</v>
      </c>
      <c r="T816" s="7">
        <f>Table2[[#This Row],[E]]+Table2[[#This Row],[Pile 
Deviation 
E (m)]]</f>
        <v>694031.94900000002</v>
      </c>
      <c r="W816" s="7">
        <v>-0.15</v>
      </c>
      <c r="X816" s="2" t="s">
        <v>42</v>
      </c>
      <c r="AA816" s="9">
        <v>46213</v>
      </c>
    </row>
    <row r="817" spans="1:27" ht="13.95" hidden="1" customHeight="1" x14ac:dyDescent="0.65">
      <c r="A817">
        <v>815</v>
      </c>
      <c r="B817" t="s">
        <v>29</v>
      </c>
      <c r="C817" s="6">
        <v>1511744.1159999999</v>
      </c>
      <c r="D817" s="6">
        <v>694033.21900000004</v>
      </c>
      <c r="E817" s="2" t="s">
        <v>41</v>
      </c>
      <c r="F817" s="1">
        <v>26</v>
      </c>
      <c r="G817" s="2" t="s">
        <v>48</v>
      </c>
      <c r="J817"/>
      <c r="K817" s="19"/>
      <c r="L817" s="21"/>
      <c r="M817" s="27"/>
      <c r="N817" s="19"/>
      <c r="O817" s="21"/>
      <c r="P817" s="7">
        <v>0.35</v>
      </c>
      <c r="Q817" s="7">
        <f>Table2[[#This Row],[Elevation
PILE TOP]]-Table2[[#This Row],[LENGTH(m.)
(Actual)]]</f>
        <v>0.35</v>
      </c>
      <c r="R817" s="2"/>
      <c r="S817" s="7">
        <f>Table2[[#This Row],[N]]+Table2[[#This Row],[Pile 
Deviation 
N (m)]]</f>
        <v>1511744.1159999999</v>
      </c>
      <c r="T817" s="7">
        <f>Table2[[#This Row],[E]]+Table2[[#This Row],[Pile 
Deviation 
E (m)]]</f>
        <v>694033.21900000004</v>
      </c>
      <c r="W817" s="7">
        <v>-0.15</v>
      </c>
      <c r="X817" s="2" t="s">
        <v>42</v>
      </c>
      <c r="AA817" s="9">
        <v>46213</v>
      </c>
    </row>
    <row r="818" spans="1:27" hidden="1" x14ac:dyDescent="0.65">
      <c r="A818">
        <v>816</v>
      </c>
      <c r="B818" t="s">
        <v>29</v>
      </c>
      <c r="C818" s="6">
        <v>1511744.571</v>
      </c>
      <c r="D818" s="6">
        <v>694035.46900000004</v>
      </c>
      <c r="E818" s="2" t="s">
        <v>41</v>
      </c>
      <c r="F818" s="1">
        <v>26</v>
      </c>
      <c r="G818" s="2" t="s">
        <v>48</v>
      </c>
      <c r="J818"/>
      <c r="K818" s="19"/>
      <c r="L818" s="21"/>
      <c r="M818" s="27"/>
      <c r="N818" s="19"/>
      <c r="O818" s="21"/>
      <c r="P818" s="7">
        <v>0.35</v>
      </c>
      <c r="Q818" s="7">
        <f>Table2[[#This Row],[Elevation
PILE TOP]]-Table2[[#This Row],[LENGTH(m.)
(Actual)]]</f>
        <v>0.35</v>
      </c>
      <c r="R818" s="2"/>
      <c r="S818" s="7">
        <f>Table2[[#This Row],[N]]+Table2[[#This Row],[Pile 
Deviation 
N (m)]]</f>
        <v>1511744.571</v>
      </c>
      <c r="T818" s="7">
        <f>Table2[[#This Row],[E]]+Table2[[#This Row],[Pile 
Deviation 
E (m)]]</f>
        <v>694035.46900000004</v>
      </c>
      <c r="W818" s="7">
        <v>-0.15</v>
      </c>
      <c r="X818" s="2" t="s">
        <v>42</v>
      </c>
      <c r="AA818" s="9">
        <v>46212</v>
      </c>
    </row>
    <row r="819" spans="1:27" ht="13.95" hidden="1" customHeight="1" x14ac:dyDescent="0.65">
      <c r="A819">
        <v>817</v>
      </c>
      <c r="B819" t="s">
        <v>29</v>
      </c>
      <c r="C819" s="6">
        <v>1511743.301</v>
      </c>
      <c r="D819" s="6">
        <v>694037.38199999998</v>
      </c>
      <c r="E819" s="2" t="s">
        <v>41</v>
      </c>
      <c r="F819" s="1">
        <v>26</v>
      </c>
      <c r="G819" s="2" t="s">
        <v>48</v>
      </c>
      <c r="J819"/>
      <c r="K819" s="19"/>
      <c r="L819" s="21"/>
      <c r="M819" s="27"/>
      <c r="N819" s="19"/>
      <c r="O819" s="21"/>
      <c r="P819" s="7">
        <v>0.35</v>
      </c>
      <c r="Q819" s="7">
        <f>Table2[[#This Row],[Elevation
PILE TOP]]-Table2[[#This Row],[LENGTH(m.)
(Actual)]]</f>
        <v>0.35</v>
      </c>
      <c r="R819" s="2"/>
      <c r="S819" s="7">
        <f>Table2[[#This Row],[N]]+Table2[[#This Row],[Pile 
Deviation 
N (m)]]</f>
        <v>1511743.301</v>
      </c>
      <c r="T819" s="7">
        <f>Table2[[#This Row],[E]]+Table2[[#This Row],[Pile 
Deviation 
E (m)]]</f>
        <v>694037.38199999998</v>
      </c>
      <c r="W819" s="7">
        <v>-0.15</v>
      </c>
      <c r="X819" s="2" t="s">
        <v>42</v>
      </c>
      <c r="AA819" s="9">
        <v>46212</v>
      </c>
    </row>
    <row r="820" spans="1:27" hidden="1" x14ac:dyDescent="0.65">
      <c r="A820">
        <v>818</v>
      </c>
      <c r="B820" t="s">
        <v>29</v>
      </c>
      <c r="C820" s="6">
        <v>1511741.05</v>
      </c>
      <c r="D820" s="6">
        <v>694037.83700000006</v>
      </c>
      <c r="E820" s="2" t="s">
        <v>41</v>
      </c>
      <c r="F820" s="1">
        <v>26</v>
      </c>
      <c r="G820" s="2" t="s">
        <v>48</v>
      </c>
      <c r="J820"/>
      <c r="K820" s="19"/>
      <c r="L820" s="21"/>
      <c r="M820" s="27"/>
      <c r="N820" s="19"/>
      <c r="O820" s="21"/>
      <c r="P820" s="7">
        <v>0.35</v>
      </c>
      <c r="Q820" s="7">
        <f>Table2[[#This Row],[Elevation
PILE TOP]]-Table2[[#This Row],[LENGTH(m.)
(Actual)]]</f>
        <v>0.35</v>
      </c>
      <c r="R820" s="2"/>
      <c r="S820" s="7">
        <f>Table2[[#This Row],[N]]+Table2[[#This Row],[Pile 
Deviation 
N (m)]]</f>
        <v>1511741.05</v>
      </c>
      <c r="T820" s="7">
        <f>Table2[[#This Row],[E]]+Table2[[#This Row],[Pile 
Deviation 
E (m)]]</f>
        <v>694037.83700000006</v>
      </c>
      <c r="W820" s="7">
        <v>-0.15</v>
      </c>
      <c r="X820" s="2" t="s">
        <v>42</v>
      </c>
      <c r="AA820" s="9">
        <v>46212</v>
      </c>
    </row>
    <row r="821" spans="1:27" ht="13.95" hidden="1" customHeight="1" x14ac:dyDescent="0.65">
      <c r="A821">
        <v>819</v>
      </c>
      <c r="B821" t="s">
        <v>29</v>
      </c>
      <c r="C821" s="6">
        <v>1511739.1370000001</v>
      </c>
      <c r="D821" s="6">
        <v>694036.56700000004</v>
      </c>
      <c r="E821" s="2" t="s">
        <v>41</v>
      </c>
      <c r="F821" s="1">
        <v>26</v>
      </c>
      <c r="G821" s="2" t="s">
        <v>48</v>
      </c>
      <c r="J821"/>
      <c r="K821" s="19"/>
      <c r="L821" s="21"/>
      <c r="M821" s="27"/>
      <c r="N821" s="19"/>
      <c r="O821" s="21"/>
      <c r="P821" s="7">
        <v>0.35</v>
      </c>
      <c r="Q821" s="7">
        <f>Table2[[#This Row],[Elevation
PILE TOP]]-Table2[[#This Row],[LENGTH(m.)
(Actual)]]</f>
        <v>0.35</v>
      </c>
      <c r="R821" s="2"/>
      <c r="S821" s="7">
        <f>Table2[[#This Row],[N]]+Table2[[#This Row],[Pile 
Deviation 
N (m)]]</f>
        <v>1511739.1370000001</v>
      </c>
      <c r="T821" s="7">
        <f>Table2[[#This Row],[E]]+Table2[[#This Row],[Pile 
Deviation 
E (m)]]</f>
        <v>694036.56700000004</v>
      </c>
      <c r="W821" s="7">
        <v>-0.15</v>
      </c>
      <c r="X821" s="2" t="s">
        <v>42</v>
      </c>
      <c r="AA821" s="9">
        <v>46212</v>
      </c>
    </row>
    <row r="822" spans="1:27" hidden="1" x14ac:dyDescent="0.65">
      <c r="A822">
        <v>820</v>
      </c>
      <c r="B822" t="s">
        <v>29</v>
      </c>
      <c r="C822" s="6">
        <v>1511738.683</v>
      </c>
      <c r="D822" s="6">
        <v>694034.31599999999</v>
      </c>
      <c r="E822" s="2" t="s">
        <v>41</v>
      </c>
      <c r="F822" s="1">
        <v>26</v>
      </c>
      <c r="G822" s="2" t="s">
        <v>48</v>
      </c>
      <c r="J822"/>
      <c r="K822" s="19"/>
      <c r="L822" s="21"/>
      <c r="M822" s="27"/>
      <c r="N822" s="19"/>
      <c r="O822" s="21"/>
      <c r="P822" s="7">
        <v>0.35</v>
      </c>
      <c r="Q822" s="7">
        <f>Table2[[#This Row],[Elevation
PILE TOP]]-Table2[[#This Row],[LENGTH(m.)
(Actual)]]</f>
        <v>0.35</v>
      </c>
      <c r="R822" s="2"/>
      <c r="S822" s="7">
        <f>Table2[[#This Row],[N]]+Table2[[#This Row],[Pile 
Deviation 
N (m)]]</f>
        <v>1511738.683</v>
      </c>
      <c r="T822" s="7">
        <f>Table2[[#This Row],[E]]+Table2[[#This Row],[Pile 
Deviation 
E (m)]]</f>
        <v>694034.31599999999</v>
      </c>
      <c r="W822" s="7">
        <v>-0.15</v>
      </c>
      <c r="X822" s="2" t="s">
        <v>42</v>
      </c>
      <c r="AA822" s="9">
        <v>46213</v>
      </c>
    </row>
    <row r="823" spans="1:27" ht="13.95" hidden="1" customHeight="1" x14ac:dyDescent="0.65">
      <c r="A823">
        <v>821</v>
      </c>
      <c r="B823" t="s">
        <v>29</v>
      </c>
      <c r="C823" s="6">
        <v>1511739.953</v>
      </c>
      <c r="D823" s="6">
        <v>694032.40300000005</v>
      </c>
      <c r="E823" s="2" t="s">
        <v>41</v>
      </c>
      <c r="F823" s="1">
        <v>26</v>
      </c>
      <c r="G823" s="2" t="s">
        <v>48</v>
      </c>
      <c r="J823"/>
      <c r="K823" s="19"/>
      <c r="L823" s="21"/>
      <c r="M823" s="27"/>
      <c r="N823" s="19"/>
      <c r="O823" s="21"/>
      <c r="P823" s="7">
        <v>0.35</v>
      </c>
      <c r="Q823" s="7">
        <f>Table2[[#This Row],[Elevation
PILE TOP]]-Table2[[#This Row],[LENGTH(m.)
(Actual)]]</f>
        <v>0.35</v>
      </c>
      <c r="R823" s="2"/>
      <c r="S823" s="7">
        <f>Table2[[#This Row],[N]]+Table2[[#This Row],[Pile 
Deviation 
N (m)]]</f>
        <v>1511739.953</v>
      </c>
      <c r="T823" s="7">
        <f>Table2[[#This Row],[E]]+Table2[[#This Row],[Pile 
Deviation 
E (m)]]</f>
        <v>694032.40300000005</v>
      </c>
      <c r="W823" s="7">
        <v>-0.15</v>
      </c>
      <c r="X823" s="2" t="s">
        <v>42</v>
      </c>
      <c r="AA823" s="9">
        <v>46213</v>
      </c>
    </row>
    <row r="824" spans="1:27" hidden="1" x14ac:dyDescent="0.65">
      <c r="A824">
        <v>822</v>
      </c>
      <c r="B824" t="s">
        <v>29</v>
      </c>
      <c r="C824" s="6">
        <v>1511741.6040000001</v>
      </c>
      <c r="D824" s="6">
        <v>694034.79299999995</v>
      </c>
      <c r="E824" s="2" t="s">
        <v>35</v>
      </c>
      <c r="F824" s="1">
        <v>24</v>
      </c>
      <c r="G824" s="2" t="s">
        <v>48</v>
      </c>
      <c r="J824"/>
      <c r="K824" s="19"/>
      <c r="L824" s="21"/>
      <c r="M824" s="27"/>
      <c r="N824" s="19"/>
      <c r="O824" s="21"/>
      <c r="P824" s="7">
        <v>0.28999999999999998</v>
      </c>
      <c r="Q824" s="7">
        <f>Table2[[#This Row],[Elevation
PILE TOP]]-Table2[[#This Row],[LENGTH(m.)
(Actual)]]</f>
        <v>0.28999999999999998</v>
      </c>
      <c r="R824" s="2"/>
      <c r="S824" s="7">
        <f>Table2[[#This Row],[N]]+Table2[[#This Row],[Pile 
Deviation 
N (m)]]</f>
        <v>1511741.6040000001</v>
      </c>
      <c r="T824" s="7">
        <f>Table2[[#This Row],[E]]+Table2[[#This Row],[Pile 
Deviation 
E (m)]]</f>
        <v>694034.79299999995</v>
      </c>
      <c r="W824" s="7">
        <v>0.28999999999999998</v>
      </c>
      <c r="X824" s="2" t="s">
        <v>40</v>
      </c>
      <c r="AA824" s="9">
        <v>46212</v>
      </c>
    </row>
    <row r="825" spans="1:27" ht="13.95" hidden="1" customHeight="1" x14ac:dyDescent="0.65">
      <c r="A825">
        <v>823</v>
      </c>
      <c r="B825" t="s">
        <v>29</v>
      </c>
      <c r="C825" s="6">
        <v>1511742.277</v>
      </c>
      <c r="D825" s="6">
        <v>694038.125</v>
      </c>
      <c r="E825" s="2" t="s">
        <v>35</v>
      </c>
      <c r="F825" s="1">
        <v>24</v>
      </c>
      <c r="G825" s="2" t="s">
        <v>48</v>
      </c>
      <c r="J825"/>
      <c r="K825" s="19"/>
      <c r="L825" s="21"/>
      <c r="M825" s="27"/>
      <c r="N825" s="19"/>
      <c r="O825" s="21"/>
      <c r="P825" s="7">
        <v>0.28999999999999998</v>
      </c>
      <c r="Q825" s="7">
        <f>Table2[[#This Row],[Elevation
PILE TOP]]-Table2[[#This Row],[LENGTH(m.)
(Actual)]]</f>
        <v>0.28999999999999998</v>
      </c>
      <c r="R825" s="2"/>
      <c r="S825" s="7">
        <f>Table2[[#This Row],[N]]+Table2[[#This Row],[Pile 
Deviation 
N (m)]]</f>
        <v>1511742.277</v>
      </c>
      <c r="T825" s="7">
        <f>Table2[[#This Row],[E]]+Table2[[#This Row],[Pile 
Deviation 
E (m)]]</f>
        <v>694038.125</v>
      </c>
      <c r="W825" s="7">
        <v>0.28999999999999998</v>
      </c>
      <c r="X825" s="2" t="s">
        <v>40</v>
      </c>
      <c r="AA825" s="9">
        <v>46212</v>
      </c>
    </row>
    <row r="826" spans="1:27" hidden="1" x14ac:dyDescent="0.65">
      <c r="A826">
        <v>824</v>
      </c>
      <c r="B826" t="s">
        <v>29</v>
      </c>
      <c r="C826" s="6">
        <v>1511743.5490000001</v>
      </c>
      <c r="D826" s="6">
        <v>694038.61300000001</v>
      </c>
      <c r="E826" s="2" t="s">
        <v>41</v>
      </c>
      <c r="F826" s="1">
        <v>26</v>
      </c>
      <c r="G826" s="2" t="s">
        <v>48</v>
      </c>
      <c r="J826"/>
      <c r="K826" s="19"/>
      <c r="L826" s="21"/>
      <c r="M826" s="27"/>
      <c r="N826" s="19"/>
      <c r="O826" s="21"/>
      <c r="P826" s="7">
        <v>0.35</v>
      </c>
      <c r="Q826" s="7">
        <f>Table2[[#This Row],[Elevation
PILE TOP]]-Table2[[#This Row],[LENGTH(m.)
(Actual)]]</f>
        <v>0.35</v>
      </c>
      <c r="R826" s="2"/>
      <c r="S826" s="7">
        <f>Table2[[#This Row],[N]]+Table2[[#This Row],[Pile 
Deviation 
N (m)]]</f>
        <v>1511743.5490000001</v>
      </c>
      <c r="T826" s="7">
        <f>Table2[[#This Row],[E]]+Table2[[#This Row],[Pile 
Deviation 
E (m)]]</f>
        <v>694038.61300000001</v>
      </c>
      <c r="W826" s="7">
        <v>-0.15</v>
      </c>
      <c r="X826" s="2" t="s">
        <v>42</v>
      </c>
      <c r="AA826" s="9">
        <v>46211</v>
      </c>
    </row>
    <row r="827" spans="1:27" ht="13.95" hidden="1" customHeight="1" x14ac:dyDescent="0.65">
      <c r="A827">
        <v>825</v>
      </c>
      <c r="B827" t="s">
        <v>29</v>
      </c>
      <c r="C827" s="6">
        <v>1511745.4620000001</v>
      </c>
      <c r="D827" s="6">
        <v>694039.88300000003</v>
      </c>
      <c r="E827" s="2" t="s">
        <v>41</v>
      </c>
      <c r="F827" s="1">
        <v>26</v>
      </c>
      <c r="G827" s="2" t="s">
        <v>48</v>
      </c>
      <c r="J827"/>
      <c r="K827" s="19"/>
      <c r="L827" s="21"/>
      <c r="M827" s="27"/>
      <c r="N827" s="19"/>
      <c r="O827" s="21"/>
      <c r="P827" s="7">
        <v>0.35</v>
      </c>
      <c r="Q827" s="7">
        <f>Table2[[#This Row],[Elevation
PILE TOP]]-Table2[[#This Row],[LENGTH(m.)
(Actual)]]</f>
        <v>0.35</v>
      </c>
      <c r="R827" s="2"/>
      <c r="S827" s="7">
        <f>Table2[[#This Row],[N]]+Table2[[#This Row],[Pile 
Deviation 
N (m)]]</f>
        <v>1511745.4620000001</v>
      </c>
      <c r="T827" s="7">
        <f>Table2[[#This Row],[E]]+Table2[[#This Row],[Pile 
Deviation 
E (m)]]</f>
        <v>694039.88300000003</v>
      </c>
      <c r="W827" s="7">
        <v>-0.15</v>
      </c>
      <c r="X827" s="2" t="s">
        <v>42</v>
      </c>
      <c r="AA827" s="9">
        <v>46211</v>
      </c>
    </row>
    <row r="828" spans="1:27" hidden="1" x14ac:dyDescent="0.65">
      <c r="A828">
        <v>826</v>
      </c>
      <c r="B828" t="s">
        <v>29</v>
      </c>
      <c r="C828" s="6">
        <v>1511745.9169999999</v>
      </c>
      <c r="D828" s="6">
        <v>694042.13399999996</v>
      </c>
      <c r="E828" s="2" t="s">
        <v>41</v>
      </c>
      <c r="F828" s="1">
        <v>26</v>
      </c>
      <c r="G828" s="2" t="s">
        <v>48</v>
      </c>
      <c r="J828"/>
      <c r="K828" s="19"/>
      <c r="L828" s="21"/>
      <c r="M828" s="27"/>
      <c r="N828" s="19"/>
      <c r="O828" s="21"/>
      <c r="P828" s="7">
        <v>0.35</v>
      </c>
      <c r="Q828" s="7">
        <f>Table2[[#This Row],[Elevation
PILE TOP]]-Table2[[#This Row],[LENGTH(m.)
(Actual)]]</f>
        <v>0.35</v>
      </c>
      <c r="R828" s="2"/>
      <c r="S828" s="7">
        <f>Table2[[#This Row],[N]]+Table2[[#This Row],[Pile 
Deviation 
N (m)]]</f>
        <v>1511745.9169999999</v>
      </c>
      <c r="T828" s="7">
        <f>Table2[[#This Row],[E]]+Table2[[#This Row],[Pile 
Deviation 
E (m)]]</f>
        <v>694042.13399999996</v>
      </c>
      <c r="W828" s="7">
        <v>-0.15</v>
      </c>
      <c r="X828" s="2" t="s">
        <v>42</v>
      </c>
      <c r="AA828" s="9">
        <v>46210</v>
      </c>
    </row>
    <row r="829" spans="1:27" ht="13.95" hidden="1" customHeight="1" x14ac:dyDescent="0.65">
      <c r="A829">
        <v>827</v>
      </c>
      <c r="B829" t="s">
        <v>29</v>
      </c>
      <c r="C829" s="6">
        <v>1511744.6470000001</v>
      </c>
      <c r="D829" s="6">
        <v>694044.04700000002</v>
      </c>
      <c r="E829" s="2" t="s">
        <v>41</v>
      </c>
      <c r="F829" s="1">
        <v>26</v>
      </c>
      <c r="G829" s="2" t="s">
        <v>48</v>
      </c>
      <c r="J829"/>
      <c r="K829" s="19"/>
      <c r="L829" s="21"/>
      <c r="M829" s="27"/>
      <c r="N829" s="19"/>
      <c r="O829" s="21"/>
      <c r="P829" s="7">
        <v>0.35</v>
      </c>
      <c r="Q829" s="7">
        <f>Table2[[#This Row],[Elevation
PILE TOP]]-Table2[[#This Row],[LENGTH(m.)
(Actual)]]</f>
        <v>0.35</v>
      </c>
      <c r="R829" s="2"/>
      <c r="S829" s="7">
        <f>Table2[[#This Row],[N]]+Table2[[#This Row],[Pile 
Deviation 
N (m)]]</f>
        <v>1511744.6470000001</v>
      </c>
      <c r="T829" s="7">
        <f>Table2[[#This Row],[E]]+Table2[[#This Row],[Pile 
Deviation 
E (m)]]</f>
        <v>694044.04700000002</v>
      </c>
      <c r="W829" s="7">
        <v>-0.15</v>
      </c>
      <c r="X829" s="2" t="s">
        <v>42</v>
      </c>
      <c r="AA829" s="9">
        <v>46210</v>
      </c>
    </row>
    <row r="830" spans="1:27" hidden="1" x14ac:dyDescent="0.65">
      <c r="A830">
        <v>828</v>
      </c>
      <c r="B830" t="s">
        <v>29</v>
      </c>
      <c r="C830" s="6">
        <v>1511742.3959999999</v>
      </c>
      <c r="D830" s="6">
        <v>694044.50100000005</v>
      </c>
      <c r="E830" s="2" t="s">
        <v>41</v>
      </c>
      <c r="F830" s="1">
        <v>26</v>
      </c>
      <c r="G830" s="2" t="s">
        <v>48</v>
      </c>
      <c r="J830"/>
      <c r="K830" s="19"/>
      <c r="L830" s="21"/>
      <c r="M830" s="27"/>
      <c r="N830" s="19"/>
      <c r="O830" s="21"/>
      <c r="P830" s="7">
        <v>0.35</v>
      </c>
      <c r="Q830" s="7">
        <f>Table2[[#This Row],[Elevation
PILE TOP]]-Table2[[#This Row],[LENGTH(m.)
(Actual)]]</f>
        <v>0.35</v>
      </c>
      <c r="R830" s="2"/>
      <c r="S830" s="7">
        <f>Table2[[#This Row],[N]]+Table2[[#This Row],[Pile 
Deviation 
N (m)]]</f>
        <v>1511742.3959999999</v>
      </c>
      <c r="T830" s="7">
        <f>Table2[[#This Row],[E]]+Table2[[#This Row],[Pile 
Deviation 
E (m)]]</f>
        <v>694044.50100000005</v>
      </c>
      <c r="W830" s="7">
        <v>-0.15</v>
      </c>
      <c r="X830" s="2" t="s">
        <v>42</v>
      </c>
      <c r="AA830" s="9">
        <v>46210</v>
      </c>
    </row>
    <row r="831" spans="1:27" ht="13.95" hidden="1" customHeight="1" x14ac:dyDescent="0.65">
      <c r="A831">
        <v>829</v>
      </c>
      <c r="B831" t="s">
        <v>29</v>
      </c>
      <c r="C831" s="6">
        <v>1511740.483</v>
      </c>
      <c r="D831" s="6">
        <v>694043.23100000003</v>
      </c>
      <c r="E831" s="2" t="s">
        <v>41</v>
      </c>
      <c r="F831" s="1">
        <v>26</v>
      </c>
      <c r="G831" s="2" t="s">
        <v>48</v>
      </c>
      <c r="J831"/>
      <c r="K831" s="19"/>
      <c r="L831" s="21"/>
      <c r="M831" s="27"/>
      <c r="N831" s="19"/>
      <c r="O831" s="21"/>
      <c r="P831" s="7">
        <v>0.35</v>
      </c>
      <c r="Q831" s="7">
        <f>Table2[[#This Row],[Elevation
PILE TOP]]-Table2[[#This Row],[LENGTH(m.)
(Actual)]]</f>
        <v>0.35</v>
      </c>
      <c r="R831" s="2"/>
      <c r="S831" s="7">
        <f>Table2[[#This Row],[N]]+Table2[[#This Row],[Pile 
Deviation 
N (m)]]</f>
        <v>1511740.483</v>
      </c>
      <c r="T831" s="7">
        <f>Table2[[#This Row],[E]]+Table2[[#This Row],[Pile 
Deviation 
E (m)]]</f>
        <v>694043.23100000003</v>
      </c>
      <c r="W831" s="7">
        <v>-0.15</v>
      </c>
      <c r="X831" s="2" t="s">
        <v>42</v>
      </c>
      <c r="AA831" s="9">
        <v>46210</v>
      </c>
    </row>
    <row r="832" spans="1:27" hidden="1" x14ac:dyDescent="0.65">
      <c r="A832">
        <v>830</v>
      </c>
      <c r="B832" t="s">
        <v>29</v>
      </c>
      <c r="C832" s="6">
        <v>1511740.0290000001</v>
      </c>
      <c r="D832" s="6">
        <v>694040.98</v>
      </c>
      <c r="E832" s="2" t="s">
        <v>41</v>
      </c>
      <c r="F832" s="1">
        <v>26</v>
      </c>
      <c r="G832" s="2" t="s">
        <v>48</v>
      </c>
      <c r="J832"/>
      <c r="K832" s="19"/>
      <c r="L832" s="21"/>
      <c r="M832" s="27"/>
      <c r="N832" s="19"/>
      <c r="O832" s="21"/>
      <c r="P832" s="7">
        <v>0.35</v>
      </c>
      <c r="Q832" s="7">
        <f>Table2[[#This Row],[Elevation
PILE TOP]]-Table2[[#This Row],[LENGTH(m.)
(Actual)]]</f>
        <v>0.35</v>
      </c>
      <c r="R832" s="2"/>
      <c r="S832" s="7">
        <f>Table2[[#This Row],[N]]+Table2[[#This Row],[Pile 
Deviation 
N (m)]]</f>
        <v>1511740.0290000001</v>
      </c>
      <c r="T832" s="7">
        <f>Table2[[#This Row],[E]]+Table2[[#This Row],[Pile 
Deviation 
E (m)]]</f>
        <v>694040.98</v>
      </c>
      <c r="W832" s="7">
        <v>-0.15</v>
      </c>
      <c r="X832" s="2" t="s">
        <v>42</v>
      </c>
      <c r="AA832" s="9">
        <v>46211</v>
      </c>
    </row>
    <row r="833" spans="1:27" ht="13.95" hidden="1" customHeight="1" x14ac:dyDescent="0.65">
      <c r="A833">
        <v>831</v>
      </c>
      <c r="B833" t="s">
        <v>29</v>
      </c>
      <c r="C833" s="6">
        <v>1511741.2990000001</v>
      </c>
      <c r="D833" s="6">
        <v>694039.06799999997</v>
      </c>
      <c r="E833" s="2" t="s">
        <v>41</v>
      </c>
      <c r="F833" s="1">
        <v>26</v>
      </c>
      <c r="G833" s="2" t="s">
        <v>48</v>
      </c>
      <c r="J833"/>
      <c r="K833" s="19"/>
      <c r="L833" s="21"/>
      <c r="M833" s="27"/>
      <c r="N833" s="19"/>
      <c r="O833" s="21"/>
      <c r="P833" s="7">
        <v>0.35</v>
      </c>
      <c r="Q833" s="7">
        <f>Table2[[#This Row],[Elevation
PILE TOP]]-Table2[[#This Row],[LENGTH(m.)
(Actual)]]</f>
        <v>0.35</v>
      </c>
      <c r="R833" s="2"/>
      <c r="S833" s="7">
        <f>Table2[[#This Row],[N]]+Table2[[#This Row],[Pile 
Deviation 
N (m)]]</f>
        <v>1511741.2990000001</v>
      </c>
      <c r="T833" s="7">
        <f>Table2[[#This Row],[E]]+Table2[[#This Row],[Pile 
Deviation 
E (m)]]</f>
        <v>694039.06799999997</v>
      </c>
      <c r="W833" s="7">
        <v>-0.15</v>
      </c>
      <c r="X833" s="2" t="s">
        <v>42</v>
      </c>
      <c r="AA833" s="9">
        <v>46211</v>
      </c>
    </row>
    <row r="834" spans="1:27" hidden="1" x14ac:dyDescent="0.65">
      <c r="A834">
        <v>832</v>
      </c>
      <c r="B834" t="s">
        <v>29</v>
      </c>
      <c r="C834" s="6">
        <v>1511742.95</v>
      </c>
      <c r="D834" s="6">
        <v>694041.45799999998</v>
      </c>
      <c r="E834" s="2" t="s">
        <v>35</v>
      </c>
      <c r="F834" s="1">
        <v>24</v>
      </c>
      <c r="G834" s="2" t="s">
        <v>48</v>
      </c>
      <c r="J834"/>
      <c r="K834" s="19"/>
      <c r="L834" s="21"/>
      <c r="M834" s="27"/>
      <c r="N834" s="19"/>
      <c r="O834" s="21"/>
      <c r="P834" s="7">
        <v>0.28999999999999998</v>
      </c>
      <c r="Q834" s="7">
        <f>Table2[[#This Row],[Elevation
PILE TOP]]-Table2[[#This Row],[LENGTH(m.)
(Actual)]]</f>
        <v>0.28999999999999998</v>
      </c>
      <c r="R834" s="2"/>
      <c r="S834" s="7">
        <f>Table2[[#This Row],[N]]+Table2[[#This Row],[Pile 
Deviation 
N (m)]]</f>
        <v>1511742.95</v>
      </c>
      <c r="T834" s="7">
        <f>Table2[[#This Row],[E]]+Table2[[#This Row],[Pile 
Deviation 
E (m)]]</f>
        <v>694041.45799999998</v>
      </c>
      <c r="W834" s="7">
        <v>0.28999999999999998</v>
      </c>
      <c r="X834" s="2" t="s">
        <v>40</v>
      </c>
      <c r="AA834" s="9">
        <v>46211</v>
      </c>
    </row>
    <row r="835" spans="1:27" ht="13.95" hidden="1" customHeight="1" x14ac:dyDescent="0.65">
      <c r="A835">
        <v>833</v>
      </c>
      <c r="B835" t="s">
        <v>29</v>
      </c>
      <c r="C835" s="6">
        <v>1511743.544</v>
      </c>
      <c r="D835" s="6">
        <v>694044.39899999998</v>
      </c>
      <c r="E835" s="2" t="s">
        <v>35</v>
      </c>
      <c r="F835" s="1">
        <v>24</v>
      </c>
      <c r="G835" s="2" t="s">
        <v>48</v>
      </c>
      <c r="J835"/>
      <c r="K835" s="19"/>
      <c r="L835" s="21"/>
      <c r="M835" s="27"/>
      <c r="N835" s="19"/>
      <c r="O835" s="21"/>
      <c r="P835" s="7">
        <v>0.28999999999999998</v>
      </c>
      <c r="Q835" s="7">
        <f>Table2[[#This Row],[Elevation
PILE TOP]]-Table2[[#This Row],[LENGTH(m.)
(Actual)]]</f>
        <v>0.28999999999999998</v>
      </c>
      <c r="R835" s="2"/>
      <c r="S835" s="7">
        <f>Table2[[#This Row],[N]]+Table2[[#This Row],[Pile 
Deviation 
N (m)]]</f>
        <v>1511743.544</v>
      </c>
      <c r="T835" s="7">
        <f>Table2[[#This Row],[E]]+Table2[[#This Row],[Pile 
Deviation 
E (m)]]</f>
        <v>694044.39899999998</v>
      </c>
      <c r="W835" s="7">
        <v>0.28999999999999998</v>
      </c>
      <c r="X835" s="2" t="s">
        <v>40</v>
      </c>
      <c r="AA835" s="9">
        <v>46210</v>
      </c>
    </row>
    <row r="836" spans="1:27" x14ac:dyDescent="0.65">
      <c r="A836">
        <v>834</v>
      </c>
      <c r="B836" t="s">
        <v>29</v>
      </c>
      <c r="C836" s="6">
        <v>1511744.2390000001</v>
      </c>
      <c r="D836" s="6">
        <v>694045.79299999995</v>
      </c>
      <c r="E836" s="2" t="s">
        <v>30</v>
      </c>
      <c r="F836" s="1">
        <v>24</v>
      </c>
      <c r="G836" s="2" t="s">
        <v>48</v>
      </c>
      <c r="J836"/>
      <c r="K836" s="19"/>
      <c r="L836" s="21"/>
      <c r="M836" s="27"/>
      <c r="N836" s="19"/>
      <c r="O836" s="21"/>
      <c r="P836" s="7">
        <v>-0.17499999999999999</v>
      </c>
      <c r="Q836" s="7">
        <f>Table2[[#This Row],[Elevation
PILE TOP]]-Table2[[#This Row],[LENGTH(m.)
(Actual)]]</f>
        <v>-0.17499999999999999</v>
      </c>
      <c r="R836" s="2"/>
      <c r="S836" s="7">
        <f>Table2[[#This Row],[N]]+Table2[[#This Row],[Pile 
Deviation 
N (m)]]</f>
        <v>1511744.2390000001</v>
      </c>
      <c r="T836" s="7">
        <f>Table2[[#This Row],[E]]+Table2[[#This Row],[Pile 
Deviation 
E (m)]]</f>
        <v>694045.79299999995</v>
      </c>
      <c r="W836" s="7">
        <v>-0.67500000000000004</v>
      </c>
      <c r="X836" s="2" t="s">
        <v>33</v>
      </c>
      <c r="AA836" s="9">
        <v>46200</v>
      </c>
    </row>
    <row r="837" spans="1:27" ht="13.95" customHeight="1" x14ac:dyDescent="0.65">
      <c r="A837">
        <v>835</v>
      </c>
      <c r="B837" t="s">
        <v>29</v>
      </c>
      <c r="C837" s="6">
        <v>1511744.4180000001</v>
      </c>
      <c r="D837" s="6">
        <v>694046.67500000005</v>
      </c>
      <c r="E837" s="2" t="s">
        <v>30</v>
      </c>
      <c r="F837" s="1">
        <v>24</v>
      </c>
      <c r="G837" s="2" t="s">
        <v>48</v>
      </c>
      <c r="J837"/>
      <c r="K837" s="19"/>
      <c r="L837" s="21"/>
      <c r="M837" s="27"/>
      <c r="N837" s="19"/>
      <c r="O837" s="21"/>
      <c r="P837" s="7">
        <v>-0.17499999999999999</v>
      </c>
      <c r="Q837" s="7">
        <f>Table2[[#This Row],[Elevation
PILE TOP]]-Table2[[#This Row],[LENGTH(m.)
(Actual)]]</f>
        <v>-0.17499999999999999</v>
      </c>
      <c r="R837" s="2"/>
      <c r="S837" s="7">
        <f>Table2[[#This Row],[N]]+Table2[[#This Row],[Pile 
Deviation 
N (m)]]</f>
        <v>1511744.4180000001</v>
      </c>
      <c r="T837" s="7">
        <f>Table2[[#This Row],[E]]+Table2[[#This Row],[Pile 
Deviation 
E (m)]]</f>
        <v>694046.67500000005</v>
      </c>
      <c r="W837" s="7">
        <v>-0.67500000000000004</v>
      </c>
      <c r="X837" s="2" t="s">
        <v>33</v>
      </c>
      <c r="AA837" s="9">
        <v>46200</v>
      </c>
    </row>
    <row r="838" spans="1:27" x14ac:dyDescent="0.65">
      <c r="A838">
        <v>836</v>
      </c>
      <c r="B838" t="s">
        <v>29</v>
      </c>
      <c r="C838" s="6">
        <v>1511743.4550000001</v>
      </c>
      <c r="D838" s="6">
        <v>694045.951</v>
      </c>
      <c r="E838" s="2" t="s">
        <v>30</v>
      </c>
      <c r="F838" s="1">
        <v>24</v>
      </c>
      <c r="G838" s="2" t="s">
        <v>48</v>
      </c>
      <c r="J838"/>
      <c r="K838" s="19"/>
      <c r="L838" s="21"/>
      <c r="M838" s="27"/>
      <c r="N838" s="19"/>
      <c r="O838" s="21"/>
      <c r="P838" s="7">
        <v>-0.17499999999999999</v>
      </c>
      <c r="Q838" s="7">
        <f>Table2[[#This Row],[Elevation
PILE TOP]]-Table2[[#This Row],[LENGTH(m.)
(Actual)]]</f>
        <v>-0.17499999999999999</v>
      </c>
      <c r="R838" s="2"/>
      <c r="S838" s="7">
        <f>Table2[[#This Row],[N]]+Table2[[#This Row],[Pile 
Deviation 
N (m)]]</f>
        <v>1511743.4550000001</v>
      </c>
      <c r="T838" s="7">
        <f>Table2[[#This Row],[E]]+Table2[[#This Row],[Pile 
Deviation 
E (m)]]</f>
        <v>694045.951</v>
      </c>
      <c r="W838" s="7">
        <v>-0.67500000000000004</v>
      </c>
      <c r="X838" s="2" t="s">
        <v>33</v>
      </c>
      <c r="AA838" s="9">
        <v>46200</v>
      </c>
    </row>
    <row r="839" spans="1:27" ht="13.95" customHeight="1" x14ac:dyDescent="0.65">
      <c r="A839">
        <v>837</v>
      </c>
      <c r="B839" t="s">
        <v>29</v>
      </c>
      <c r="C839" s="6">
        <v>1511743.6329999999</v>
      </c>
      <c r="D839" s="6">
        <v>694046.83299999998</v>
      </c>
      <c r="E839" s="2" t="s">
        <v>30</v>
      </c>
      <c r="F839" s="1">
        <v>24</v>
      </c>
      <c r="G839" s="2" t="s">
        <v>48</v>
      </c>
      <c r="J839"/>
      <c r="K839" s="19"/>
      <c r="L839" s="21"/>
      <c r="M839" s="27"/>
      <c r="N839" s="19"/>
      <c r="O839" s="21"/>
      <c r="P839" s="7">
        <v>-0.17499999999999999</v>
      </c>
      <c r="Q839" s="7">
        <f>Table2[[#This Row],[Elevation
PILE TOP]]-Table2[[#This Row],[LENGTH(m.)
(Actual)]]</f>
        <v>-0.17499999999999999</v>
      </c>
      <c r="R839" s="2"/>
      <c r="S839" s="7">
        <f>Table2[[#This Row],[N]]+Table2[[#This Row],[Pile 
Deviation 
N (m)]]</f>
        <v>1511743.6329999999</v>
      </c>
      <c r="T839" s="7">
        <f>Table2[[#This Row],[E]]+Table2[[#This Row],[Pile 
Deviation 
E (m)]]</f>
        <v>694046.83299999998</v>
      </c>
      <c r="W839" s="7">
        <v>-0.67500000000000004</v>
      </c>
      <c r="X839" s="2" t="s">
        <v>33</v>
      </c>
      <c r="AA839" s="9">
        <v>46200</v>
      </c>
    </row>
    <row r="840" spans="1:27" hidden="1" x14ac:dyDescent="0.65">
      <c r="A840">
        <v>838</v>
      </c>
      <c r="B840" t="s">
        <v>29</v>
      </c>
      <c r="C840" s="6">
        <v>1511733.2039999999</v>
      </c>
      <c r="D840" s="6">
        <v>694010.37199999997</v>
      </c>
      <c r="E840" s="2" t="s">
        <v>35</v>
      </c>
      <c r="F840" s="1">
        <v>24</v>
      </c>
      <c r="G840" s="2" t="s">
        <v>48</v>
      </c>
      <c r="J840"/>
      <c r="K840" s="19"/>
      <c r="L840" s="21"/>
      <c r="M840" s="27"/>
      <c r="N840" s="19"/>
      <c r="O840" s="21"/>
      <c r="P840" s="7">
        <v>0.28999999999999998</v>
      </c>
      <c r="Q840" s="7">
        <f>Table2[[#This Row],[Elevation
PILE TOP]]-Table2[[#This Row],[LENGTH(m.)
(Actual)]]</f>
        <v>0.28999999999999998</v>
      </c>
      <c r="R840" s="2"/>
      <c r="S840" s="7">
        <f>Table2[[#This Row],[N]]+Table2[[#This Row],[Pile 
Deviation 
N (m)]]</f>
        <v>1511733.2039999999</v>
      </c>
      <c r="T840" s="7">
        <f>Table2[[#This Row],[E]]+Table2[[#This Row],[Pile 
Deviation 
E (m)]]</f>
        <v>694010.37199999997</v>
      </c>
      <c r="W840" s="7">
        <v>0.28999999999999998</v>
      </c>
      <c r="X840" s="2" t="s">
        <v>40</v>
      </c>
      <c r="AA840" s="9">
        <v>46221</v>
      </c>
    </row>
    <row r="841" spans="1:27" ht="13.95" hidden="1" customHeight="1" x14ac:dyDescent="0.65">
      <c r="A841">
        <v>839</v>
      </c>
      <c r="B841" t="s">
        <v>29</v>
      </c>
      <c r="C841" s="6">
        <v>1511733.797</v>
      </c>
      <c r="D841" s="6">
        <v>694013.31299999997</v>
      </c>
      <c r="E841" s="2" t="s">
        <v>35</v>
      </c>
      <c r="F841" s="1">
        <v>24</v>
      </c>
      <c r="G841" s="2" t="s">
        <v>48</v>
      </c>
      <c r="J841"/>
      <c r="K841" s="19"/>
      <c r="L841" s="21"/>
      <c r="M841" s="27"/>
      <c r="N841" s="19"/>
      <c r="O841" s="21"/>
      <c r="P841" s="7">
        <v>0.28999999999999998</v>
      </c>
      <c r="Q841" s="7">
        <f>Table2[[#This Row],[Elevation
PILE TOP]]-Table2[[#This Row],[LENGTH(m.)
(Actual)]]</f>
        <v>0.28999999999999998</v>
      </c>
      <c r="R841" s="2"/>
      <c r="S841" s="7">
        <f>Table2[[#This Row],[N]]+Table2[[#This Row],[Pile 
Deviation 
N (m)]]</f>
        <v>1511733.797</v>
      </c>
      <c r="T841" s="7">
        <f>Table2[[#This Row],[E]]+Table2[[#This Row],[Pile 
Deviation 
E (m)]]</f>
        <v>694013.31299999997</v>
      </c>
      <c r="W841" s="7">
        <v>0.28999999999999998</v>
      </c>
      <c r="X841" s="2" t="s">
        <v>40</v>
      </c>
      <c r="AA841" s="9">
        <v>46221</v>
      </c>
    </row>
    <row r="842" spans="1:27" hidden="1" x14ac:dyDescent="0.65">
      <c r="A842">
        <v>840</v>
      </c>
      <c r="B842" t="s">
        <v>29</v>
      </c>
      <c r="C842" s="6">
        <v>1511734.4709999999</v>
      </c>
      <c r="D842" s="6">
        <v>694016.64500000002</v>
      </c>
      <c r="E842" s="2" t="s">
        <v>35</v>
      </c>
      <c r="F842" s="1">
        <v>24</v>
      </c>
      <c r="G842" s="2" t="s">
        <v>48</v>
      </c>
      <c r="J842"/>
      <c r="K842" s="19"/>
      <c r="L842" s="21"/>
      <c r="M842" s="27"/>
      <c r="N842" s="19"/>
      <c r="O842" s="21"/>
      <c r="P842" s="7">
        <v>0.28999999999999998</v>
      </c>
      <c r="Q842" s="7">
        <f>Table2[[#This Row],[Elevation
PILE TOP]]-Table2[[#This Row],[LENGTH(m.)
(Actual)]]</f>
        <v>0.28999999999999998</v>
      </c>
      <c r="R842" s="2"/>
      <c r="S842" s="7">
        <f>Table2[[#This Row],[N]]+Table2[[#This Row],[Pile 
Deviation 
N (m)]]</f>
        <v>1511734.4709999999</v>
      </c>
      <c r="T842" s="7">
        <f>Table2[[#This Row],[E]]+Table2[[#This Row],[Pile 
Deviation 
E (m)]]</f>
        <v>694016.64500000002</v>
      </c>
      <c r="W842" s="7">
        <v>0.28999999999999998</v>
      </c>
      <c r="X842" s="2" t="s">
        <v>40</v>
      </c>
      <c r="AA842" s="9">
        <v>46223</v>
      </c>
    </row>
    <row r="843" spans="1:27" ht="13.95" hidden="1" customHeight="1" x14ac:dyDescent="0.65">
      <c r="A843">
        <v>841</v>
      </c>
      <c r="B843" t="s">
        <v>29</v>
      </c>
      <c r="C843" s="6">
        <v>1511735.1440000001</v>
      </c>
      <c r="D843" s="6">
        <v>694019.978</v>
      </c>
      <c r="E843" s="2" t="s">
        <v>35</v>
      </c>
      <c r="F843" s="1">
        <v>24</v>
      </c>
      <c r="G843" s="2" t="s">
        <v>48</v>
      </c>
      <c r="J843"/>
      <c r="K843" s="19"/>
      <c r="L843" s="21"/>
      <c r="M843" s="27"/>
      <c r="N843" s="19"/>
      <c r="O843" s="21"/>
      <c r="P843" s="7">
        <v>0.28999999999999998</v>
      </c>
      <c r="Q843" s="7">
        <f>Table2[[#This Row],[Elevation
PILE TOP]]-Table2[[#This Row],[LENGTH(m.)
(Actual)]]</f>
        <v>0.28999999999999998</v>
      </c>
      <c r="R843" s="2"/>
      <c r="S843" s="7">
        <f>Table2[[#This Row],[N]]+Table2[[#This Row],[Pile 
Deviation 
N (m)]]</f>
        <v>1511735.1440000001</v>
      </c>
      <c r="T843" s="7">
        <f>Table2[[#This Row],[E]]+Table2[[#This Row],[Pile 
Deviation 
E (m)]]</f>
        <v>694019.978</v>
      </c>
      <c r="W843" s="7">
        <v>0.28999999999999998</v>
      </c>
      <c r="X843" s="2" t="s">
        <v>40</v>
      </c>
      <c r="AA843" s="9">
        <v>46224</v>
      </c>
    </row>
    <row r="844" spans="1:27" hidden="1" x14ac:dyDescent="0.65">
      <c r="A844">
        <v>842</v>
      </c>
      <c r="B844" t="s">
        <v>29</v>
      </c>
      <c r="C844" s="6">
        <v>1511735.817</v>
      </c>
      <c r="D844" s="6">
        <v>694023.31099999999</v>
      </c>
      <c r="E844" s="2" t="s">
        <v>35</v>
      </c>
      <c r="F844" s="1">
        <v>24</v>
      </c>
      <c r="G844" s="2" t="s">
        <v>48</v>
      </c>
      <c r="J844"/>
      <c r="K844" s="19"/>
      <c r="L844" s="21"/>
      <c r="M844" s="27"/>
      <c r="N844" s="19"/>
      <c r="O844" s="21"/>
      <c r="P844" s="7">
        <v>0.28999999999999998</v>
      </c>
      <c r="Q844" s="7">
        <f>Table2[[#This Row],[Elevation
PILE TOP]]-Table2[[#This Row],[LENGTH(m.)
(Actual)]]</f>
        <v>0.28999999999999998</v>
      </c>
      <c r="R844" s="2"/>
      <c r="S844" s="7">
        <f>Table2[[#This Row],[N]]+Table2[[#This Row],[Pile 
Deviation 
N (m)]]</f>
        <v>1511735.817</v>
      </c>
      <c r="T844" s="7">
        <f>Table2[[#This Row],[E]]+Table2[[#This Row],[Pile 
Deviation 
E (m)]]</f>
        <v>694023.31099999999</v>
      </c>
      <c r="W844" s="7">
        <v>0.28999999999999998</v>
      </c>
      <c r="X844" s="2" t="s">
        <v>40</v>
      </c>
      <c r="AA844" s="9">
        <v>46225</v>
      </c>
    </row>
    <row r="845" spans="1:27" ht="13.95" hidden="1" customHeight="1" x14ac:dyDescent="0.65">
      <c r="A845">
        <v>843</v>
      </c>
      <c r="B845" t="s">
        <v>29</v>
      </c>
      <c r="C845" s="6">
        <v>1511736.49</v>
      </c>
      <c r="D845" s="6">
        <v>694026.64399999997</v>
      </c>
      <c r="E845" s="2" t="s">
        <v>35</v>
      </c>
      <c r="F845" s="1">
        <v>24</v>
      </c>
      <c r="G845" s="2" t="s">
        <v>48</v>
      </c>
      <c r="J845"/>
      <c r="K845" s="19"/>
      <c r="L845" s="21"/>
      <c r="M845" s="27"/>
      <c r="N845" s="19"/>
      <c r="O845" s="21"/>
      <c r="P845" s="7">
        <v>0.28999999999999998</v>
      </c>
      <c r="Q845" s="7">
        <f>Table2[[#This Row],[Elevation
PILE TOP]]-Table2[[#This Row],[LENGTH(m.)
(Actual)]]</f>
        <v>0.28999999999999998</v>
      </c>
      <c r="R845" s="2"/>
      <c r="S845" s="7">
        <f>Table2[[#This Row],[N]]+Table2[[#This Row],[Pile 
Deviation 
N (m)]]</f>
        <v>1511736.49</v>
      </c>
      <c r="T845" s="7">
        <f>Table2[[#This Row],[E]]+Table2[[#This Row],[Pile 
Deviation 
E (m)]]</f>
        <v>694026.64399999997</v>
      </c>
      <c r="W845" s="7">
        <v>0.28999999999999998</v>
      </c>
      <c r="X845" s="2" t="s">
        <v>40</v>
      </c>
      <c r="AA845" s="9">
        <v>46216</v>
      </c>
    </row>
    <row r="846" spans="1:27" hidden="1" x14ac:dyDescent="0.65">
      <c r="A846">
        <v>844</v>
      </c>
      <c r="B846" t="s">
        <v>29</v>
      </c>
      <c r="C846" s="6">
        <v>1511737.0830000001</v>
      </c>
      <c r="D846" s="6">
        <v>694029.58400000003</v>
      </c>
      <c r="E846" s="2" t="s">
        <v>35</v>
      </c>
      <c r="F846" s="1">
        <v>24</v>
      </c>
      <c r="G846" s="2" t="s">
        <v>48</v>
      </c>
      <c r="J846"/>
      <c r="K846" s="19"/>
      <c r="L846" s="21"/>
      <c r="M846" s="27"/>
      <c r="N846" s="19"/>
      <c r="O846" s="21"/>
      <c r="P846" s="7">
        <v>0.28999999999999998</v>
      </c>
      <c r="Q846" s="7">
        <f>Table2[[#This Row],[Elevation
PILE TOP]]-Table2[[#This Row],[LENGTH(m.)
(Actual)]]</f>
        <v>0.28999999999999998</v>
      </c>
      <c r="R846" s="2"/>
      <c r="S846" s="7">
        <f>Table2[[#This Row],[N]]+Table2[[#This Row],[Pile 
Deviation 
N (m)]]</f>
        <v>1511737.0830000001</v>
      </c>
      <c r="T846" s="7">
        <f>Table2[[#This Row],[E]]+Table2[[#This Row],[Pile 
Deviation 
E (m)]]</f>
        <v>694029.58400000003</v>
      </c>
      <c r="W846" s="7">
        <v>0.28999999999999998</v>
      </c>
      <c r="X846" s="2" t="s">
        <v>40</v>
      </c>
      <c r="AA846" s="9">
        <v>46214</v>
      </c>
    </row>
    <row r="847" spans="1:27" ht="13.95" hidden="1" customHeight="1" x14ac:dyDescent="0.65">
      <c r="A847">
        <v>845</v>
      </c>
      <c r="B847" t="s">
        <v>29</v>
      </c>
      <c r="C847" s="6">
        <v>1511737.6769999999</v>
      </c>
      <c r="D847" s="6">
        <v>694032.52500000002</v>
      </c>
      <c r="E847" s="2" t="s">
        <v>35</v>
      </c>
      <c r="F847" s="1">
        <v>24</v>
      </c>
      <c r="G847" s="2" t="s">
        <v>48</v>
      </c>
      <c r="J847"/>
      <c r="K847" s="19"/>
      <c r="L847" s="21"/>
      <c r="M847" s="27"/>
      <c r="N847" s="19"/>
      <c r="O847" s="21"/>
      <c r="P847" s="7">
        <v>0.28999999999999998</v>
      </c>
      <c r="Q847" s="7">
        <f>Table2[[#This Row],[Elevation
PILE TOP]]-Table2[[#This Row],[LENGTH(m.)
(Actual)]]</f>
        <v>0.28999999999999998</v>
      </c>
      <c r="R847" s="2"/>
      <c r="S847" s="7">
        <f>Table2[[#This Row],[N]]+Table2[[#This Row],[Pile 
Deviation 
N (m)]]</f>
        <v>1511737.6769999999</v>
      </c>
      <c r="T847" s="7">
        <f>Table2[[#This Row],[E]]+Table2[[#This Row],[Pile 
Deviation 
E (m)]]</f>
        <v>694032.52500000002</v>
      </c>
      <c r="W847" s="7">
        <v>0.28999999999999998</v>
      </c>
      <c r="X847" s="2" t="s">
        <v>40</v>
      </c>
      <c r="AA847" s="9">
        <v>46213</v>
      </c>
    </row>
    <row r="848" spans="1:27" hidden="1" x14ac:dyDescent="0.65">
      <c r="A848">
        <v>846</v>
      </c>
      <c r="B848" t="s">
        <v>29</v>
      </c>
      <c r="C848" s="6">
        <v>1511738.2709999999</v>
      </c>
      <c r="D848" s="6">
        <v>694035.46600000001</v>
      </c>
      <c r="E848" s="2" t="s">
        <v>35</v>
      </c>
      <c r="F848" s="1">
        <v>24</v>
      </c>
      <c r="G848" s="2" t="s">
        <v>48</v>
      </c>
      <c r="J848"/>
      <c r="K848" s="19"/>
      <c r="L848" s="21"/>
      <c r="M848" s="27"/>
      <c r="N848" s="19"/>
      <c r="O848" s="21"/>
      <c r="P848" s="7">
        <v>0.28999999999999998</v>
      </c>
      <c r="Q848" s="7">
        <f>Table2[[#This Row],[Elevation
PILE TOP]]-Table2[[#This Row],[LENGTH(m.)
(Actual)]]</f>
        <v>0.28999999999999998</v>
      </c>
      <c r="R848" s="2"/>
      <c r="S848" s="7">
        <f>Table2[[#This Row],[N]]+Table2[[#This Row],[Pile 
Deviation 
N (m)]]</f>
        <v>1511738.2709999999</v>
      </c>
      <c r="T848" s="7">
        <f>Table2[[#This Row],[E]]+Table2[[#This Row],[Pile 
Deviation 
E (m)]]</f>
        <v>694035.46600000001</v>
      </c>
      <c r="W848" s="7">
        <v>0.28999999999999998</v>
      </c>
      <c r="X848" s="2" t="s">
        <v>40</v>
      </c>
      <c r="AA848" s="9">
        <v>46212</v>
      </c>
    </row>
    <row r="849" spans="1:27" ht="13.95" hidden="1" customHeight="1" x14ac:dyDescent="0.65">
      <c r="A849">
        <v>847</v>
      </c>
      <c r="B849" t="s">
        <v>29</v>
      </c>
      <c r="C849" s="6">
        <v>1511738.9439999999</v>
      </c>
      <c r="D849" s="6">
        <v>694038.79799999995</v>
      </c>
      <c r="E849" s="2" t="s">
        <v>35</v>
      </c>
      <c r="F849" s="1">
        <v>24</v>
      </c>
      <c r="G849" s="2" t="s">
        <v>48</v>
      </c>
      <c r="J849"/>
      <c r="K849" s="19"/>
      <c r="L849" s="21"/>
      <c r="M849" s="27"/>
      <c r="N849" s="19"/>
      <c r="O849" s="21"/>
      <c r="P849" s="7">
        <v>0.28999999999999998</v>
      </c>
      <c r="Q849" s="7">
        <f>Table2[[#This Row],[Elevation
PILE TOP]]-Table2[[#This Row],[LENGTH(m.)
(Actual)]]</f>
        <v>0.28999999999999998</v>
      </c>
      <c r="R849" s="2"/>
      <c r="S849" s="7">
        <f>Table2[[#This Row],[N]]+Table2[[#This Row],[Pile 
Deviation 
N (m)]]</f>
        <v>1511738.9439999999</v>
      </c>
      <c r="T849" s="7">
        <f>Table2[[#This Row],[E]]+Table2[[#This Row],[Pile 
Deviation 
E (m)]]</f>
        <v>694038.79799999995</v>
      </c>
      <c r="W849" s="7">
        <v>0.28999999999999998</v>
      </c>
      <c r="X849" s="2" t="s">
        <v>40</v>
      </c>
      <c r="AA849" s="9">
        <v>46212</v>
      </c>
    </row>
    <row r="850" spans="1:27" hidden="1" x14ac:dyDescent="0.65">
      <c r="A850">
        <v>848</v>
      </c>
      <c r="B850" t="s">
        <v>29</v>
      </c>
      <c r="C850" s="6">
        <v>1511739.6170000001</v>
      </c>
      <c r="D850" s="6">
        <v>694042.13100000005</v>
      </c>
      <c r="E850" s="2" t="s">
        <v>35</v>
      </c>
      <c r="F850" s="1">
        <v>24</v>
      </c>
      <c r="G850" s="2" t="s">
        <v>48</v>
      </c>
      <c r="J850"/>
      <c r="K850" s="19"/>
      <c r="L850" s="21"/>
      <c r="M850" s="27"/>
      <c r="N850" s="19"/>
      <c r="O850" s="21"/>
      <c r="P850" s="7">
        <v>0.28999999999999998</v>
      </c>
      <c r="Q850" s="7">
        <f>Table2[[#This Row],[Elevation
PILE TOP]]-Table2[[#This Row],[LENGTH(m.)
(Actual)]]</f>
        <v>0.28999999999999998</v>
      </c>
      <c r="R850" s="2"/>
      <c r="S850" s="7">
        <f>Table2[[#This Row],[N]]+Table2[[#This Row],[Pile 
Deviation 
N (m)]]</f>
        <v>1511739.6170000001</v>
      </c>
      <c r="T850" s="7">
        <f>Table2[[#This Row],[E]]+Table2[[#This Row],[Pile 
Deviation 
E (m)]]</f>
        <v>694042.13100000005</v>
      </c>
      <c r="W850" s="7">
        <v>0.28999999999999998</v>
      </c>
      <c r="X850" s="2" t="s">
        <v>40</v>
      </c>
      <c r="AA850" s="9">
        <v>46211</v>
      </c>
    </row>
    <row r="851" spans="1:27" ht="13.95" hidden="1" customHeight="1" x14ac:dyDescent="0.65">
      <c r="A851">
        <v>849</v>
      </c>
      <c r="B851" t="s">
        <v>29</v>
      </c>
      <c r="C851" s="6">
        <v>1511740.2109999999</v>
      </c>
      <c r="D851" s="6">
        <v>694045.07200000004</v>
      </c>
      <c r="E851" s="2" t="s">
        <v>35</v>
      </c>
      <c r="F851" s="1">
        <v>24</v>
      </c>
      <c r="G851" s="2" t="s">
        <v>48</v>
      </c>
      <c r="J851"/>
      <c r="K851" s="19"/>
      <c r="L851" s="21"/>
      <c r="M851" s="27"/>
      <c r="N851" s="19"/>
      <c r="O851" s="21"/>
      <c r="P851" s="7">
        <v>0.28999999999999998</v>
      </c>
      <c r="Q851" s="7">
        <f>Table2[[#This Row],[Elevation
PILE TOP]]-Table2[[#This Row],[LENGTH(m.)
(Actual)]]</f>
        <v>0.28999999999999998</v>
      </c>
      <c r="R851" s="2"/>
      <c r="S851" s="7">
        <f>Table2[[#This Row],[N]]+Table2[[#This Row],[Pile 
Deviation 
N (m)]]</f>
        <v>1511740.2109999999</v>
      </c>
      <c r="T851" s="7">
        <f>Table2[[#This Row],[E]]+Table2[[#This Row],[Pile 
Deviation 
E (m)]]</f>
        <v>694045.07200000004</v>
      </c>
      <c r="W851" s="7">
        <v>0.28999999999999998</v>
      </c>
      <c r="X851" s="2" t="s">
        <v>40</v>
      </c>
      <c r="AA851" s="9">
        <v>46210</v>
      </c>
    </row>
    <row r="852" spans="1:27" hidden="1" x14ac:dyDescent="0.65">
      <c r="A852">
        <v>850</v>
      </c>
      <c r="B852" t="s">
        <v>29</v>
      </c>
      <c r="C852" s="6">
        <v>1511730.5789999999</v>
      </c>
      <c r="D852" s="6">
        <v>694008.45799999998</v>
      </c>
      <c r="E852" s="2" t="s">
        <v>30</v>
      </c>
      <c r="F852" s="1">
        <v>24</v>
      </c>
      <c r="G852" s="2" t="s">
        <v>48</v>
      </c>
      <c r="J852"/>
      <c r="K852" s="19"/>
      <c r="L852" s="21"/>
      <c r="M852" s="27"/>
      <c r="N852" s="19"/>
      <c r="O852" s="21"/>
      <c r="P852" s="7">
        <v>-0.17499999999999999</v>
      </c>
      <c r="Q852" s="7">
        <f>Table2[[#This Row],[Elevation
PILE TOP]]-Table2[[#This Row],[LENGTH(m.)
(Actual)]]</f>
        <v>-0.17499999999999999</v>
      </c>
      <c r="R852" s="2"/>
      <c r="S852" s="7">
        <f>Table2[[#This Row],[N]]+Table2[[#This Row],[Pile 
Deviation 
N (m)]]</f>
        <v>1511730.5789999999</v>
      </c>
      <c r="T852" s="7">
        <f>Table2[[#This Row],[E]]+Table2[[#This Row],[Pile 
Deviation 
E (m)]]</f>
        <v>694008.45799999998</v>
      </c>
      <c r="W852" s="7">
        <v>-0.67500000000000004</v>
      </c>
      <c r="X852" s="2" t="s">
        <v>33</v>
      </c>
      <c r="AA852" s="9">
        <v>46216</v>
      </c>
    </row>
    <row r="853" spans="1:27" ht="13.95" hidden="1" customHeight="1" x14ac:dyDescent="0.65">
      <c r="A853">
        <v>851</v>
      </c>
      <c r="B853" t="s">
        <v>29</v>
      </c>
      <c r="C853" s="6">
        <v>1511730.757</v>
      </c>
      <c r="D853" s="6">
        <v>694009.34</v>
      </c>
      <c r="E853" s="2" t="s">
        <v>30</v>
      </c>
      <c r="F853" s="1">
        <v>24</v>
      </c>
      <c r="G853" s="2" t="s">
        <v>48</v>
      </c>
      <c r="J853"/>
      <c r="K853" s="19"/>
      <c r="L853" s="21"/>
      <c r="M853" s="27"/>
      <c r="N853" s="19"/>
      <c r="O853" s="21"/>
      <c r="P853" s="7">
        <v>-0.17499999999999999</v>
      </c>
      <c r="Q853" s="7">
        <f>Table2[[#This Row],[Elevation
PILE TOP]]-Table2[[#This Row],[LENGTH(m.)
(Actual)]]</f>
        <v>-0.17499999999999999</v>
      </c>
      <c r="R853" s="2"/>
      <c r="S853" s="7">
        <f>Table2[[#This Row],[N]]+Table2[[#This Row],[Pile 
Deviation 
N (m)]]</f>
        <v>1511730.757</v>
      </c>
      <c r="T853" s="7">
        <f>Table2[[#This Row],[E]]+Table2[[#This Row],[Pile 
Deviation 
E (m)]]</f>
        <v>694009.34</v>
      </c>
      <c r="W853" s="7">
        <v>-0.67500000000000004</v>
      </c>
      <c r="X853" s="2" t="s">
        <v>33</v>
      </c>
      <c r="AA853" s="9">
        <v>46216</v>
      </c>
    </row>
    <row r="854" spans="1:27" hidden="1" x14ac:dyDescent="0.65">
      <c r="A854">
        <v>852</v>
      </c>
      <c r="B854" t="s">
        <v>29</v>
      </c>
      <c r="C854" s="6">
        <v>1511729.794</v>
      </c>
      <c r="D854" s="6">
        <v>694008.61699999997</v>
      </c>
      <c r="E854" s="2" t="s">
        <v>30</v>
      </c>
      <c r="F854" s="1">
        <v>24</v>
      </c>
      <c r="G854" s="2" t="s">
        <v>48</v>
      </c>
      <c r="J854"/>
      <c r="K854" s="19"/>
      <c r="L854" s="21"/>
      <c r="M854" s="27"/>
      <c r="N854" s="19"/>
      <c r="O854" s="21"/>
      <c r="P854" s="7">
        <v>-0.17499999999999999</v>
      </c>
      <c r="Q854" s="7">
        <f>Table2[[#This Row],[Elevation
PILE TOP]]-Table2[[#This Row],[LENGTH(m.)
(Actual)]]</f>
        <v>-0.17499999999999999</v>
      </c>
      <c r="R854" s="2"/>
      <c r="S854" s="7">
        <f>Table2[[#This Row],[N]]+Table2[[#This Row],[Pile 
Deviation 
N (m)]]</f>
        <v>1511729.794</v>
      </c>
      <c r="T854" s="7">
        <f>Table2[[#This Row],[E]]+Table2[[#This Row],[Pile 
Deviation 
E (m)]]</f>
        <v>694008.61699999997</v>
      </c>
      <c r="W854" s="7">
        <v>-0.67500000000000004</v>
      </c>
      <c r="X854" s="2" t="s">
        <v>33</v>
      </c>
      <c r="AA854" s="9">
        <v>46216</v>
      </c>
    </row>
    <row r="855" spans="1:27" ht="13.95" hidden="1" customHeight="1" x14ac:dyDescent="0.65">
      <c r="A855">
        <v>853</v>
      </c>
      <c r="B855" t="s">
        <v>29</v>
      </c>
      <c r="C855" s="6">
        <v>1511729.973</v>
      </c>
      <c r="D855" s="6">
        <v>694009.49899999995</v>
      </c>
      <c r="E855" s="2" t="s">
        <v>30</v>
      </c>
      <c r="F855" s="1">
        <v>24</v>
      </c>
      <c r="G855" s="2" t="s">
        <v>48</v>
      </c>
      <c r="J855"/>
      <c r="K855" s="19"/>
      <c r="L855" s="21"/>
      <c r="M855" s="27"/>
      <c r="N855" s="19"/>
      <c r="O855" s="21"/>
      <c r="P855" s="7">
        <v>-0.17499999999999999</v>
      </c>
      <c r="Q855" s="7">
        <f>Table2[[#This Row],[Elevation
PILE TOP]]-Table2[[#This Row],[LENGTH(m.)
(Actual)]]</f>
        <v>-0.17499999999999999</v>
      </c>
      <c r="R855" s="2"/>
      <c r="S855" s="7">
        <f>Table2[[#This Row],[N]]+Table2[[#This Row],[Pile 
Deviation 
N (m)]]</f>
        <v>1511729.973</v>
      </c>
      <c r="T855" s="7">
        <f>Table2[[#This Row],[E]]+Table2[[#This Row],[Pile 
Deviation 
E (m)]]</f>
        <v>694009.49899999995</v>
      </c>
      <c r="W855" s="7">
        <v>-0.67500000000000004</v>
      </c>
      <c r="X855" s="2" t="s">
        <v>33</v>
      </c>
      <c r="AA855" s="9">
        <v>46216</v>
      </c>
    </row>
    <row r="856" spans="1:27" hidden="1" x14ac:dyDescent="0.65">
      <c r="A856">
        <v>854</v>
      </c>
      <c r="B856" t="s">
        <v>29</v>
      </c>
      <c r="C856" s="6">
        <v>1511729.871</v>
      </c>
      <c r="D856" s="6">
        <v>694011.04500000004</v>
      </c>
      <c r="E856" s="2" t="s">
        <v>35</v>
      </c>
      <c r="F856" s="1">
        <v>24</v>
      </c>
      <c r="G856" s="2" t="s">
        <v>48</v>
      </c>
      <c r="J856"/>
      <c r="K856" s="19"/>
      <c r="L856" s="21"/>
      <c r="M856" s="27"/>
      <c r="N856" s="19"/>
      <c r="O856" s="21"/>
      <c r="P856" s="7">
        <v>0.28999999999999998</v>
      </c>
      <c r="Q856" s="7">
        <f>Table2[[#This Row],[Elevation
PILE TOP]]-Table2[[#This Row],[LENGTH(m.)
(Actual)]]</f>
        <v>0.28999999999999998</v>
      </c>
      <c r="R856" s="2"/>
      <c r="S856" s="7">
        <f>Table2[[#This Row],[N]]+Table2[[#This Row],[Pile 
Deviation 
N (m)]]</f>
        <v>1511729.871</v>
      </c>
      <c r="T856" s="7">
        <f>Table2[[#This Row],[E]]+Table2[[#This Row],[Pile 
Deviation 
E (m)]]</f>
        <v>694011.04500000004</v>
      </c>
      <c r="W856" s="7">
        <v>0.28999999999999998</v>
      </c>
      <c r="X856" s="2" t="s">
        <v>40</v>
      </c>
      <c r="AA856" s="9">
        <v>46228</v>
      </c>
    </row>
    <row r="857" spans="1:27" ht="13.95" hidden="1" customHeight="1" x14ac:dyDescent="0.65">
      <c r="A857">
        <v>855</v>
      </c>
      <c r="B857" t="s">
        <v>29</v>
      </c>
      <c r="C857" s="6">
        <v>1511731.044</v>
      </c>
      <c r="D857" s="6">
        <v>694011.04</v>
      </c>
      <c r="E857" s="2" t="s">
        <v>41</v>
      </c>
      <c r="F857" s="1">
        <v>26</v>
      </c>
      <c r="G857" s="2" t="s">
        <v>48</v>
      </c>
      <c r="J857"/>
      <c r="K857" s="19"/>
      <c r="L857" s="21"/>
      <c r="M857" s="27"/>
      <c r="N857" s="19"/>
      <c r="O857" s="21"/>
      <c r="P857" s="7">
        <v>0.35</v>
      </c>
      <c r="Q857" s="7">
        <f>Table2[[#This Row],[Elevation
PILE TOP]]-Table2[[#This Row],[LENGTH(m.)
(Actual)]]</f>
        <v>0.35</v>
      </c>
      <c r="R857" s="2"/>
      <c r="S857" s="7">
        <f>Table2[[#This Row],[N]]+Table2[[#This Row],[Pile 
Deviation 
N (m)]]</f>
        <v>1511731.044</v>
      </c>
      <c r="T857" s="7">
        <f>Table2[[#This Row],[E]]+Table2[[#This Row],[Pile 
Deviation 
E (m)]]</f>
        <v>694011.04</v>
      </c>
      <c r="W857" s="7">
        <v>-0.15</v>
      </c>
      <c r="X857" s="2" t="s">
        <v>42</v>
      </c>
      <c r="AA857" s="9">
        <v>46228</v>
      </c>
    </row>
    <row r="858" spans="1:27" hidden="1" x14ac:dyDescent="0.65">
      <c r="A858">
        <v>856</v>
      </c>
      <c r="B858" t="s">
        <v>29</v>
      </c>
      <c r="C858" s="6">
        <v>1511732.9569999999</v>
      </c>
      <c r="D858" s="6">
        <v>694012.31</v>
      </c>
      <c r="E858" s="2" t="s">
        <v>41</v>
      </c>
      <c r="F858" s="1">
        <v>26</v>
      </c>
      <c r="G858" s="2" t="s">
        <v>48</v>
      </c>
      <c r="J858"/>
      <c r="K858" s="19"/>
      <c r="L858" s="21"/>
      <c r="M858" s="27"/>
      <c r="N858" s="19"/>
      <c r="O858" s="21"/>
      <c r="P858" s="7">
        <v>0.35</v>
      </c>
      <c r="Q858" s="7">
        <f>Table2[[#This Row],[Elevation
PILE TOP]]-Table2[[#This Row],[LENGTH(m.)
(Actual)]]</f>
        <v>0.35</v>
      </c>
      <c r="R858" s="2"/>
      <c r="S858" s="7">
        <f>Table2[[#This Row],[N]]+Table2[[#This Row],[Pile 
Deviation 
N (m)]]</f>
        <v>1511732.9569999999</v>
      </c>
      <c r="T858" s="7">
        <f>Table2[[#This Row],[E]]+Table2[[#This Row],[Pile 
Deviation 
E (m)]]</f>
        <v>694012.31</v>
      </c>
      <c r="W858" s="7">
        <v>-0.15</v>
      </c>
      <c r="X858" s="2" t="s">
        <v>42</v>
      </c>
      <c r="AA858" s="9">
        <v>46228</v>
      </c>
    </row>
    <row r="859" spans="1:27" ht="13.95" hidden="1" customHeight="1" x14ac:dyDescent="0.65">
      <c r="A859">
        <v>857</v>
      </c>
      <c r="B859" t="s">
        <v>29</v>
      </c>
      <c r="C859" s="6">
        <v>1511733.4110000001</v>
      </c>
      <c r="D859" s="6">
        <v>694014.56099999999</v>
      </c>
      <c r="E859" s="2" t="s">
        <v>41</v>
      </c>
      <c r="F859" s="1">
        <v>26</v>
      </c>
      <c r="G859" s="2" t="s">
        <v>48</v>
      </c>
      <c r="J859"/>
      <c r="K859" s="19"/>
      <c r="L859" s="21"/>
      <c r="M859" s="27"/>
      <c r="N859" s="19"/>
      <c r="O859" s="21"/>
      <c r="P859" s="7">
        <v>0.35</v>
      </c>
      <c r="Q859" s="7">
        <f>Table2[[#This Row],[Elevation
PILE TOP]]-Table2[[#This Row],[LENGTH(m.)
(Actual)]]</f>
        <v>0.35</v>
      </c>
      <c r="R859" s="2"/>
      <c r="S859" s="7">
        <f>Table2[[#This Row],[N]]+Table2[[#This Row],[Pile 
Deviation 
N (m)]]</f>
        <v>1511733.4110000001</v>
      </c>
      <c r="T859" s="7">
        <f>Table2[[#This Row],[E]]+Table2[[#This Row],[Pile 
Deviation 
E (m)]]</f>
        <v>694014.56099999999</v>
      </c>
      <c r="W859" s="7">
        <v>-0.15</v>
      </c>
      <c r="X859" s="2" t="s">
        <v>42</v>
      </c>
      <c r="AA859" s="9">
        <v>46227</v>
      </c>
    </row>
    <row r="860" spans="1:27" hidden="1" x14ac:dyDescent="0.65">
      <c r="A860">
        <v>858</v>
      </c>
      <c r="B860" t="s">
        <v>29</v>
      </c>
      <c r="C860" s="6">
        <v>1511732.1410000001</v>
      </c>
      <c r="D860" s="6">
        <v>694016.47400000005</v>
      </c>
      <c r="E860" s="2" t="s">
        <v>41</v>
      </c>
      <c r="F860" s="1">
        <v>26</v>
      </c>
      <c r="G860" s="2" t="s">
        <v>48</v>
      </c>
      <c r="J860"/>
      <c r="K860" s="19"/>
      <c r="L860" s="21"/>
      <c r="M860" s="27"/>
      <c r="N860" s="19"/>
      <c r="O860" s="21"/>
      <c r="P860" s="7">
        <v>0.35</v>
      </c>
      <c r="Q860" s="7">
        <f>Table2[[#This Row],[Elevation
PILE TOP]]-Table2[[#This Row],[LENGTH(m.)
(Actual)]]</f>
        <v>0.35</v>
      </c>
      <c r="R860" s="2"/>
      <c r="S860" s="7">
        <f>Table2[[#This Row],[N]]+Table2[[#This Row],[Pile 
Deviation 
N (m)]]</f>
        <v>1511732.1410000001</v>
      </c>
      <c r="T860" s="7">
        <f>Table2[[#This Row],[E]]+Table2[[#This Row],[Pile 
Deviation 
E (m)]]</f>
        <v>694016.47400000005</v>
      </c>
      <c r="W860" s="7">
        <v>-0.15</v>
      </c>
      <c r="X860" s="2" t="s">
        <v>42</v>
      </c>
      <c r="AA860" s="9">
        <v>46227</v>
      </c>
    </row>
    <row r="861" spans="1:27" ht="13.95" hidden="1" customHeight="1" x14ac:dyDescent="0.65">
      <c r="A861">
        <v>859</v>
      </c>
      <c r="B861" t="s">
        <v>29</v>
      </c>
      <c r="C861" s="6">
        <v>1511729.89</v>
      </c>
      <c r="D861" s="6">
        <v>694016.92799999996</v>
      </c>
      <c r="E861" s="2" t="s">
        <v>41</v>
      </c>
      <c r="F861" s="1">
        <v>26</v>
      </c>
      <c r="G861" s="2" t="s">
        <v>48</v>
      </c>
      <c r="J861"/>
      <c r="K861" s="19"/>
      <c r="L861" s="21"/>
      <c r="M861" s="27"/>
      <c r="N861" s="19"/>
      <c r="O861" s="21"/>
      <c r="P861" s="7">
        <v>0.35</v>
      </c>
      <c r="Q861" s="7">
        <f>Table2[[#This Row],[Elevation
PILE TOP]]-Table2[[#This Row],[LENGTH(m.)
(Actual)]]</f>
        <v>0.35</v>
      </c>
      <c r="R861" s="2"/>
      <c r="S861" s="7">
        <f>Table2[[#This Row],[N]]+Table2[[#This Row],[Pile 
Deviation 
N (m)]]</f>
        <v>1511729.89</v>
      </c>
      <c r="T861" s="7">
        <f>Table2[[#This Row],[E]]+Table2[[#This Row],[Pile 
Deviation 
E (m)]]</f>
        <v>694016.92799999996</v>
      </c>
      <c r="W861" s="7">
        <v>-0.15</v>
      </c>
      <c r="X861" s="2" t="s">
        <v>42</v>
      </c>
      <c r="AA861" s="9">
        <v>46227</v>
      </c>
    </row>
    <row r="862" spans="1:27" hidden="1" x14ac:dyDescent="0.65">
      <c r="A862">
        <v>860</v>
      </c>
      <c r="B862" t="s">
        <v>29</v>
      </c>
      <c r="C862" s="6">
        <v>1511727.9779999999</v>
      </c>
      <c r="D862" s="6">
        <v>694015.65800000005</v>
      </c>
      <c r="E862" s="2" t="s">
        <v>41</v>
      </c>
      <c r="F862" s="1">
        <v>26</v>
      </c>
      <c r="G862" s="2" t="s">
        <v>48</v>
      </c>
      <c r="J862"/>
      <c r="K862" s="19"/>
      <c r="L862" s="21"/>
      <c r="M862" s="27"/>
      <c r="N862" s="19"/>
      <c r="O862" s="21"/>
      <c r="P862" s="7">
        <v>0.35</v>
      </c>
      <c r="Q862" s="7">
        <f>Table2[[#This Row],[Elevation
PILE TOP]]-Table2[[#This Row],[LENGTH(m.)
(Actual)]]</f>
        <v>0.35</v>
      </c>
      <c r="R862" s="2"/>
      <c r="S862" s="7">
        <f>Table2[[#This Row],[N]]+Table2[[#This Row],[Pile 
Deviation 
N (m)]]</f>
        <v>1511727.9779999999</v>
      </c>
      <c r="T862" s="7">
        <f>Table2[[#This Row],[E]]+Table2[[#This Row],[Pile 
Deviation 
E (m)]]</f>
        <v>694015.65800000005</v>
      </c>
      <c r="W862" s="7">
        <v>-0.15</v>
      </c>
      <c r="X862" s="2" t="s">
        <v>42</v>
      </c>
      <c r="AA862" s="9">
        <v>46227</v>
      </c>
    </row>
    <row r="863" spans="1:27" ht="13.95" hidden="1" customHeight="1" x14ac:dyDescent="0.65">
      <c r="A863">
        <v>861</v>
      </c>
      <c r="B863" t="s">
        <v>29</v>
      </c>
      <c r="C863" s="6">
        <v>1511727.523</v>
      </c>
      <c r="D863" s="6">
        <v>694013.40800000005</v>
      </c>
      <c r="E863" s="2" t="s">
        <v>41</v>
      </c>
      <c r="F863" s="1">
        <v>26</v>
      </c>
      <c r="G863" s="2" t="s">
        <v>48</v>
      </c>
      <c r="J863"/>
      <c r="K863" s="19"/>
      <c r="L863" s="21"/>
      <c r="M863" s="27"/>
      <c r="N863" s="19"/>
      <c r="O863" s="21"/>
      <c r="P863" s="7">
        <v>0.35</v>
      </c>
      <c r="Q863" s="7">
        <f>Table2[[#This Row],[Elevation
PILE TOP]]-Table2[[#This Row],[LENGTH(m.)
(Actual)]]</f>
        <v>0.35</v>
      </c>
      <c r="R863" s="2"/>
      <c r="S863" s="7">
        <f>Table2[[#This Row],[N]]+Table2[[#This Row],[Pile 
Deviation 
N (m)]]</f>
        <v>1511727.523</v>
      </c>
      <c r="T863" s="7">
        <f>Table2[[#This Row],[E]]+Table2[[#This Row],[Pile 
Deviation 
E (m)]]</f>
        <v>694013.40800000005</v>
      </c>
      <c r="W863" s="7">
        <v>-0.15</v>
      </c>
      <c r="X863" s="2" t="s">
        <v>42</v>
      </c>
      <c r="AA863" s="9">
        <v>46228</v>
      </c>
    </row>
    <row r="864" spans="1:27" hidden="1" x14ac:dyDescent="0.65">
      <c r="A864">
        <v>862</v>
      </c>
      <c r="B864" t="s">
        <v>29</v>
      </c>
      <c r="C864" s="6">
        <v>1511728.7930000001</v>
      </c>
      <c r="D864" s="6">
        <v>694011.495</v>
      </c>
      <c r="E864" s="2" t="s">
        <v>41</v>
      </c>
      <c r="F864" s="1">
        <v>26</v>
      </c>
      <c r="G864" s="2" t="s">
        <v>48</v>
      </c>
      <c r="J864"/>
      <c r="K864" s="19"/>
      <c r="L864" s="21"/>
      <c r="M864" s="27"/>
      <c r="N864" s="19"/>
      <c r="O864" s="21"/>
      <c r="P864" s="7">
        <v>0.35</v>
      </c>
      <c r="Q864" s="7">
        <f>Table2[[#This Row],[Elevation
PILE TOP]]-Table2[[#This Row],[LENGTH(m.)
(Actual)]]</f>
        <v>0.35</v>
      </c>
      <c r="R864" s="2"/>
      <c r="S864" s="7">
        <f>Table2[[#This Row],[N]]+Table2[[#This Row],[Pile 
Deviation 
N (m)]]</f>
        <v>1511728.7930000001</v>
      </c>
      <c r="T864" s="7">
        <f>Table2[[#This Row],[E]]+Table2[[#This Row],[Pile 
Deviation 
E (m)]]</f>
        <v>694011.495</v>
      </c>
      <c r="W864" s="7">
        <v>-0.15</v>
      </c>
      <c r="X864" s="2" t="s">
        <v>42</v>
      </c>
      <c r="AA864" s="9">
        <v>46228</v>
      </c>
    </row>
    <row r="865" spans="1:27" ht="13.95" hidden="1" customHeight="1" x14ac:dyDescent="0.65">
      <c r="A865">
        <v>863</v>
      </c>
      <c r="B865" t="s">
        <v>29</v>
      </c>
      <c r="C865" s="6">
        <v>1511730.4650000001</v>
      </c>
      <c r="D865" s="6">
        <v>694013.98600000003</v>
      </c>
      <c r="E865" s="2" t="s">
        <v>35</v>
      </c>
      <c r="F865" s="1">
        <v>24</v>
      </c>
      <c r="G865" s="2" t="s">
        <v>48</v>
      </c>
      <c r="J865"/>
      <c r="K865" s="19"/>
      <c r="L865" s="21"/>
      <c r="M865" s="27"/>
      <c r="N865" s="19"/>
      <c r="O865" s="21"/>
      <c r="P865" s="7">
        <v>0.28999999999999998</v>
      </c>
      <c r="Q865" s="7">
        <f>Table2[[#This Row],[Elevation
PILE TOP]]-Table2[[#This Row],[LENGTH(m.)
(Actual)]]</f>
        <v>0.28999999999999998</v>
      </c>
      <c r="R865" s="2"/>
      <c r="S865" s="7">
        <f>Table2[[#This Row],[N]]+Table2[[#This Row],[Pile 
Deviation 
N (m)]]</f>
        <v>1511730.4650000001</v>
      </c>
      <c r="T865" s="7">
        <f>Table2[[#This Row],[E]]+Table2[[#This Row],[Pile 
Deviation 
E (m)]]</f>
        <v>694013.98600000003</v>
      </c>
      <c r="W865" s="7">
        <v>0.28999999999999998</v>
      </c>
      <c r="X865" s="2" t="s">
        <v>40</v>
      </c>
      <c r="AA865" s="9">
        <v>46228</v>
      </c>
    </row>
    <row r="866" spans="1:27" hidden="1" x14ac:dyDescent="0.65">
      <c r="A866">
        <v>864</v>
      </c>
      <c r="B866" t="s">
        <v>29</v>
      </c>
      <c r="C866" s="6">
        <v>1511731.138</v>
      </c>
      <c r="D866" s="6">
        <v>694017.31900000002</v>
      </c>
      <c r="E866" s="2" t="s">
        <v>35</v>
      </c>
      <c r="F866" s="1">
        <v>24</v>
      </c>
      <c r="G866" s="2" t="s">
        <v>48</v>
      </c>
      <c r="J866"/>
      <c r="K866" s="19"/>
      <c r="L866" s="21"/>
      <c r="M866" s="27"/>
      <c r="N866" s="19"/>
      <c r="O866" s="21"/>
      <c r="P866" s="7">
        <v>0.28999999999999998</v>
      </c>
      <c r="Q866" s="7">
        <f>Table2[[#This Row],[Elevation
PILE TOP]]-Table2[[#This Row],[LENGTH(m.)
(Actual)]]</f>
        <v>0.28999999999999998</v>
      </c>
      <c r="R866" s="2"/>
      <c r="S866" s="7">
        <f>Table2[[#This Row],[N]]+Table2[[#This Row],[Pile 
Deviation 
N (m)]]</f>
        <v>1511731.138</v>
      </c>
      <c r="T866" s="7">
        <f>Table2[[#This Row],[E]]+Table2[[#This Row],[Pile 
Deviation 
E (m)]]</f>
        <v>694017.31900000002</v>
      </c>
      <c r="W866" s="7">
        <v>0.28999999999999998</v>
      </c>
      <c r="X866" s="2" t="s">
        <v>40</v>
      </c>
      <c r="AA866" s="9">
        <v>46227</v>
      </c>
    </row>
    <row r="867" spans="1:27" ht="13.95" hidden="1" customHeight="1" x14ac:dyDescent="0.65">
      <c r="A867">
        <v>865</v>
      </c>
      <c r="B867" t="s">
        <v>29</v>
      </c>
      <c r="C867" s="6">
        <v>1511732.3910000001</v>
      </c>
      <c r="D867" s="6">
        <v>694017.71</v>
      </c>
      <c r="E867" s="2" t="s">
        <v>41</v>
      </c>
      <c r="F867" s="1">
        <v>26</v>
      </c>
      <c r="G867" s="2" t="s">
        <v>48</v>
      </c>
      <c r="J867"/>
      <c r="K867" s="19"/>
      <c r="L867" s="21"/>
      <c r="M867" s="27"/>
      <c r="N867" s="19"/>
      <c r="O867" s="21"/>
      <c r="P867" s="7">
        <v>0.35</v>
      </c>
      <c r="Q867" s="7">
        <f>Table2[[#This Row],[Elevation
PILE TOP]]-Table2[[#This Row],[LENGTH(m.)
(Actual)]]</f>
        <v>0.35</v>
      </c>
      <c r="R867" s="2"/>
      <c r="S867" s="7">
        <f>Table2[[#This Row],[N]]+Table2[[#This Row],[Pile 
Deviation 
N (m)]]</f>
        <v>1511732.3910000001</v>
      </c>
      <c r="T867" s="7">
        <f>Table2[[#This Row],[E]]+Table2[[#This Row],[Pile 
Deviation 
E (m)]]</f>
        <v>694017.71</v>
      </c>
      <c r="W867" s="7">
        <v>-0.15</v>
      </c>
      <c r="X867" s="2" t="s">
        <v>42</v>
      </c>
      <c r="AA867" s="9">
        <v>46227</v>
      </c>
    </row>
    <row r="868" spans="1:27" hidden="1" x14ac:dyDescent="0.65">
      <c r="A868">
        <v>866</v>
      </c>
      <c r="B868" t="s">
        <v>29</v>
      </c>
      <c r="C868" s="6">
        <v>1511734.304</v>
      </c>
      <c r="D868" s="6">
        <v>694018.98</v>
      </c>
      <c r="E868" s="2" t="s">
        <v>41</v>
      </c>
      <c r="F868" s="1">
        <v>26</v>
      </c>
      <c r="G868" s="2" t="s">
        <v>48</v>
      </c>
      <c r="J868"/>
      <c r="K868" s="19"/>
      <c r="L868" s="21"/>
      <c r="M868" s="27"/>
      <c r="N868" s="19"/>
      <c r="O868" s="21"/>
      <c r="P868" s="7">
        <v>0.35</v>
      </c>
      <c r="Q868" s="7">
        <f>Table2[[#This Row],[Elevation
PILE TOP]]-Table2[[#This Row],[LENGTH(m.)
(Actual)]]</f>
        <v>0.35</v>
      </c>
      <c r="R868" s="2"/>
      <c r="S868" s="7">
        <f>Table2[[#This Row],[N]]+Table2[[#This Row],[Pile 
Deviation 
N (m)]]</f>
        <v>1511734.304</v>
      </c>
      <c r="T868" s="7">
        <f>Table2[[#This Row],[E]]+Table2[[#This Row],[Pile 
Deviation 
E (m)]]</f>
        <v>694018.98</v>
      </c>
      <c r="W868" s="7">
        <v>-0.15</v>
      </c>
      <c r="X868" s="2" t="s">
        <v>42</v>
      </c>
      <c r="AA868" s="9">
        <v>46226</v>
      </c>
    </row>
    <row r="869" spans="1:27" ht="13.95" hidden="1" customHeight="1" x14ac:dyDescent="0.65">
      <c r="A869">
        <v>867</v>
      </c>
      <c r="B869" t="s">
        <v>29</v>
      </c>
      <c r="C869" s="6">
        <v>1511734.7579999999</v>
      </c>
      <c r="D869" s="6">
        <v>694021.23100000003</v>
      </c>
      <c r="E869" s="2" t="s">
        <v>41</v>
      </c>
      <c r="F869" s="1">
        <v>26</v>
      </c>
      <c r="G869" s="2" t="s">
        <v>48</v>
      </c>
      <c r="J869"/>
      <c r="K869" s="19"/>
      <c r="L869" s="21"/>
      <c r="M869" s="27"/>
      <c r="N869" s="19"/>
      <c r="O869" s="21"/>
      <c r="P869" s="7">
        <v>0.35</v>
      </c>
      <c r="Q869" s="7">
        <f>Table2[[#This Row],[Elevation
PILE TOP]]-Table2[[#This Row],[LENGTH(m.)
(Actual)]]</f>
        <v>0.35</v>
      </c>
      <c r="R869" s="2"/>
      <c r="S869" s="7">
        <f>Table2[[#This Row],[N]]+Table2[[#This Row],[Pile 
Deviation 
N (m)]]</f>
        <v>1511734.7579999999</v>
      </c>
      <c r="T869" s="7">
        <f>Table2[[#This Row],[E]]+Table2[[#This Row],[Pile 
Deviation 
E (m)]]</f>
        <v>694021.23100000003</v>
      </c>
      <c r="W869" s="7">
        <v>-0.15</v>
      </c>
      <c r="X869" s="2" t="s">
        <v>42</v>
      </c>
      <c r="AA869" s="9">
        <v>46226</v>
      </c>
    </row>
    <row r="870" spans="1:27" hidden="1" x14ac:dyDescent="0.65">
      <c r="A870">
        <v>868</v>
      </c>
      <c r="B870" t="s">
        <v>29</v>
      </c>
      <c r="C870" s="6">
        <v>1511733.4879999999</v>
      </c>
      <c r="D870" s="6">
        <v>694023.14300000004</v>
      </c>
      <c r="E870" s="2" t="s">
        <v>41</v>
      </c>
      <c r="F870" s="1">
        <v>26</v>
      </c>
      <c r="G870" s="2" t="s">
        <v>48</v>
      </c>
      <c r="J870"/>
      <c r="K870" s="19"/>
      <c r="L870" s="21"/>
      <c r="M870" s="27"/>
      <c r="N870" s="19"/>
      <c r="O870" s="21"/>
      <c r="P870" s="7">
        <v>0.35</v>
      </c>
      <c r="Q870" s="7">
        <f>Table2[[#This Row],[Elevation
PILE TOP]]-Table2[[#This Row],[LENGTH(m.)
(Actual)]]</f>
        <v>0.35</v>
      </c>
      <c r="R870" s="2"/>
      <c r="S870" s="7">
        <f>Table2[[#This Row],[N]]+Table2[[#This Row],[Pile 
Deviation 
N (m)]]</f>
        <v>1511733.4879999999</v>
      </c>
      <c r="T870" s="7">
        <f>Table2[[#This Row],[E]]+Table2[[#This Row],[Pile 
Deviation 
E (m)]]</f>
        <v>694023.14300000004</v>
      </c>
      <c r="W870" s="7">
        <v>-0.15</v>
      </c>
      <c r="X870" s="2" t="s">
        <v>42</v>
      </c>
      <c r="AA870" s="9">
        <v>46225</v>
      </c>
    </row>
    <row r="871" spans="1:27" ht="13.95" hidden="1" customHeight="1" x14ac:dyDescent="0.65">
      <c r="A871">
        <v>869</v>
      </c>
      <c r="B871" t="s">
        <v>29</v>
      </c>
      <c r="C871" s="6">
        <v>1511731.237</v>
      </c>
      <c r="D871" s="6">
        <v>694023.598</v>
      </c>
      <c r="E871" s="2" t="s">
        <v>41</v>
      </c>
      <c r="F871" s="1">
        <v>26</v>
      </c>
      <c r="G871" s="2" t="s">
        <v>48</v>
      </c>
      <c r="J871"/>
      <c r="K871" s="19"/>
      <c r="L871" s="21"/>
      <c r="M871" s="27"/>
      <c r="N871" s="19"/>
      <c r="O871" s="21"/>
      <c r="P871" s="7">
        <v>0.35</v>
      </c>
      <c r="Q871" s="7">
        <f>Table2[[#This Row],[Elevation
PILE TOP]]-Table2[[#This Row],[LENGTH(m.)
(Actual)]]</f>
        <v>0.35</v>
      </c>
      <c r="R871" s="2"/>
      <c r="S871" s="7">
        <f>Table2[[#This Row],[N]]+Table2[[#This Row],[Pile 
Deviation 
N (m)]]</f>
        <v>1511731.237</v>
      </c>
      <c r="T871" s="7">
        <f>Table2[[#This Row],[E]]+Table2[[#This Row],[Pile 
Deviation 
E (m)]]</f>
        <v>694023.598</v>
      </c>
      <c r="W871" s="7">
        <v>-0.15</v>
      </c>
      <c r="X871" s="2" t="s">
        <v>42</v>
      </c>
      <c r="AA871" s="9">
        <v>46225</v>
      </c>
    </row>
    <row r="872" spans="1:27" hidden="1" x14ac:dyDescent="0.65">
      <c r="A872">
        <v>870</v>
      </c>
      <c r="B872" t="s">
        <v>29</v>
      </c>
      <c r="C872" s="6">
        <v>1511729.325</v>
      </c>
      <c r="D872" s="6">
        <v>694022.32799999998</v>
      </c>
      <c r="E872" s="2" t="s">
        <v>41</v>
      </c>
      <c r="F872" s="1">
        <v>26</v>
      </c>
      <c r="G872" s="2" t="s">
        <v>48</v>
      </c>
      <c r="J872"/>
      <c r="K872" s="19"/>
      <c r="L872" s="21"/>
      <c r="M872" s="27"/>
      <c r="N872" s="19"/>
      <c r="O872" s="21"/>
      <c r="P872" s="7">
        <v>0.35</v>
      </c>
      <c r="Q872" s="7">
        <f>Table2[[#This Row],[Elevation
PILE TOP]]-Table2[[#This Row],[LENGTH(m.)
(Actual)]]</f>
        <v>0.35</v>
      </c>
      <c r="R872" s="2"/>
      <c r="S872" s="7">
        <f>Table2[[#This Row],[N]]+Table2[[#This Row],[Pile 
Deviation 
N (m)]]</f>
        <v>1511729.325</v>
      </c>
      <c r="T872" s="7">
        <f>Table2[[#This Row],[E]]+Table2[[#This Row],[Pile 
Deviation 
E (m)]]</f>
        <v>694022.32799999998</v>
      </c>
      <c r="W872" s="7">
        <v>-0.15</v>
      </c>
      <c r="X872" s="2" t="s">
        <v>42</v>
      </c>
      <c r="AA872" s="9">
        <v>46226</v>
      </c>
    </row>
    <row r="873" spans="1:27" ht="13.95" hidden="1" customHeight="1" x14ac:dyDescent="0.65">
      <c r="A873">
        <v>871</v>
      </c>
      <c r="B873" t="s">
        <v>29</v>
      </c>
      <c r="C873" s="6">
        <v>1511728.87</v>
      </c>
      <c r="D873" s="6">
        <v>694020.07700000005</v>
      </c>
      <c r="E873" s="2" t="s">
        <v>41</v>
      </c>
      <c r="F873" s="1">
        <v>26</v>
      </c>
      <c r="G873" s="2" t="s">
        <v>48</v>
      </c>
      <c r="J873"/>
      <c r="K873" s="19"/>
      <c r="L873" s="21"/>
      <c r="M873" s="27"/>
      <c r="N873" s="19"/>
      <c r="O873" s="21"/>
      <c r="P873" s="7">
        <v>0.35</v>
      </c>
      <c r="Q873" s="7">
        <f>Table2[[#This Row],[Elevation
PILE TOP]]-Table2[[#This Row],[LENGTH(m.)
(Actual)]]</f>
        <v>0.35</v>
      </c>
      <c r="R873" s="2"/>
      <c r="S873" s="7">
        <f>Table2[[#This Row],[N]]+Table2[[#This Row],[Pile 
Deviation 
N (m)]]</f>
        <v>1511728.87</v>
      </c>
      <c r="T873" s="7">
        <f>Table2[[#This Row],[E]]+Table2[[#This Row],[Pile 
Deviation 
E (m)]]</f>
        <v>694020.07700000005</v>
      </c>
      <c r="W873" s="7">
        <v>-0.15</v>
      </c>
      <c r="X873" s="2" t="s">
        <v>42</v>
      </c>
      <c r="AA873" s="9">
        <v>46226</v>
      </c>
    </row>
    <row r="874" spans="1:27" hidden="1" x14ac:dyDescent="0.65">
      <c r="A874">
        <v>872</v>
      </c>
      <c r="B874" t="s">
        <v>29</v>
      </c>
      <c r="C874" s="6">
        <v>1511730.14</v>
      </c>
      <c r="D874" s="6">
        <v>694018.16399999999</v>
      </c>
      <c r="E874" s="2" t="s">
        <v>41</v>
      </c>
      <c r="F874" s="1">
        <v>26</v>
      </c>
      <c r="G874" s="2" t="s">
        <v>48</v>
      </c>
      <c r="J874"/>
      <c r="K874" s="19"/>
      <c r="L874" s="21"/>
      <c r="M874" s="27"/>
      <c r="N874" s="19"/>
      <c r="O874" s="21"/>
      <c r="P874" s="7">
        <v>0.35</v>
      </c>
      <c r="Q874" s="7">
        <f>Table2[[#This Row],[Elevation
PILE TOP]]-Table2[[#This Row],[LENGTH(m.)
(Actual)]]</f>
        <v>0.35</v>
      </c>
      <c r="R874" s="2"/>
      <c r="S874" s="7">
        <f>Table2[[#This Row],[N]]+Table2[[#This Row],[Pile 
Deviation 
N (m)]]</f>
        <v>1511730.14</v>
      </c>
      <c r="T874" s="7">
        <f>Table2[[#This Row],[E]]+Table2[[#This Row],[Pile 
Deviation 
E (m)]]</f>
        <v>694018.16399999999</v>
      </c>
      <c r="W874" s="7">
        <v>-0.15</v>
      </c>
      <c r="X874" s="2" t="s">
        <v>42</v>
      </c>
      <c r="AA874" s="9">
        <v>46227</v>
      </c>
    </row>
    <row r="875" spans="1:27" ht="13.95" hidden="1" customHeight="1" x14ac:dyDescent="0.65">
      <c r="A875">
        <v>873</v>
      </c>
      <c r="B875" t="s">
        <v>29</v>
      </c>
      <c r="C875" s="6">
        <v>1511731.811</v>
      </c>
      <c r="D875" s="6">
        <v>694020.65099999995</v>
      </c>
      <c r="E875" s="2" t="s">
        <v>35</v>
      </c>
      <c r="F875" s="1">
        <v>24</v>
      </c>
      <c r="G875" s="2" t="s">
        <v>48</v>
      </c>
      <c r="J875"/>
      <c r="K875" s="19"/>
      <c r="L875" s="21"/>
      <c r="M875" s="27"/>
      <c r="N875" s="19"/>
      <c r="O875" s="21"/>
      <c r="P875" s="7">
        <v>0.28999999999999998</v>
      </c>
      <c r="Q875" s="7">
        <f>Table2[[#This Row],[Elevation
PILE TOP]]-Table2[[#This Row],[LENGTH(m.)
(Actual)]]</f>
        <v>0.28999999999999998</v>
      </c>
      <c r="R875" s="2"/>
      <c r="S875" s="7">
        <f>Table2[[#This Row],[N]]+Table2[[#This Row],[Pile 
Deviation 
N (m)]]</f>
        <v>1511731.811</v>
      </c>
      <c r="T875" s="7">
        <f>Table2[[#This Row],[E]]+Table2[[#This Row],[Pile 
Deviation 
E (m)]]</f>
        <v>694020.65099999995</v>
      </c>
      <c r="W875" s="7">
        <v>0.28999999999999998</v>
      </c>
      <c r="X875" s="2" t="s">
        <v>40</v>
      </c>
      <c r="AA875" s="9">
        <v>46226</v>
      </c>
    </row>
    <row r="876" spans="1:27" hidden="1" x14ac:dyDescent="0.65">
      <c r="A876">
        <v>874</v>
      </c>
      <c r="B876" t="s">
        <v>29</v>
      </c>
      <c r="C876" s="6">
        <v>1511732.4839999999</v>
      </c>
      <c r="D876" s="6">
        <v>694023.98400000005</v>
      </c>
      <c r="E876" s="2" t="s">
        <v>35</v>
      </c>
      <c r="F876" s="1">
        <v>24</v>
      </c>
      <c r="G876" s="2" t="s">
        <v>48</v>
      </c>
      <c r="J876"/>
      <c r="K876" s="19"/>
      <c r="L876" s="21"/>
      <c r="M876" s="27"/>
      <c r="N876" s="19"/>
      <c r="O876" s="21"/>
      <c r="P876" s="7">
        <v>0.28999999999999998</v>
      </c>
      <c r="Q876" s="7">
        <f>Table2[[#This Row],[Elevation
PILE TOP]]-Table2[[#This Row],[LENGTH(m.)
(Actual)]]</f>
        <v>0.28999999999999998</v>
      </c>
      <c r="R876" s="2"/>
      <c r="S876" s="7">
        <f>Table2[[#This Row],[N]]+Table2[[#This Row],[Pile 
Deviation 
N (m)]]</f>
        <v>1511732.4839999999</v>
      </c>
      <c r="T876" s="7">
        <f>Table2[[#This Row],[E]]+Table2[[#This Row],[Pile 
Deviation 
E (m)]]</f>
        <v>694023.98400000005</v>
      </c>
      <c r="W876" s="7">
        <v>0.28999999999999998</v>
      </c>
      <c r="X876" s="2" t="s">
        <v>40</v>
      </c>
      <c r="AA876" s="9">
        <v>46225</v>
      </c>
    </row>
    <row r="877" spans="1:27" ht="13.95" hidden="1" customHeight="1" x14ac:dyDescent="0.65">
      <c r="A877">
        <v>875</v>
      </c>
      <c r="B877" t="s">
        <v>29</v>
      </c>
      <c r="C877" s="6">
        <v>1511733.737</v>
      </c>
      <c r="D877" s="6">
        <v>694024.37399999995</v>
      </c>
      <c r="E877" s="2" t="s">
        <v>41</v>
      </c>
      <c r="F877" s="1">
        <v>26</v>
      </c>
      <c r="G877" s="2" t="s">
        <v>48</v>
      </c>
      <c r="J877"/>
      <c r="K877" s="19"/>
      <c r="L877" s="21"/>
      <c r="M877" s="27"/>
      <c r="N877" s="19"/>
      <c r="O877" s="21"/>
      <c r="P877" s="7">
        <v>0.35</v>
      </c>
      <c r="Q877" s="7">
        <f>Table2[[#This Row],[Elevation
PILE TOP]]-Table2[[#This Row],[LENGTH(m.)
(Actual)]]</f>
        <v>0.35</v>
      </c>
      <c r="R877" s="2"/>
      <c r="S877" s="7">
        <f>Table2[[#This Row],[N]]+Table2[[#This Row],[Pile 
Deviation 
N (m)]]</f>
        <v>1511733.737</v>
      </c>
      <c r="T877" s="7">
        <f>Table2[[#This Row],[E]]+Table2[[#This Row],[Pile 
Deviation 
E (m)]]</f>
        <v>694024.37399999995</v>
      </c>
      <c r="W877" s="7">
        <v>-0.15</v>
      </c>
      <c r="X877" s="2" t="s">
        <v>42</v>
      </c>
      <c r="AA877" s="9">
        <v>46217</v>
      </c>
    </row>
    <row r="878" spans="1:27" hidden="1" x14ac:dyDescent="0.65">
      <c r="A878">
        <v>876</v>
      </c>
      <c r="B878" t="s">
        <v>29</v>
      </c>
      <c r="C878" s="6">
        <v>1511735.649</v>
      </c>
      <c r="D878" s="6">
        <v>694025.64399999997</v>
      </c>
      <c r="E878" s="2" t="s">
        <v>41</v>
      </c>
      <c r="F878" s="1">
        <v>26</v>
      </c>
      <c r="G878" s="2" t="s">
        <v>48</v>
      </c>
      <c r="J878"/>
      <c r="K878" s="19"/>
      <c r="L878" s="21"/>
      <c r="M878" s="27"/>
      <c r="N878" s="19"/>
      <c r="O878" s="21"/>
      <c r="P878" s="7">
        <v>0.35</v>
      </c>
      <c r="Q878" s="7">
        <f>Table2[[#This Row],[Elevation
PILE TOP]]-Table2[[#This Row],[LENGTH(m.)
(Actual)]]</f>
        <v>0.35</v>
      </c>
      <c r="R878" s="2"/>
      <c r="S878" s="7">
        <f>Table2[[#This Row],[N]]+Table2[[#This Row],[Pile 
Deviation 
N (m)]]</f>
        <v>1511735.649</v>
      </c>
      <c r="T878" s="7">
        <f>Table2[[#This Row],[E]]+Table2[[#This Row],[Pile 
Deviation 
E (m)]]</f>
        <v>694025.64399999997</v>
      </c>
      <c r="W878" s="7">
        <v>-0.15</v>
      </c>
      <c r="X878" s="2" t="s">
        <v>42</v>
      </c>
      <c r="AA878" s="9">
        <v>46217</v>
      </c>
    </row>
    <row r="879" spans="1:27" ht="13.95" hidden="1" customHeight="1" x14ac:dyDescent="0.65">
      <c r="A879">
        <v>877</v>
      </c>
      <c r="B879" t="s">
        <v>29</v>
      </c>
      <c r="C879" s="6">
        <v>1511736.1040000001</v>
      </c>
      <c r="D879" s="6">
        <v>694027.89500000002</v>
      </c>
      <c r="E879" s="2" t="s">
        <v>41</v>
      </c>
      <c r="F879" s="1">
        <v>26</v>
      </c>
      <c r="G879" s="2" t="s">
        <v>48</v>
      </c>
      <c r="J879"/>
      <c r="K879" s="19"/>
      <c r="L879" s="21"/>
      <c r="M879" s="27"/>
      <c r="N879" s="19"/>
      <c r="O879" s="21"/>
      <c r="P879" s="7">
        <v>0.35</v>
      </c>
      <c r="Q879" s="7">
        <f>Table2[[#This Row],[Elevation
PILE TOP]]-Table2[[#This Row],[LENGTH(m.)
(Actual)]]</f>
        <v>0.35</v>
      </c>
      <c r="R879" s="2"/>
      <c r="S879" s="7">
        <f>Table2[[#This Row],[N]]+Table2[[#This Row],[Pile 
Deviation 
N (m)]]</f>
        <v>1511736.1040000001</v>
      </c>
      <c r="T879" s="7">
        <f>Table2[[#This Row],[E]]+Table2[[#This Row],[Pile 
Deviation 
E (m)]]</f>
        <v>694027.89500000002</v>
      </c>
      <c r="W879" s="7">
        <v>-0.15</v>
      </c>
      <c r="X879" s="2" t="s">
        <v>42</v>
      </c>
      <c r="AA879" s="9">
        <v>46218</v>
      </c>
    </row>
    <row r="880" spans="1:27" hidden="1" x14ac:dyDescent="0.65">
      <c r="A880">
        <v>878</v>
      </c>
      <c r="B880" t="s">
        <v>29</v>
      </c>
      <c r="C880" s="6">
        <v>1511734.834</v>
      </c>
      <c r="D880" s="6">
        <v>694029.80799999996</v>
      </c>
      <c r="E880" s="2" t="s">
        <v>41</v>
      </c>
      <c r="F880" s="1">
        <v>26</v>
      </c>
      <c r="G880" s="2" t="s">
        <v>48</v>
      </c>
      <c r="J880"/>
      <c r="K880" s="19"/>
      <c r="L880" s="21"/>
      <c r="M880" s="27"/>
      <c r="N880" s="19"/>
      <c r="O880" s="21"/>
      <c r="P880" s="7">
        <v>0.35</v>
      </c>
      <c r="Q880" s="7">
        <f>Table2[[#This Row],[Elevation
PILE TOP]]-Table2[[#This Row],[LENGTH(m.)
(Actual)]]</f>
        <v>0.35</v>
      </c>
      <c r="R880" s="2"/>
      <c r="S880" s="7">
        <f>Table2[[#This Row],[N]]+Table2[[#This Row],[Pile 
Deviation 
N (m)]]</f>
        <v>1511734.834</v>
      </c>
      <c r="T880" s="7">
        <f>Table2[[#This Row],[E]]+Table2[[#This Row],[Pile 
Deviation 
E (m)]]</f>
        <v>694029.80799999996</v>
      </c>
      <c r="W880" s="7">
        <v>-0.15</v>
      </c>
      <c r="X880" s="2" t="s">
        <v>42</v>
      </c>
      <c r="AA880" s="9">
        <v>46218</v>
      </c>
    </row>
    <row r="881" spans="1:27" ht="13.95" hidden="1" customHeight="1" x14ac:dyDescent="0.65">
      <c r="A881">
        <v>879</v>
      </c>
      <c r="B881" t="s">
        <v>29</v>
      </c>
      <c r="C881" s="6">
        <v>1511732.5830000001</v>
      </c>
      <c r="D881" s="6">
        <v>694030.26199999999</v>
      </c>
      <c r="E881" s="2" t="s">
        <v>41</v>
      </c>
      <c r="F881" s="1">
        <v>26</v>
      </c>
      <c r="G881" s="2" t="s">
        <v>48</v>
      </c>
      <c r="J881"/>
      <c r="K881" s="19"/>
      <c r="L881" s="21"/>
      <c r="M881" s="27"/>
      <c r="N881" s="19"/>
      <c r="O881" s="21"/>
      <c r="P881" s="7">
        <v>0.35</v>
      </c>
      <c r="Q881" s="7">
        <f>Table2[[#This Row],[Elevation
PILE TOP]]-Table2[[#This Row],[LENGTH(m.)
(Actual)]]</f>
        <v>0.35</v>
      </c>
      <c r="R881" s="2"/>
      <c r="S881" s="7">
        <f>Table2[[#This Row],[N]]+Table2[[#This Row],[Pile 
Deviation 
N (m)]]</f>
        <v>1511732.5830000001</v>
      </c>
      <c r="T881" s="7">
        <f>Table2[[#This Row],[E]]+Table2[[#This Row],[Pile 
Deviation 
E (m)]]</f>
        <v>694030.26199999999</v>
      </c>
      <c r="W881" s="7">
        <v>-0.15</v>
      </c>
      <c r="X881" s="2" t="s">
        <v>42</v>
      </c>
      <c r="AA881" s="9">
        <v>46218</v>
      </c>
    </row>
    <row r="882" spans="1:27" hidden="1" x14ac:dyDescent="0.65">
      <c r="A882">
        <v>880</v>
      </c>
      <c r="B882" t="s">
        <v>29</v>
      </c>
      <c r="C882" s="6">
        <v>1511730.67</v>
      </c>
      <c r="D882" s="6">
        <v>694028.99199999997</v>
      </c>
      <c r="E882" s="2" t="s">
        <v>41</v>
      </c>
      <c r="F882" s="1">
        <v>26</v>
      </c>
      <c r="G882" s="2" t="s">
        <v>48</v>
      </c>
      <c r="J882"/>
      <c r="K882" s="19"/>
      <c r="L882" s="21"/>
      <c r="M882" s="27"/>
      <c r="N882" s="19"/>
      <c r="O882" s="21"/>
      <c r="P882" s="7">
        <v>0.35</v>
      </c>
      <c r="Q882" s="7">
        <f>Table2[[#This Row],[Elevation
PILE TOP]]-Table2[[#This Row],[LENGTH(m.)
(Actual)]]</f>
        <v>0.35</v>
      </c>
      <c r="R882" s="2"/>
      <c r="S882" s="7">
        <f>Table2[[#This Row],[N]]+Table2[[#This Row],[Pile 
Deviation 
N (m)]]</f>
        <v>1511730.67</v>
      </c>
      <c r="T882" s="7">
        <f>Table2[[#This Row],[E]]+Table2[[#This Row],[Pile 
Deviation 
E (m)]]</f>
        <v>694028.99199999997</v>
      </c>
      <c r="W882" s="7">
        <v>-0.15</v>
      </c>
      <c r="X882" s="2" t="s">
        <v>42</v>
      </c>
      <c r="AA882" s="9">
        <v>46218</v>
      </c>
    </row>
    <row r="883" spans="1:27" ht="13.95" hidden="1" customHeight="1" x14ac:dyDescent="0.65">
      <c r="A883">
        <v>881</v>
      </c>
      <c r="B883" t="s">
        <v>29</v>
      </c>
      <c r="C883" s="6">
        <v>1511730.216</v>
      </c>
      <c r="D883" s="6">
        <v>694026.74199999997</v>
      </c>
      <c r="E883" s="2" t="s">
        <v>41</v>
      </c>
      <c r="F883" s="1">
        <v>26</v>
      </c>
      <c r="G883" s="2" t="s">
        <v>48</v>
      </c>
      <c r="J883"/>
      <c r="K883" s="19"/>
      <c r="L883" s="21"/>
      <c r="M883" s="27"/>
      <c r="N883" s="19"/>
      <c r="O883" s="21"/>
      <c r="P883" s="7">
        <v>0.35</v>
      </c>
      <c r="Q883" s="7">
        <f>Table2[[#This Row],[Elevation
PILE TOP]]-Table2[[#This Row],[LENGTH(m.)
(Actual)]]</f>
        <v>0.35</v>
      </c>
      <c r="R883" s="2"/>
      <c r="S883" s="7">
        <f>Table2[[#This Row],[N]]+Table2[[#This Row],[Pile 
Deviation 
N (m)]]</f>
        <v>1511730.216</v>
      </c>
      <c r="T883" s="7">
        <f>Table2[[#This Row],[E]]+Table2[[#This Row],[Pile 
Deviation 
E (m)]]</f>
        <v>694026.74199999997</v>
      </c>
      <c r="W883" s="7">
        <v>-0.15</v>
      </c>
      <c r="X883" s="2" t="s">
        <v>42</v>
      </c>
      <c r="AA883" s="9">
        <v>46217</v>
      </c>
    </row>
    <row r="884" spans="1:27" hidden="1" x14ac:dyDescent="0.65">
      <c r="A884">
        <v>882</v>
      </c>
      <c r="B884" t="s">
        <v>29</v>
      </c>
      <c r="C884" s="6">
        <v>1511731.486</v>
      </c>
      <c r="D884" s="6">
        <v>694024.82900000003</v>
      </c>
      <c r="E884" s="2" t="s">
        <v>41</v>
      </c>
      <c r="F884" s="1">
        <v>26</v>
      </c>
      <c r="G884" s="2" t="s">
        <v>48</v>
      </c>
      <c r="J884"/>
      <c r="K884" s="19"/>
      <c r="L884" s="21"/>
      <c r="M884" s="27"/>
      <c r="N884" s="19"/>
      <c r="O884" s="21"/>
      <c r="P884" s="7">
        <v>0.35</v>
      </c>
      <c r="Q884" s="7">
        <f>Table2[[#This Row],[Elevation
PILE TOP]]-Table2[[#This Row],[LENGTH(m.)
(Actual)]]</f>
        <v>0.35</v>
      </c>
      <c r="R884" s="2"/>
      <c r="S884" s="7">
        <f>Table2[[#This Row],[N]]+Table2[[#This Row],[Pile 
Deviation 
N (m)]]</f>
        <v>1511731.486</v>
      </c>
      <c r="T884" s="7">
        <f>Table2[[#This Row],[E]]+Table2[[#This Row],[Pile 
Deviation 
E (m)]]</f>
        <v>694024.82900000003</v>
      </c>
      <c r="W884" s="7">
        <v>-0.15</v>
      </c>
      <c r="X884" s="2" t="s">
        <v>42</v>
      </c>
      <c r="AA884" s="9">
        <v>46217</v>
      </c>
    </row>
    <row r="885" spans="1:27" ht="13.95" hidden="1" customHeight="1" x14ac:dyDescent="0.65">
      <c r="A885">
        <v>883</v>
      </c>
      <c r="B885" t="s">
        <v>29</v>
      </c>
      <c r="C885" s="6">
        <v>1511733.1569999999</v>
      </c>
      <c r="D885" s="6">
        <v>694027.31700000004</v>
      </c>
      <c r="E885" s="2" t="s">
        <v>35</v>
      </c>
      <c r="F885" s="1">
        <v>24</v>
      </c>
      <c r="G885" s="2" t="s">
        <v>48</v>
      </c>
      <c r="J885"/>
      <c r="K885" s="19"/>
      <c r="L885" s="21"/>
      <c r="M885" s="27"/>
      <c r="N885" s="19"/>
      <c r="O885" s="21"/>
      <c r="P885" s="7">
        <v>0.28999999999999998</v>
      </c>
      <c r="Q885" s="7">
        <f>Table2[[#This Row],[Elevation
PILE TOP]]-Table2[[#This Row],[LENGTH(m.)
(Actual)]]</f>
        <v>0.28999999999999998</v>
      </c>
      <c r="R885" s="2"/>
      <c r="S885" s="7">
        <f>Table2[[#This Row],[N]]+Table2[[#This Row],[Pile 
Deviation 
N (m)]]</f>
        <v>1511733.1569999999</v>
      </c>
      <c r="T885" s="7">
        <f>Table2[[#This Row],[E]]+Table2[[#This Row],[Pile 
Deviation 
E (m)]]</f>
        <v>694027.31700000004</v>
      </c>
      <c r="W885" s="7">
        <v>0.28999999999999998</v>
      </c>
      <c r="X885" s="2" t="s">
        <v>40</v>
      </c>
      <c r="AA885" s="9">
        <v>46217</v>
      </c>
    </row>
    <row r="886" spans="1:27" hidden="1" x14ac:dyDescent="0.65">
      <c r="A886">
        <v>884</v>
      </c>
      <c r="B886" t="s">
        <v>29</v>
      </c>
      <c r="C886" s="6">
        <v>1511733.7509999999</v>
      </c>
      <c r="D886" s="6">
        <v>694030.25699999998</v>
      </c>
      <c r="E886" s="2" t="s">
        <v>35</v>
      </c>
      <c r="F886" s="1">
        <v>24</v>
      </c>
      <c r="G886" s="2" t="s">
        <v>48</v>
      </c>
      <c r="J886"/>
      <c r="K886" s="19"/>
      <c r="L886" s="21"/>
      <c r="M886" s="27"/>
      <c r="N886" s="19"/>
      <c r="O886" s="21"/>
      <c r="P886" s="7">
        <v>0.28999999999999998</v>
      </c>
      <c r="Q886" s="7">
        <f>Table2[[#This Row],[Elevation
PILE TOP]]-Table2[[#This Row],[LENGTH(m.)
(Actual)]]</f>
        <v>0.28999999999999998</v>
      </c>
      <c r="R886" s="2"/>
      <c r="S886" s="7">
        <f>Table2[[#This Row],[N]]+Table2[[#This Row],[Pile 
Deviation 
N (m)]]</f>
        <v>1511733.7509999999</v>
      </c>
      <c r="T886" s="7">
        <f>Table2[[#This Row],[E]]+Table2[[#This Row],[Pile 
Deviation 
E (m)]]</f>
        <v>694030.25699999998</v>
      </c>
      <c r="W886" s="7">
        <v>0.28999999999999998</v>
      </c>
      <c r="X886" s="2" t="s">
        <v>40</v>
      </c>
      <c r="AA886" s="9">
        <v>46218</v>
      </c>
    </row>
    <row r="887" spans="1:27" ht="13.95" hidden="1" customHeight="1" x14ac:dyDescent="0.65">
      <c r="A887">
        <v>885</v>
      </c>
      <c r="B887" t="s">
        <v>29</v>
      </c>
      <c r="C887" s="6">
        <v>1511734.345</v>
      </c>
      <c r="D887" s="6">
        <v>694033.19799999997</v>
      </c>
      <c r="E887" s="2" t="s">
        <v>35</v>
      </c>
      <c r="F887" s="1">
        <v>24</v>
      </c>
      <c r="G887" s="2" t="s">
        <v>48</v>
      </c>
      <c r="J887"/>
      <c r="K887" s="19"/>
      <c r="L887" s="21"/>
      <c r="M887" s="27"/>
      <c r="N887" s="19"/>
      <c r="O887" s="21"/>
      <c r="P887" s="7">
        <v>0.28999999999999998</v>
      </c>
      <c r="Q887" s="7">
        <f>Table2[[#This Row],[Elevation
PILE TOP]]-Table2[[#This Row],[LENGTH(m.)
(Actual)]]</f>
        <v>0.28999999999999998</v>
      </c>
      <c r="R887" s="2"/>
      <c r="S887" s="7">
        <f>Table2[[#This Row],[N]]+Table2[[#This Row],[Pile 
Deviation 
N (m)]]</f>
        <v>1511734.345</v>
      </c>
      <c r="T887" s="7">
        <f>Table2[[#This Row],[E]]+Table2[[#This Row],[Pile 
Deviation 
E (m)]]</f>
        <v>694033.19799999997</v>
      </c>
      <c r="W887" s="7">
        <v>0.28999999999999998</v>
      </c>
      <c r="X887" s="2" t="s">
        <v>40</v>
      </c>
      <c r="AA887" s="9">
        <v>46219</v>
      </c>
    </row>
    <row r="888" spans="1:27" hidden="1" x14ac:dyDescent="0.65">
      <c r="A888">
        <v>886</v>
      </c>
      <c r="B888" t="s">
        <v>29</v>
      </c>
      <c r="C888" s="6">
        <v>1511735.5379999999</v>
      </c>
      <c r="D888" s="6">
        <v>694033.29500000004</v>
      </c>
      <c r="E888" s="2" t="s">
        <v>41</v>
      </c>
      <c r="F888" s="1">
        <v>26</v>
      </c>
      <c r="G888" s="2" t="s">
        <v>48</v>
      </c>
      <c r="J888"/>
      <c r="K888" s="19"/>
      <c r="L888" s="21"/>
      <c r="M888" s="27"/>
      <c r="N888" s="19"/>
      <c r="O888" s="21"/>
      <c r="P888" s="7">
        <v>0.35</v>
      </c>
      <c r="Q888" s="7">
        <f>Table2[[#This Row],[Elevation
PILE TOP]]-Table2[[#This Row],[LENGTH(m.)
(Actual)]]</f>
        <v>0.35</v>
      </c>
      <c r="R888" s="2"/>
      <c r="S888" s="7">
        <f>Table2[[#This Row],[N]]+Table2[[#This Row],[Pile 
Deviation 
N (m)]]</f>
        <v>1511735.5379999999</v>
      </c>
      <c r="T888" s="7">
        <f>Table2[[#This Row],[E]]+Table2[[#This Row],[Pile 
Deviation 
E (m)]]</f>
        <v>694033.29500000004</v>
      </c>
      <c r="W888" s="7">
        <v>-0.15</v>
      </c>
      <c r="X888" s="2" t="s">
        <v>42</v>
      </c>
      <c r="AA888" s="9">
        <v>46219</v>
      </c>
    </row>
    <row r="889" spans="1:27" ht="13.95" hidden="1" customHeight="1" x14ac:dyDescent="0.65">
      <c r="A889">
        <v>887</v>
      </c>
      <c r="B889" t="s">
        <v>29</v>
      </c>
      <c r="C889" s="6">
        <v>1511737.4509999999</v>
      </c>
      <c r="D889" s="6">
        <v>694034.56499999994</v>
      </c>
      <c r="E889" s="2" t="s">
        <v>41</v>
      </c>
      <c r="F889" s="1">
        <v>26</v>
      </c>
      <c r="G889" s="2" t="s">
        <v>48</v>
      </c>
      <c r="J889"/>
      <c r="K889" s="19"/>
      <c r="L889" s="21"/>
      <c r="M889" s="27"/>
      <c r="N889" s="19"/>
      <c r="O889" s="21"/>
      <c r="P889" s="7">
        <v>0.35</v>
      </c>
      <c r="Q889" s="7">
        <f>Table2[[#This Row],[Elevation
PILE TOP]]-Table2[[#This Row],[LENGTH(m.)
(Actual)]]</f>
        <v>0.35</v>
      </c>
      <c r="R889" s="2"/>
      <c r="S889" s="7">
        <f>Table2[[#This Row],[N]]+Table2[[#This Row],[Pile 
Deviation 
N (m)]]</f>
        <v>1511737.4509999999</v>
      </c>
      <c r="T889" s="7">
        <f>Table2[[#This Row],[E]]+Table2[[#This Row],[Pile 
Deviation 
E (m)]]</f>
        <v>694034.56499999994</v>
      </c>
      <c r="W889" s="7">
        <v>-0.15</v>
      </c>
      <c r="X889" s="2" t="s">
        <v>42</v>
      </c>
      <c r="AA889" s="9">
        <v>46219</v>
      </c>
    </row>
    <row r="890" spans="1:27" hidden="1" x14ac:dyDescent="0.65">
      <c r="A890">
        <v>888</v>
      </c>
      <c r="B890" t="s">
        <v>29</v>
      </c>
      <c r="C890" s="6">
        <v>1511737.905</v>
      </c>
      <c r="D890" s="6">
        <v>694036.81499999994</v>
      </c>
      <c r="E890" s="2" t="s">
        <v>41</v>
      </c>
      <c r="F890" s="1">
        <v>26</v>
      </c>
      <c r="G890" s="2" t="s">
        <v>48</v>
      </c>
      <c r="J890"/>
      <c r="K890" s="19"/>
      <c r="L890" s="21"/>
      <c r="M890" s="27"/>
      <c r="N890" s="19"/>
      <c r="O890" s="21"/>
      <c r="P890" s="7">
        <v>0.35</v>
      </c>
      <c r="Q890" s="7">
        <f>Table2[[#This Row],[Elevation
PILE TOP]]-Table2[[#This Row],[LENGTH(m.)
(Actual)]]</f>
        <v>0.35</v>
      </c>
      <c r="R890" s="2"/>
      <c r="S890" s="7">
        <f>Table2[[#This Row],[N]]+Table2[[#This Row],[Pile 
Deviation 
N (m)]]</f>
        <v>1511737.905</v>
      </c>
      <c r="T890" s="7">
        <f>Table2[[#This Row],[E]]+Table2[[#This Row],[Pile 
Deviation 
E (m)]]</f>
        <v>694036.81499999994</v>
      </c>
      <c r="W890" s="7">
        <v>-0.15</v>
      </c>
      <c r="X890" s="2" t="s">
        <v>42</v>
      </c>
      <c r="AA890" s="9">
        <v>46220</v>
      </c>
    </row>
    <row r="891" spans="1:27" ht="13.95" hidden="1" customHeight="1" x14ac:dyDescent="0.65">
      <c r="A891">
        <v>889</v>
      </c>
      <c r="B891" t="s">
        <v>29</v>
      </c>
      <c r="C891" s="6">
        <v>1511736.635</v>
      </c>
      <c r="D891" s="6">
        <v>694038.728</v>
      </c>
      <c r="E891" s="2" t="s">
        <v>41</v>
      </c>
      <c r="F891" s="1">
        <v>26</v>
      </c>
      <c r="G891" s="2" t="s">
        <v>48</v>
      </c>
      <c r="J891"/>
      <c r="K891" s="19"/>
      <c r="L891" s="21"/>
      <c r="M891" s="27"/>
      <c r="N891" s="19"/>
      <c r="O891" s="21"/>
      <c r="P891" s="7">
        <v>0.35</v>
      </c>
      <c r="Q891" s="7">
        <f>Table2[[#This Row],[Elevation
PILE TOP]]-Table2[[#This Row],[LENGTH(m.)
(Actual)]]</f>
        <v>0.35</v>
      </c>
      <c r="R891" s="2"/>
      <c r="S891" s="7">
        <f>Table2[[#This Row],[N]]+Table2[[#This Row],[Pile 
Deviation 
N (m)]]</f>
        <v>1511736.635</v>
      </c>
      <c r="T891" s="7">
        <f>Table2[[#This Row],[E]]+Table2[[#This Row],[Pile 
Deviation 
E (m)]]</f>
        <v>694038.728</v>
      </c>
      <c r="W891" s="7">
        <v>-0.15</v>
      </c>
      <c r="X891" s="2" t="s">
        <v>42</v>
      </c>
      <c r="AA891" s="9">
        <v>46220</v>
      </c>
    </row>
    <row r="892" spans="1:27" hidden="1" x14ac:dyDescent="0.65">
      <c r="A892">
        <v>890</v>
      </c>
      <c r="B892" t="s">
        <v>29</v>
      </c>
      <c r="C892" s="6">
        <v>1511734.385</v>
      </c>
      <c r="D892" s="6">
        <v>694039.18299999996</v>
      </c>
      <c r="E892" s="2" t="s">
        <v>41</v>
      </c>
      <c r="F892" s="1">
        <v>26</v>
      </c>
      <c r="G892" s="2" t="s">
        <v>48</v>
      </c>
      <c r="J892"/>
      <c r="K892" s="19"/>
      <c r="L892" s="21"/>
      <c r="M892" s="27"/>
      <c r="N892" s="19"/>
      <c r="O892" s="21"/>
      <c r="P892" s="7">
        <v>0.35</v>
      </c>
      <c r="Q892" s="7">
        <f>Table2[[#This Row],[Elevation
PILE TOP]]-Table2[[#This Row],[LENGTH(m.)
(Actual)]]</f>
        <v>0.35</v>
      </c>
      <c r="R892" s="2"/>
      <c r="S892" s="7">
        <f>Table2[[#This Row],[N]]+Table2[[#This Row],[Pile 
Deviation 
N (m)]]</f>
        <v>1511734.385</v>
      </c>
      <c r="T892" s="7">
        <f>Table2[[#This Row],[E]]+Table2[[#This Row],[Pile 
Deviation 
E (m)]]</f>
        <v>694039.18299999996</v>
      </c>
      <c r="W892" s="7">
        <v>-0.15</v>
      </c>
      <c r="X892" s="2" t="s">
        <v>42</v>
      </c>
      <c r="AA892" s="9">
        <v>46220</v>
      </c>
    </row>
    <row r="893" spans="1:27" ht="13.95" hidden="1" customHeight="1" x14ac:dyDescent="0.65">
      <c r="A893">
        <v>891</v>
      </c>
      <c r="B893" t="s">
        <v>29</v>
      </c>
      <c r="C893" s="6">
        <v>1511732.4720000001</v>
      </c>
      <c r="D893" s="6">
        <v>694037.91299999994</v>
      </c>
      <c r="E893" s="2" t="s">
        <v>41</v>
      </c>
      <c r="F893" s="1">
        <v>26</v>
      </c>
      <c r="G893" s="2" t="s">
        <v>48</v>
      </c>
      <c r="J893"/>
      <c r="K893" s="19"/>
      <c r="L893" s="21"/>
      <c r="M893" s="27"/>
      <c r="N893" s="19"/>
      <c r="O893" s="21"/>
      <c r="P893" s="7">
        <v>0.35</v>
      </c>
      <c r="Q893" s="7">
        <f>Table2[[#This Row],[Elevation
PILE TOP]]-Table2[[#This Row],[LENGTH(m.)
(Actual)]]</f>
        <v>0.35</v>
      </c>
      <c r="R893" s="2"/>
      <c r="S893" s="7">
        <f>Table2[[#This Row],[N]]+Table2[[#This Row],[Pile 
Deviation 
N (m)]]</f>
        <v>1511732.4720000001</v>
      </c>
      <c r="T893" s="7">
        <f>Table2[[#This Row],[E]]+Table2[[#This Row],[Pile 
Deviation 
E (m)]]</f>
        <v>694037.91299999994</v>
      </c>
      <c r="W893" s="7">
        <v>-0.15</v>
      </c>
      <c r="X893" s="2" t="s">
        <v>42</v>
      </c>
      <c r="AA893" s="9">
        <v>46220</v>
      </c>
    </row>
    <row r="894" spans="1:27" hidden="1" x14ac:dyDescent="0.65">
      <c r="A894">
        <v>892</v>
      </c>
      <c r="B894" t="s">
        <v>29</v>
      </c>
      <c r="C894" s="6">
        <v>1511732.017</v>
      </c>
      <c r="D894" s="6">
        <v>694035.66200000001</v>
      </c>
      <c r="E894" s="2" t="s">
        <v>41</v>
      </c>
      <c r="F894" s="1">
        <v>26</v>
      </c>
      <c r="G894" s="2" t="s">
        <v>48</v>
      </c>
      <c r="J894"/>
      <c r="K894" s="19"/>
      <c r="L894" s="21"/>
      <c r="M894" s="27"/>
      <c r="N894" s="19"/>
      <c r="O894" s="21"/>
      <c r="P894" s="7">
        <v>0.35</v>
      </c>
      <c r="Q894" s="7">
        <f>Table2[[#This Row],[Elevation
PILE TOP]]-Table2[[#This Row],[LENGTH(m.)
(Actual)]]</f>
        <v>0.35</v>
      </c>
      <c r="R894" s="2"/>
      <c r="S894" s="7">
        <f>Table2[[#This Row],[N]]+Table2[[#This Row],[Pile 
Deviation 
N (m)]]</f>
        <v>1511732.017</v>
      </c>
      <c r="T894" s="7">
        <f>Table2[[#This Row],[E]]+Table2[[#This Row],[Pile 
Deviation 
E (m)]]</f>
        <v>694035.66200000001</v>
      </c>
      <c r="W894" s="7">
        <v>-0.15</v>
      </c>
      <c r="X894" s="2" t="s">
        <v>42</v>
      </c>
      <c r="AA894" s="9">
        <v>46219</v>
      </c>
    </row>
    <row r="895" spans="1:27" ht="13.95" hidden="1" customHeight="1" x14ac:dyDescent="0.65">
      <c r="A895">
        <v>893</v>
      </c>
      <c r="B895" t="s">
        <v>29</v>
      </c>
      <c r="C895" s="6">
        <v>1511733.287</v>
      </c>
      <c r="D895" s="6">
        <v>694033.74899999995</v>
      </c>
      <c r="E895" s="2" t="s">
        <v>41</v>
      </c>
      <c r="F895" s="1">
        <v>26</v>
      </c>
      <c r="G895" s="2" t="s">
        <v>48</v>
      </c>
      <c r="J895"/>
      <c r="K895" s="19"/>
      <c r="L895" s="21"/>
      <c r="M895" s="27"/>
      <c r="N895" s="19"/>
      <c r="O895" s="21"/>
      <c r="P895" s="7">
        <v>0.35</v>
      </c>
      <c r="Q895" s="7">
        <f>Table2[[#This Row],[Elevation
PILE TOP]]-Table2[[#This Row],[LENGTH(m.)
(Actual)]]</f>
        <v>0.35</v>
      </c>
      <c r="R895" s="2"/>
      <c r="S895" s="7">
        <f>Table2[[#This Row],[N]]+Table2[[#This Row],[Pile 
Deviation 
N (m)]]</f>
        <v>1511733.287</v>
      </c>
      <c r="T895" s="7">
        <f>Table2[[#This Row],[E]]+Table2[[#This Row],[Pile 
Deviation 
E (m)]]</f>
        <v>694033.74899999995</v>
      </c>
      <c r="W895" s="7">
        <v>-0.15</v>
      </c>
      <c r="X895" s="2" t="s">
        <v>42</v>
      </c>
      <c r="AA895" s="9">
        <v>46219</v>
      </c>
    </row>
    <row r="896" spans="1:27" hidden="1" x14ac:dyDescent="0.65">
      <c r="A896">
        <v>894</v>
      </c>
      <c r="B896" t="s">
        <v>29</v>
      </c>
      <c r="C896" s="6">
        <v>1511734.9380000001</v>
      </c>
      <c r="D896" s="6">
        <v>694036.13899999997</v>
      </c>
      <c r="E896" s="2" t="s">
        <v>35</v>
      </c>
      <c r="F896" s="1">
        <v>24</v>
      </c>
      <c r="G896" s="2" t="s">
        <v>48</v>
      </c>
      <c r="J896"/>
      <c r="K896" s="19"/>
      <c r="L896" s="21"/>
      <c r="M896" s="27"/>
      <c r="N896" s="19"/>
      <c r="O896" s="21"/>
      <c r="P896" s="7">
        <v>0.28999999999999998</v>
      </c>
      <c r="Q896" s="7">
        <f>Table2[[#This Row],[Elevation
PILE TOP]]-Table2[[#This Row],[LENGTH(m.)
(Actual)]]</f>
        <v>0.28999999999999998</v>
      </c>
      <c r="R896" s="2"/>
      <c r="S896" s="7">
        <f>Table2[[#This Row],[N]]+Table2[[#This Row],[Pile 
Deviation 
N (m)]]</f>
        <v>1511734.9380000001</v>
      </c>
      <c r="T896" s="7">
        <f>Table2[[#This Row],[E]]+Table2[[#This Row],[Pile 
Deviation 
E (m)]]</f>
        <v>694036.13899999997</v>
      </c>
      <c r="W896" s="7">
        <v>0.28999999999999998</v>
      </c>
      <c r="X896" s="2" t="s">
        <v>40</v>
      </c>
      <c r="AA896" s="9">
        <v>46220</v>
      </c>
    </row>
    <row r="897" spans="1:27" ht="13.95" hidden="1" customHeight="1" x14ac:dyDescent="0.65">
      <c r="A897">
        <v>895</v>
      </c>
      <c r="B897" t="s">
        <v>29</v>
      </c>
      <c r="C897" s="6">
        <v>1511735.612</v>
      </c>
      <c r="D897" s="6">
        <v>694039.47100000002</v>
      </c>
      <c r="E897" s="2" t="s">
        <v>35</v>
      </c>
      <c r="F897" s="1">
        <v>24</v>
      </c>
      <c r="G897" s="2" t="s">
        <v>48</v>
      </c>
      <c r="J897"/>
      <c r="K897" s="19"/>
      <c r="L897" s="21"/>
      <c r="M897" s="27"/>
      <c r="N897" s="19"/>
      <c r="O897" s="21"/>
      <c r="P897" s="7">
        <v>0.28999999999999998</v>
      </c>
      <c r="Q897" s="7">
        <f>Table2[[#This Row],[Elevation
PILE TOP]]-Table2[[#This Row],[LENGTH(m.)
(Actual)]]</f>
        <v>0.28999999999999998</v>
      </c>
      <c r="R897" s="2"/>
      <c r="S897" s="7">
        <f>Table2[[#This Row],[N]]+Table2[[#This Row],[Pile 
Deviation 
N (m)]]</f>
        <v>1511735.612</v>
      </c>
      <c r="T897" s="7">
        <f>Table2[[#This Row],[E]]+Table2[[#This Row],[Pile 
Deviation 
E (m)]]</f>
        <v>694039.47100000002</v>
      </c>
      <c r="W897" s="7">
        <v>0.28999999999999998</v>
      </c>
      <c r="X897" s="2" t="s">
        <v>40</v>
      </c>
      <c r="AA897" s="9">
        <v>46220</v>
      </c>
    </row>
    <row r="898" spans="1:27" hidden="1" x14ac:dyDescent="0.65">
      <c r="A898">
        <v>896</v>
      </c>
      <c r="B898" t="s">
        <v>29</v>
      </c>
      <c r="C898" s="6">
        <v>1511736.8840000001</v>
      </c>
      <c r="D898" s="6">
        <v>694039.95900000003</v>
      </c>
      <c r="E898" s="2" t="s">
        <v>41</v>
      </c>
      <c r="F898" s="1">
        <v>26</v>
      </c>
      <c r="G898" s="2" t="s">
        <v>48</v>
      </c>
      <c r="J898"/>
      <c r="K898" s="19"/>
      <c r="L898" s="21"/>
      <c r="M898" s="27"/>
      <c r="N898" s="19"/>
      <c r="O898" s="21"/>
      <c r="P898" s="7">
        <v>0.35</v>
      </c>
      <c r="Q898" s="7">
        <f>Table2[[#This Row],[Elevation
PILE TOP]]-Table2[[#This Row],[LENGTH(m.)
(Actual)]]</f>
        <v>0.35</v>
      </c>
      <c r="R898" s="2"/>
      <c r="S898" s="7">
        <f>Table2[[#This Row],[N]]+Table2[[#This Row],[Pile 
Deviation 
N (m)]]</f>
        <v>1511736.8840000001</v>
      </c>
      <c r="T898" s="7">
        <f>Table2[[#This Row],[E]]+Table2[[#This Row],[Pile 
Deviation 
E (m)]]</f>
        <v>694039.95900000003</v>
      </c>
      <c r="W898" s="7">
        <v>-0.15</v>
      </c>
      <c r="X898" s="2" t="s">
        <v>42</v>
      </c>
      <c r="AA898" s="9">
        <v>46221</v>
      </c>
    </row>
    <row r="899" spans="1:27" ht="13.95" hidden="1" customHeight="1" x14ac:dyDescent="0.65">
      <c r="A899">
        <v>897</v>
      </c>
      <c r="B899" t="s">
        <v>29</v>
      </c>
      <c r="C899" s="6">
        <v>1511738.797</v>
      </c>
      <c r="D899" s="6">
        <v>694041.22900000005</v>
      </c>
      <c r="E899" s="2" t="s">
        <v>41</v>
      </c>
      <c r="F899" s="1">
        <v>26</v>
      </c>
      <c r="G899" s="2" t="s">
        <v>48</v>
      </c>
      <c r="J899"/>
      <c r="K899" s="19"/>
      <c r="L899" s="21"/>
      <c r="M899" s="27"/>
      <c r="N899" s="19"/>
      <c r="O899" s="21"/>
      <c r="P899" s="7">
        <v>0.35</v>
      </c>
      <c r="Q899" s="7">
        <f>Table2[[#This Row],[Elevation
PILE TOP]]-Table2[[#This Row],[LENGTH(m.)
(Actual)]]</f>
        <v>0.35</v>
      </c>
      <c r="R899" s="2"/>
      <c r="S899" s="7">
        <f>Table2[[#This Row],[N]]+Table2[[#This Row],[Pile 
Deviation 
N (m)]]</f>
        <v>1511738.797</v>
      </c>
      <c r="T899" s="7">
        <f>Table2[[#This Row],[E]]+Table2[[#This Row],[Pile 
Deviation 
E (m)]]</f>
        <v>694041.22900000005</v>
      </c>
      <c r="W899" s="7">
        <v>-0.15</v>
      </c>
      <c r="X899" s="2" t="s">
        <v>42</v>
      </c>
      <c r="AA899" s="9">
        <v>46221</v>
      </c>
    </row>
    <row r="900" spans="1:27" hidden="1" x14ac:dyDescent="0.65">
      <c r="A900">
        <v>898</v>
      </c>
      <c r="B900" t="s">
        <v>29</v>
      </c>
      <c r="C900" s="6">
        <v>1511739.2509999999</v>
      </c>
      <c r="D900" s="6">
        <v>694043.48</v>
      </c>
      <c r="E900" s="2" t="s">
        <v>41</v>
      </c>
      <c r="F900" s="1">
        <v>26</v>
      </c>
      <c r="G900" s="2" t="s">
        <v>48</v>
      </c>
      <c r="J900"/>
      <c r="K900" s="19"/>
      <c r="L900" s="21"/>
      <c r="M900" s="27"/>
      <c r="N900" s="19"/>
      <c r="O900" s="21"/>
      <c r="P900" s="7">
        <v>0.35</v>
      </c>
      <c r="Q900" s="7">
        <f>Table2[[#This Row],[Elevation
PILE TOP]]-Table2[[#This Row],[LENGTH(m.)
(Actual)]]</f>
        <v>0.35</v>
      </c>
      <c r="R900" s="2"/>
      <c r="S900" s="7">
        <f>Table2[[#This Row],[N]]+Table2[[#This Row],[Pile 
Deviation 
N (m)]]</f>
        <v>1511739.2509999999</v>
      </c>
      <c r="T900" s="7">
        <f>Table2[[#This Row],[E]]+Table2[[#This Row],[Pile 
Deviation 
E (m)]]</f>
        <v>694043.48</v>
      </c>
      <c r="W900" s="7">
        <v>-0.15</v>
      </c>
      <c r="X900" s="2" t="s">
        <v>42</v>
      </c>
      <c r="AA900" s="9">
        <v>46223</v>
      </c>
    </row>
    <row r="901" spans="1:27" ht="13.95" hidden="1" customHeight="1" x14ac:dyDescent="0.65">
      <c r="A901">
        <v>899</v>
      </c>
      <c r="B901" t="s">
        <v>29</v>
      </c>
      <c r="C901" s="6">
        <v>1511737.9809999999</v>
      </c>
      <c r="D901" s="6">
        <v>694045.39300000004</v>
      </c>
      <c r="E901" s="2" t="s">
        <v>41</v>
      </c>
      <c r="F901" s="1">
        <v>26</v>
      </c>
      <c r="G901" s="2" t="s">
        <v>48</v>
      </c>
      <c r="J901"/>
      <c r="K901" s="19"/>
      <c r="L901" s="21"/>
      <c r="M901" s="27"/>
      <c r="N901" s="19"/>
      <c r="O901" s="21"/>
      <c r="P901" s="7">
        <v>0.35</v>
      </c>
      <c r="Q901" s="7">
        <f>Table2[[#This Row],[Elevation
PILE TOP]]-Table2[[#This Row],[LENGTH(m.)
(Actual)]]</f>
        <v>0.35</v>
      </c>
      <c r="R901" s="2"/>
      <c r="S901" s="7">
        <f>Table2[[#This Row],[N]]+Table2[[#This Row],[Pile 
Deviation 
N (m)]]</f>
        <v>1511737.9809999999</v>
      </c>
      <c r="T901" s="7">
        <f>Table2[[#This Row],[E]]+Table2[[#This Row],[Pile 
Deviation 
E (m)]]</f>
        <v>694045.39300000004</v>
      </c>
      <c r="W901" s="7">
        <v>-0.15</v>
      </c>
      <c r="X901" s="2" t="s">
        <v>42</v>
      </c>
      <c r="AA901" s="9">
        <v>46223</v>
      </c>
    </row>
    <row r="902" spans="1:27" hidden="1" x14ac:dyDescent="0.65">
      <c r="A902">
        <v>900</v>
      </c>
      <c r="B902" t="s">
        <v>29</v>
      </c>
      <c r="C902" s="6">
        <v>1511735.7309999999</v>
      </c>
      <c r="D902" s="6">
        <v>694045.84699999995</v>
      </c>
      <c r="E902" s="2" t="s">
        <v>41</v>
      </c>
      <c r="F902" s="1">
        <v>26</v>
      </c>
      <c r="G902" s="2" t="s">
        <v>48</v>
      </c>
      <c r="J902"/>
      <c r="K902" s="19"/>
      <c r="L902" s="21"/>
      <c r="M902" s="27"/>
      <c r="N902" s="19"/>
      <c r="O902" s="21"/>
      <c r="P902" s="7">
        <v>0.35</v>
      </c>
      <c r="Q902" s="7">
        <f>Table2[[#This Row],[Elevation
PILE TOP]]-Table2[[#This Row],[LENGTH(m.)
(Actual)]]</f>
        <v>0.35</v>
      </c>
      <c r="R902" s="2"/>
      <c r="S902" s="7">
        <f>Table2[[#This Row],[N]]+Table2[[#This Row],[Pile 
Deviation 
N (m)]]</f>
        <v>1511735.7309999999</v>
      </c>
      <c r="T902" s="7">
        <f>Table2[[#This Row],[E]]+Table2[[#This Row],[Pile 
Deviation 
E (m)]]</f>
        <v>694045.84699999995</v>
      </c>
      <c r="W902" s="7">
        <v>-0.15</v>
      </c>
      <c r="X902" s="2" t="s">
        <v>42</v>
      </c>
      <c r="AA902" s="9">
        <v>46223</v>
      </c>
    </row>
    <row r="903" spans="1:27" ht="13.95" hidden="1" customHeight="1" x14ac:dyDescent="0.65">
      <c r="A903">
        <v>901</v>
      </c>
      <c r="B903" t="s">
        <v>29</v>
      </c>
      <c r="C903" s="6">
        <v>1511733.818</v>
      </c>
      <c r="D903" s="6">
        <v>694044.57700000005</v>
      </c>
      <c r="E903" s="2" t="s">
        <v>41</v>
      </c>
      <c r="F903" s="1">
        <v>26</v>
      </c>
      <c r="G903" s="2" t="s">
        <v>48</v>
      </c>
      <c r="J903"/>
      <c r="K903" s="19"/>
      <c r="L903" s="21"/>
      <c r="M903" s="27"/>
      <c r="N903" s="19"/>
      <c r="O903" s="21"/>
      <c r="P903" s="7">
        <v>0.35</v>
      </c>
      <c r="Q903" s="7">
        <f>Table2[[#This Row],[Elevation
PILE TOP]]-Table2[[#This Row],[LENGTH(m.)
(Actual)]]</f>
        <v>0.35</v>
      </c>
      <c r="R903" s="2"/>
      <c r="S903" s="7">
        <f>Table2[[#This Row],[N]]+Table2[[#This Row],[Pile 
Deviation 
N (m)]]</f>
        <v>1511733.818</v>
      </c>
      <c r="T903" s="7">
        <f>Table2[[#This Row],[E]]+Table2[[#This Row],[Pile 
Deviation 
E (m)]]</f>
        <v>694044.57700000005</v>
      </c>
      <c r="W903" s="7">
        <v>-0.15</v>
      </c>
      <c r="X903" s="2" t="s">
        <v>42</v>
      </c>
      <c r="AA903" s="9">
        <v>46223</v>
      </c>
    </row>
    <row r="904" spans="1:27" hidden="1" x14ac:dyDescent="0.65">
      <c r="A904">
        <v>902</v>
      </c>
      <c r="B904" t="s">
        <v>29</v>
      </c>
      <c r="C904" s="6">
        <v>1511733.3629999999</v>
      </c>
      <c r="D904" s="6">
        <v>694042.326</v>
      </c>
      <c r="E904" s="2" t="s">
        <v>41</v>
      </c>
      <c r="F904" s="1">
        <v>26</v>
      </c>
      <c r="G904" s="2" t="s">
        <v>48</v>
      </c>
      <c r="J904"/>
      <c r="K904" s="19"/>
      <c r="L904" s="21"/>
      <c r="M904" s="27"/>
      <c r="N904" s="19"/>
      <c r="O904" s="21"/>
      <c r="P904" s="7">
        <v>0.35</v>
      </c>
      <c r="Q904" s="7">
        <f>Table2[[#This Row],[Elevation
PILE TOP]]-Table2[[#This Row],[LENGTH(m.)
(Actual)]]</f>
        <v>0.35</v>
      </c>
      <c r="R904" s="2"/>
      <c r="S904" s="7">
        <f>Table2[[#This Row],[N]]+Table2[[#This Row],[Pile 
Deviation 
N (m)]]</f>
        <v>1511733.3629999999</v>
      </c>
      <c r="T904" s="7">
        <f>Table2[[#This Row],[E]]+Table2[[#This Row],[Pile 
Deviation 
E (m)]]</f>
        <v>694042.326</v>
      </c>
      <c r="W904" s="7">
        <v>-0.15</v>
      </c>
      <c r="X904" s="2" t="s">
        <v>42</v>
      </c>
      <c r="AA904" s="9">
        <v>46221</v>
      </c>
    </row>
    <row r="905" spans="1:27" ht="13.95" hidden="1" customHeight="1" x14ac:dyDescent="0.65">
      <c r="A905">
        <v>903</v>
      </c>
      <c r="B905" t="s">
        <v>29</v>
      </c>
      <c r="C905" s="6">
        <v>1511734.6329999999</v>
      </c>
      <c r="D905" s="6">
        <v>694040.41399999999</v>
      </c>
      <c r="E905" s="2" t="s">
        <v>41</v>
      </c>
      <c r="F905" s="1">
        <v>26</v>
      </c>
      <c r="G905" s="2" t="s">
        <v>48</v>
      </c>
      <c r="J905"/>
      <c r="K905" s="19"/>
      <c r="L905" s="21"/>
      <c r="M905" s="27"/>
      <c r="N905" s="19"/>
      <c r="O905" s="21"/>
      <c r="P905" s="7">
        <v>0.35</v>
      </c>
      <c r="Q905" s="7">
        <f>Table2[[#This Row],[Elevation
PILE TOP]]-Table2[[#This Row],[LENGTH(m.)
(Actual)]]</f>
        <v>0.35</v>
      </c>
      <c r="R905" s="2"/>
      <c r="S905" s="7">
        <f>Table2[[#This Row],[N]]+Table2[[#This Row],[Pile 
Deviation 
N (m)]]</f>
        <v>1511734.6329999999</v>
      </c>
      <c r="T905" s="7">
        <f>Table2[[#This Row],[E]]+Table2[[#This Row],[Pile 
Deviation 
E (m)]]</f>
        <v>694040.41399999999</v>
      </c>
      <c r="W905" s="7">
        <v>-0.15</v>
      </c>
      <c r="X905" s="2" t="s">
        <v>42</v>
      </c>
      <c r="AA905" s="9">
        <v>46221</v>
      </c>
    </row>
    <row r="906" spans="1:27" hidden="1" x14ac:dyDescent="0.65">
      <c r="A906">
        <v>904</v>
      </c>
      <c r="B906" t="s">
        <v>29</v>
      </c>
      <c r="C906" s="6">
        <v>1511736.2849999999</v>
      </c>
      <c r="D906" s="6">
        <v>694042.804</v>
      </c>
      <c r="E906" s="2" t="s">
        <v>35</v>
      </c>
      <c r="F906" s="1">
        <v>24</v>
      </c>
      <c r="G906" s="2" t="s">
        <v>48</v>
      </c>
      <c r="J906"/>
      <c r="K906" s="19"/>
      <c r="L906" s="21"/>
      <c r="M906" s="27"/>
      <c r="N906" s="19"/>
      <c r="O906" s="21"/>
      <c r="P906" s="7">
        <v>0.28999999999999998</v>
      </c>
      <c r="Q906" s="7">
        <f>Table2[[#This Row],[Elevation
PILE TOP]]-Table2[[#This Row],[LENGTH(m.)
(Actual)]]</f>
        <v>0.28999999999999998</v>
      </c>
      <c r="R906" s="2"/>
      <c r="S906" s="7">
        <f>Table2[[#This Row],[N]]+Table2[[#This Row],[Pile 
Deviation 
N (m)]]</f>
        <v>1511736.2849999999</v>
      </c>
      <c r="T906" s="7">
        <f>Table2[[#This Row],[E]]+Table2[[#This Row],[Pile 
Deviation 
E (m)]]</f>
        <v>694042.804</v>
      </c>
      <c r="W906" s="7">
        <v>0.28999999999999998</v>
      </c>
      <c r="X906" s="2" t="s">
        <v>40</v>
      </c>
      <c r="AA906" s="9">
        <v>46221</v>
      </c>
    </row>
    <row r="907" spans="1:27" ht="13.95" hidden="1" customHeight="1" x14ac:dyDescent="0.65">
      <c r="A907">
        <v>905</v>
      </c>
      <c r="B907" t="s">
        <v>29</v>
      </c>
      <c r="C907" s="6">
        <v>1511736.878</v>
      </c>
      <c r="D907" s="6">
        <v>694045.745</v>
      </c>
      <c r="E907" s="2" t="s">
        <v>35</v>
      </c>
      <c r="F907" s="1">
        <v>24</v>
      </c>
      <c r="G907" s="2" t="s">
        <v>48</v>
      </c>
      <c r="J907"/>
      <c r="K907" s="19"/>
      <c r="L907" s="21"/>
      <c r="M907" s="27"/>
      <c r="N907" s="19"/>
      <c r="O907" s="21"/>
      <c r="P907" s="7">
        <v>0.28999999999999998</v>
      </c>
      <c r="Q907" s="7">
        <f>Table2[[#This Row],[Elevation
PILE TOP]]-Table2[[#This Row],[LENGTH(m.)
(Actual)]]</f>
        <v>0.28999999999999998</v>
      </c>
      <c r="R907" s="2"/>
      <c r="S907" s="7">
        <f>Table2[[#This Row],[N]]+Table2[[#This Row],[Pile 
Deviation 
N (m)]]</f>
        <v>1511736.878</v>
      </c>
      <c r="T907" s="7">
        <f>Table2[[#This Row],[E]]+Table2[[#This Row],[Pile 
Deviation 
E (m)]]</f>
        <v>694045.745</v>
      </c>
      <c r="W907" s="7">
        <v>0.28999999999999998</v>
      </c>
      <c r="X907" s="2" t="s">
        <v>40</v>
      </c>
      <c r="AA907" s="9">
        <v>46223</v>
      </c>
    </row>
    <row r="908" spans="1:27" x14ac:dyDescent="0.65">
      <c r="A908">
        <v>906</v>
      </c>
      <c r="B908" t="s">
        <v>29</v>
      </c>
      <c r="C908" s="6">
        <v>1511738.358</v>
      </c>
      <c r="D908" s="6">
        <v>694046.98</v>
      </c>
      <c r="E908" s="2" t="s">
        <v>30</v>
      </c>
      <c r="F908" s="1">
        <v>24</v>
      </c>
      <c r="G908" s="2" t="s">
        <v>48</v>
      </c>
      <c r="J908"/>
      <c r="K908" s="19"/>
      <c r="L908" s="21"/>
      <c r="M908" s="27"/>
      <c r="N908" s="19"/>
      <c r="O908" s="21"/>
      <c r="P908" s="7">
        <v>-0.17499999999999999</v>
      </c>
      <c r="Q908" s="7">
        <f>Table2[[#This Row],[Elevation
PILE TOP]]-Table2[[#This Row],[LENGTH(m.)
(Actual)]]</f>
        <v>-0.17499999999999999</v>
      </c>
      <c r="R908" s="2"/>
      <c r="S908" s="7">
        <f>Table2[[#This Row],[N]]+Table2[[#This Row],[Pile 
Deviation 
N (m)]]</f>
        <v>1511738.358</v>
      </c>
      <c r="T908" s="7">
        <f>Table2[[#This Row],[E]]+Table2[[#This Row],[Pile 
Deviation 
E (m)]]</f>
        <v>694046.98</v>
      </c>
      <c r="W908" s="7">
        <v>-0.67500000000000004</v>
      </c>
      <c r="X908" s="2" t="s">
        <v>33</v>
      </c>
      <c r="AA908" s="9">
        <v>46202</v>
      </c>
    </row>
    <row r="909" spans="1:27" ht="13.95" customHeight="1" x14ac:dyDescent="0.65">
      <c r="A909">
        <v>907</v>
      </c>
      <c r="B909" t="s">
        <v>29</v>
      </c>
      <c r="C909" s="6">
        <v>1511738.5360000001</v>
      </c>
      <c r="D909" s="6">
        <v>694047.86300000001</v>
      </c>
      <c r="E909" s="2" t="s">
        <v>30</v>
      </c>
      <c r="F909" s="1">
        <v>24</v>
      </c>
      <c r="G909" s="2" t="s">
        <v>48</v>
      </c>
      <c r="J909"/>
      <c r="K909" s="19"/>
      <c r="L909" s="21"/>
      <c r="M909" s="27"/>
      <c r="N909" s="19"/>
      <c r="O909" s="21"/>
      <c r="P909" s="7">
        <v>-0.17499999999999999</v>
      </c>
      <c r="Q909" s="7">
        <f>Table2[[#This Row],[Elevation
PILE TOP]]-Table2[[#This Row],[LENGTH(m.)
(Actual)]]</f>
        <v>-0.17499999999999999</v>
      </c>
      <c r="R909" s="2"/>
      <c r="S909" s="7">
        <f>Table2[[#This Row],[N]]+Table2[[#This Row],[Pile 
Deviation 
N (m)]]</f>
        <v>1511738.5360000001</v>
      </c>
      <c r="T909" s="7">
        <f>Table2[[#This Row],[E]]+Table2[[#This Row],[Pile 
Deviation 
E (m)]]</f>
        <v>694047.86300000001</v>
      </c>
      <c r="W909" s="7">
        <v>-0.67500000000000004</v>
      </c>
      <c r="X909" s="2" t="s">
        <v>33</v>
      </c>
      <c r="AA909" s="9">
        <v>46202</v>
      </c>
    </row>
    <row r="910" spans="1:27" x14ac:dyDescent="0.65">
      <c r="A910">
        <v>908</v>
      </c>
      <c r="B910" t="s">
        <v>29</v>
      </c>
      <c r="C910" s="6">
        <v>1511737.574</v>
      </c>
      <c r="D910" s="6">
        <v>694047.13899999997</v>
      </c>
      <c r="E910" s="2" t="s">
        <v>30</v>
      </c>
      <c r="F910" s="1">
        <v>24</v>
      </c>
      <c r="G910" s="2" t="s">
        <v>48</v>
      </c>
      <c r="J910"/>
      <c r="K910" s="19"/>
      <c r="L910" s="21"/>
      <c r="M910" s="27"/>
      <c r="N910" s="19"/>
      <c r="O910" s="21"/>
      <c r="P910" s="7">
        <v>-0.17499999999999999</v>
      </c>
      <c r="Q910" s="7">
        <f>Table2[[#This Row],[Elevation
PILE TOP]]-Table2[[#This Row],[LENGTH(m.)
(Actual)]]</f>
        <v>-0.17499999999999999</v>
      </c>
      <c r="R910" s="2"/>
      <c r="S910" s="7">
        <f>Table2[[#This Row],[N]]+Table2[[#This Row],[Pile 
Deviation 
N (m)]]</f>
        <v>1511737.574</v>
      </c>
      <c r="T910" s="7">
        <f>Table2[[#This Row],[E]]+Table2[[#This Row],[Pile 
Deviation 
E (m)]]</f>
        <v>694047.13899999997</v>
      </c>
      <c r="W910" s="7">
        <v>-0.67500000000000004</v>
      </c>
      <c r="X910" s="2" t="s">
        <v>33</v>
      </c>
      <c r="AA910" s="9">
        <v>46202</v>
      </c>
    </row>
    <row r="911" spans="1:27" ht="13.95" customHeight="1" x14ac:dyDescent="0.65">
      <c r="A911">
        <v>909</v>
      </c>
      <c r="B911" t="s">
        <v>29</v>
      </c>
      <c r="C911" s="6">
        <v>1511737.7520000001</v>
      </c>
      <c r="D911" s="6">
        <v>694048.02099999995</v>
      </c>
      <c r="E911" s="2" t="s">
        <v>30</v>
      </c>
      <c r="F911" s="1">
        <v>24</v>
      </c>
      <c r="G911" s="2" t="s">
        <v>48</v>
      </c>
      <c r="J911"/>
      <c r="K911" s="19"/>
      <c r="L911" s="21"/>
      <c r="M911" s="27"/>
      <c r="N911" s="19"/>
      <c r="O911" s="21"/>
      <c r="P911" s="7">
        <v>-0.17499999999999999</v>
      </c>
      <c r="Q911" s="7">
        <f>Table2[[#This Row],[Elevation
PILE TOP]]-Table2[[#This Row],[LENGTH(m.)
(Actual)]]</f>
        <v>-0.17499999999999999</v>
      </c>
      <c r="R911" s="2"/>
      <c r="S911" s="7">
        <f>Table2[[#This Row],[N]]+Table2[[#This Row],[Pile 
Deviation 
N (m)]]</f>
        <v>1511737.7520000001</v>
      </c>
      <c r="T911" s="7">
        <f>Table2[[#This Row],[E]]+Table2[[#This Row],[Pile 
Deviation 
E (m)]]</f>
        <v>694048.02099999995</v>
      </c>
      <c r="W911" s="7">
        <v>-0.67500000000000004</v>
      </c>
      <c r="X911" s="2" t="s">
        <v>33</v>
      </c>
      <c r="AA911" s="9">
        <v>46202</v>
      </c>
    </row>
    <row r="912" spans="1:27" hidden="1" x14ac:dyDescent="0.65">
      <c r="A912">
        <v>910</v>
      </c>
      <c r="B912" t="s">
        <v>29</v>
      </c>
      <c r="C912" s="6">
        <v>1511726.5379999999</v>
      </c>
      <c r="D912" s="6">
        <v>694011.71799999999</v>
      </c>
      <c r="E912" s="2" t="s">
        <v>35</v>
      </c>
      <c r="F912" s="1">
        <v>24</v>
      </c>
      <c r="G912" s="2" t="s">
        <v>48</v>
      </c>
      <c r="J912"/>
      <c r="K912" s="19"/>
      <c r="L912" s="21"/>
      <c r="M912" s="27"/>
      <c r="N912" s="19"/>
      <c r="O912" s="21"/>
      <c r="P912" s="7">
        <v>0.28999999999999998</v>
      </c>
      <c r="Q912" s="7">
        <f>Table2[[#This Row],[Elevation
PILE TOP]]-Table2[[#This Row],[LENGTH(m.)
(Actual)]]</f>
        <v>0.28999999999999998</v>
      </c>
      <c r="R912" s="2"/>
      <c r="S912" s="7">
        <f>Table2[[#This Row],[N]]+Table2[[#This Row],[Pile 
Deviation 
N (m)]]</f>
        <v>1511726.5379999999</v>
      </c>
      <c r="T912" s="7">
        <f>Table2[[#This Row],[E]]+Table2[[#This Row],[Pile 
Deviation 
E (m)]]</f>
        <v>694011.71799999999</v>
      </c>
      <c r="W912" s="7">
        <v>0.28999999999999998</v>
      </c>
      <c r="X912" s="2" t="s">
        <v>40</v>
      </c>
      <c r="AA912" s="9">
        <v>46228</v>
      </c>
    </row>
    <row r="913" spans="1:27" ht="13.95" hidden="1" customHeight="1" x14ac:dyDescent="0.65">
      <c r="A913">
        <v>911</v>
      </c>
      <c r="B913" t="s">
        <v>29</v>
      </c>
      <c r="C913" s="6">
        <v>1511727.132</v>
      </c>
      <c r="D913" s="6">
        <v>694014.65899999999</v>
      </c>
      <c r="E913" s="2" t="s">
        <v>35</v>
      </c>
      <c r="F913" s="1">
        <v>24</v>
      </c>
      <c r="G913" s="2" t="s">
        <v>48</v>
      </c>
      <c r="J913"/>
      <c r="K913" s="19"/>
      <c r="L913" s="21"/>
      <c r="M913" s="27"/>
      <c r="N913" s="19"/>
      <c r="O913" s="21"/>
      <c r="P913" s="7">
        <v>0.28999999999999998</v>
      </c>
      <c r="Q913" s="7">
        <f>Table2[[#This Row],[Elevation
PILE TOP]]-Table2[[#This Row],[LENGTH(m.)
(Actual)]]</f>
        <v>0.28999999999999998</v>
      </c>
      <c r="R913" s="2"/>
      <c r="S913" s="7">
        <f>Table2[[#This Row],[N]]+Table2[[#This Row],[Pile 
Deviation 
N (m)]]</f>
        <v>1511727.132</v>
      </c>
      <c r="T913" s="7">
        <f>Table2[[#This Row],[E]]+Table2[[#This Row],[Pile 
Deviation 
E (m)]]</f>
        <v>694014.65899999999</v>
      </c>
      <c r="W913" s="7">
        <v>0.28999999999999998</v>
      </c>
      <c r="X913" s="2" t="s">
        <v>40</v>
      </c>
      <c r="AA913" s="9">
        <v>46228</v>
      </c>
    </row>
    <row r="914" spans="1:27" hidden="1" x14ac:dyDescent="0.65">
      <c r="A914">
        <v>912</v>
      </c>
      <c r="B914" t="s">
        <v>29</v>
      </c>
      <c r="C914" s="6">
        <v>1511727.8049999999</v>
      </c>
      <c r="D914" s="6">
        <v>694017.99199999997</v>
      </c>
      <c r="E914" s="2" t="s">
        <v>35</v>
      </c>
      <c r="F914" s="1">
        <v>24</v>
      </c>
      <c r="G914" s="2" t="s">
        <v>48</v>
      </c>
      <c r="J914"/>
      <c r="K914" s="19"/>
      <c r="L914" s="21"/>
      <c r="M914" s="27"/>
      <c r="N914" s="19"/>
      <c r="O914" s="21"/>
      <c r="P914" s="7">
        <v>0.28999999999999998</v>
      </c>
      <c r="Q914" s="7">
        <f>Table2[[#This Row],[Elevation
PILE TOP]]-Table2[[#This Row],[LENGTH(m.)
(Actual)]]</f>
        <v>0.28999999999999998</v>
      </c>
      <c r="R914" s="2"/>
      <c r="S914" s="7">
        <f>Table2[[#This Row],[N]]+Table2[[#This Row],[Pile 
Deviation 
N (m)]]</f>
        <v>1511727.8049999999</v>
      </c>
      <c r="T914" s="7">
        <f>Table2[[#This Row],[E]]+Table2[[#This Row],[Pile 
Deviation 
E (m)]]</f>
        <v>694017.99199999997</v>
      </c>
      <c r="W914" s="7">
        <v>0.28999999999999998</v>
      </c>
      <c r="X914" s="2" t="s">
        <v>40</v>
      </c>
      <c r="AA914" s="9">
        <v>46227</v>
      </c>
    </row>
    <row r="915" spans="1:27" ht="13.95" hidden="1" customHeight="1" x14ac:dyDescent="0.65">
      <c r="A915">
        <v>913</v>
      </c>
      <c r="B915" t="s">
        <v>29</v>
      </c>
      <c r="C915" s="6">
        <v>1511728.4779999999</v>
      </c>
      <c r="D915" s="6">
        <v>694021.32400000002</v>
      </c>
      <c r="E915" s="2" t="s">
        <v>35</v>
      </c>
      <c r="F915" s="1">
        <v>24</v>
      </c>
      <c r="G915" s="2" t="s">
        <v>48</v>
      </c>
      <c r="J915"/>
      <c r="K915" s="19"/>
      <c r="L915" s="21"/>
      <c r="M915" s="27"/>
      <c r="N915" s="19"/>
      <c r="O915" s="21"/>
      <c r="P915" s="7">
        <v>0.28999999999999998</v>
      </c>
      <c r="Q915" s="7">
        <f>Table2[[#This Row],[Elevation
PILE TOP]]-Table2[[#This Row],[LENGTH(m.)
(Actual)]]</f>
        <v>0.28999999999999998</v>
      </c>
      <c r="R915" s="2"/>
      <c r="S915" s="7">
        <f>Table2[[#This Row],[N]]+Table2[[#This Row],[Pile 
Deviation 
N (m)]]</f>
        <v>1511728.4779999999</v>
      </c>
      <c r="T915" s="7">
        <f>Table2[[#This Row],[E]]+Table2[[#This Row],[Pile 
Deviation 
E (m)]]</f>
        <v>694021.32400000002</v>
      </c>
      <c r="W915" s="7">
        <v>0.28999999999999998</v>
      </c>
      <c r="X915" s="2" t="s">
        <v>40</v>
      </c>
      <c r="AA915" s="9">
        <v>46226</v>
      </c>
    </row>
    <row r="916" spans="1:27" hidden="1" x14ac:dyDescent="0.65">
      <c r="A916">
        <v>914</v>
      </c>
      <c r="B916" t="s">
        <v>29</v>
      </c>
      <c r="C916" s="6">
        <v>1511729.1510000001</v>
      </c>
      <c r="D916" s="6">
        <v>694024.65700000001</v>
      </c>
      <c r="E916" s="2" t="s">
        <v>35</v>
      </c>
      <c r="F916" s="1">
        <v>24</v>
      </c>
      <c r="G916" s="2" t="s">
        <v>48</v>
      </c>
      <c r="J916"/>
      <c r="K916" s="19"/>
      <c r="L916" s="21"/>
      <c r="M916" s="27"/>
      <c r="N916" s="19"/>
      <c r="O916" s="21"/>
      <c r="P916" s="7">
        <v>0.28999999999999998</v>
      </c>
      <c r="Q916" s="7">
        <f>Table2[[#This Row],[Elevation
PILE TOP]]-Table2[[#This Row],[LENGTH(m.)
(Actual)]]</f>
        <v>0.28999999999999998</v>
      </c>
      <c r="R916" s="2"/>
      <c r="S916" s="7">
        <f>Table2[[#This Row],[N]]+Table2[[#This Row],[Pile 
Deviation 
N (m)]]</f>
        <v>1511729.1510000001</v>
      </c>
      <c r="T916" s="7">
        <f>Table2[[#This Row],[E]]+Table2[[#This Row],[Pile 
Deviation 
E (m)]]</f>
        <v>694024.65700000001</v>
      </c>
      <c r="W916" s="7">
        <v>0.28999999999999998</v>
      </c>
      <c r="X916" s="2" t="s">
        <v>40</v>
      </c>
      <c r="AA916" s="9">
        <v>46225</v>
      </c>
    </row>
    <row r="917" spans="1:27" ht="13.95" hidden="1" customHeight="1" x14ac:dyDescent="0.65">
      <c r="A917">
        <v>915</v>
      </c>
      <c r="B917" t="s">
        <v>29</v>
      </c>
      <c r="C917" s="6">
        <v>1511729.824</v>
      </c>
      <c r="D917" s="6">
        <v>694027.99</v>
      </c>
      <c r="E917" s="2" t="s">
        <v>35</v>
      </c>
      <c r="F917" s="1">
        <v>24</v>
      </c>
      <c r="G917" s="2" t="s">
        <v>48</v>
      </c>
      <c r="J917"/>
      <c r="K917" s="19"/>
      <c r="L917" s="21"/>
      <c r="M917" s="27"/>
      <c r="N917" s="19"/>
      <c r="O917" s="21"/>
      <c r="P917" s="7">
        <v>0.28999999999999998</v>
      </c>
      <c r="Q917" s="7">
        <f>Table2[[#This Row],[Elevation
PILE TOP]]-Table2[[#This Row],[LENGTH(m.)
(Actual)]]</f>
        <v>0.28999999999999998</v>
      </c>
      <c r="R917" s="2"/>
      <c r="S917" s="7">
        <f>Table2[[#This Row],[N]]+Table2[[#This Row],[Pile 
Deviation 
N (m)]]</f>
        <v>1511729.824</v>
      </c>
      <c r="T917" s="7">
        <f>Table2[[#This Row],[E]]+Table2[[#This Row],[Pile 
Deviation 
E (m)]]</f>
        <v>694027.99</v>
      </c>
      <c r="W917" s="7">
        <v>0.28999999999999998</v>
      </c>
      <c r="X917" s="2" t="s">
        <v>40</v>
      </c>
      <c r="AA917" s="9">
        <v>46217</v>
      </c>
    </row>
    <row r="918" spans="1:27" hidden="1" x14ac:dyDescent="0.65">
      <c r="A918">
        <v>916</v>
      </c>
      <c r="B918" t="s">
        <v>29</v>
      </c>
      <c r="C918" s="6">
        <v>1511730.4180000001</v>
      </c>
      <c r="D918" s="6">
        <v>694030.93</v>
      </c>
      <c r="E918" s="2" t="s">
        <v>35</v>
      </c>
      <c r="F918" s="1">
        <v>24</v>
      </c>
      <c r="G918" s="2" t="s">
        <v>48</v>
      </c>
      <c r="J918"/>
      <c r="K918" s="19"/>
      <c r="L918" s="21"/>
      <c r="M918" s="27"/>
      <c r="N918" s="19"/>
      <c r="O918" s="21"/>
      <c r="P918" s="7">
        <v>0.28999999999999998</v>
      </c>
      <c r="Q918" s="7">
        <f>Table2[[#This Row],[Elevation
PILE TOP]]-Table2[[#This Row],[LENGTH(m.)
(Actual)]]</f>
        <v>0.28999999999999998</v>
      </c>
      <c r="R918" s="2"/>
      <c r="S918" s="7">
        <f>Table2[[#This Row],[N]]+Table2[[#This Row],[Pile 
Deviation 
N (m)]]</f>
        <v>1511730.4180000001</v>
      </c>
      <c r="T918" s="7">
        <f>Table2[[#This Row],[E]]+Table2[[#This Row],[Pile 
Deviation 
E (m)]]</f>
        <v>694030.93</v>
      </c>
      <c r="W918" s="7">
        <v>0.28999999999999998</v>
      </c>
      <c r="X918" s="2" t="s">
        <v>40</v>
      </c>
      <c r="AA918" s="9">
        <v>46218</v>
      </c>
    </row>
    <row r="919" spans="1:27" ht="13.95" hidden="1" customHeight="1" x14ac:dyDescent="0.65">
      <c r="A919">
        <v>917</v>
      </c>
      <c r="B919" t="s">
        <v>29</v>
      </c>
      <c r="C919" s="6">
        <v>1511731.0120000001</v>
      </c>
      <c r="D919" s="6">
        <v>694033.87100000004</v>
      </c>
      <c r="E919" s="2" t="s">
        <v>35</v>
      </c>
      <c r="F919" s="1">
        <v>24</v>
      </c>
      <c r="G919" s="2" t="s">
        <v>48</v>
      </c>
      <c r="J919"/>
      <c r="K919" s="19"/>
      <c r="L919" s="21"/>
      <c r="M919" s="27"/>
      <c r="N919" s="19"/>
      <c r="O919" s="21"/>
      <c r="P919" s="7">
        <v>0.28999999999999998</v>
      </c>
      <c r="Q919" s="7">
        <f>Table2[[#This Row],[Elevation
PILE TOP]]-Table2[[#This Row],[LENGTH(m.)
(Actual)]]</f>
        <v>0.28999999999999998</v>
      </c>
      <c r="R919" s="2"/>
      <c r="S919" s="7">
        <f>Table2[[#This Row],[N]]+Table2[[#This Row],[Pile 
Deviation 
N (m)]]</f>
        <v>1511731.0120000001</v>
      </c>
      <c r="T919" s="7">
        <f>Table2[[#This Row],[E]]+Table2[[#This Row],[Pile 
Deviation 
E (m)]]</f>
        <v>694033.87100000004</v>
      </c>
      <c r="W919" s="7">
        <v>0.28999999999999998</v>
      </c>
      <c r="X919" s="2" t="s">
        <v>40</v>
      </c>
      <c r="AA919" s="9">
        <v>46219</v>
      </c>
    </row>
    <row r="920" spans="1:27" hidden="1" x14ac:dyDescent="0.65">
      <c r="A920">
        <v>918</v>
      </c>
      <c r="B920" t="s">
        <v>29</v>
      </c>
      <c r="C920" s="6">
        <v>1511731.6059999999</v>
      </c>
      <c r="D920" s="6">
        <v>694036.81200000003</v>
      </c>
      <c r="E920" s="2" t="s">
        <v>35</v>
      </c>
      <c r="F920" s="1">
        <v>24</v>
      </c>
      <c r="G920" s="2" t="s">
        <v>48</v>
      </c>
      <c r="J920"/>
      <c r="K920" s="19"/>
      <c r="L920" s="21"/>
      <c r="M920" s="27"/>
      <c r="N920" s="19"/>
      <c r="O920" s="21"/>
      <c r="P920" s="7">
        <v>0.28999999999999998</v>
      </c>
      <c r="Q920" s="7">
        <f>Table2[[#This Row],[Elevation
PILE TOP]]-Table2[[#This Row],[LENGTH(m.)
(Actual)]]</f>
        <v>0.28999999999999998</v>
      </c>
      <c r="R920" s="2"/>
      <c r="S920" s="7">
        <f>Table2[[#This Row],[N]]+Table2[[#This Row],[Pile 
Deviation 
N (m)]]</f>
        <v>1511731.6059999999</v>
      </c>
      <c r="T920" s="7">
        <f>Table2[[#This Row],[E]]+Table2[[#This Row],[Pile 
Deviation 
E (m)]]</f>
        <v>694036.81200000003</v>
      </c>
      <c r="W920" s="7">
        <v>0.28999999999999998</v>
      </c>
      <c r="X920" s="2" t="s">
        <v>40</v>
      </c>
      <c r="AA920" s="9">
        <v>46220</v>
      </c>
    </row>
    <row r="921" spans="1:27" ht="13.95" hidden="1" customHeight="1" x14ac:dyDescent="0.65">
      <c r="A921">
        <v>919</v>
      </c>
      <c r="B921" t="s">
        <v>29</v>
      </c>
      <c r="C921" s="6">
        <v>1511732.2790000001</v>
      </c>
      <c r="D921" s="6">
        <v>694040.14399999997</v>
      </c>
      <c r="E921" s="2" t="s">
        <v>35</v>
      </c>
      <c r="F921" s="1">
        <v>24</v>
      </c>
      <c r="G921" s="2" t="s">
        <v>48</v>
      </c>
      <c r="J921"/>
      <c r="K921" s="19"/>
      <c r="L921" s="21"/>
      <c r="M921" s="27"/>
      <c r="N921" s="19"/>
      <c r="O921" s="21"/>
      <c r="P921" s="7">
        <v>0.28999999999999998</v>
      </c>
      <c r="Q921" s="7">
        <f>Table2[[#This Row],[Elevation
PILE TOP]]-Table2[[#This Row],[LENGTH(m.)
(Actual)]]</f>
        <v>0.28999999999999998</v>
      </c>
      <c r="R921" s="2"/>
      <c r="S921" s="7">
        <f>Table2[[#This Row],[N]]+Table2[[#This Row],[Pile 
Deviation 
N (m)]]</f>
        <v>1511732.2790000001</v>
      </c>
      <c r="T921" s="7">
        <f>Table2[[#This Row],[E]]+Table2[[#This Row],[Pile 
Deviation 
E (m)]]</f>
        <v>694040.14399999997</v>
      </c>
      <c r="W921" s="7">
        <v>0.28999999999999998</v>
      </c>
      <c r="X921" s="2" t="s">
        <v>40</v>
      </c>
      <c r="AA921" s="9">
        <v>46220</v>
      </c>
    </row>
    <row r="922" spans="1:27" hidden="1" x14ac:dyDescent="0.65">
      <c r="A922">
        <v>920</v>
      </c>
      <c r="B922" t="s">
        <v>29</v>
      </c>
      <c r="C922" s="6">
        <v>1511732.952</v>
      </c>
      <c r="D922" s="6">
        <v>694043.47699999996</v>
      </c>
      <c r="E922" s="2" t="s">
        <v>35</v>
      </c>
      <c r="F922" s="1">
        <v>24</v>
      </c>
      <c r="G922" s="2" t="s">
        <v>48</v>
      </c>
      <c r="J922"/>
      <c r="K922" s="19"/>
      <c r="L922" s="21"/>
      <c r="M922" s="27"/>
      <c r="N922" s="19"/>
      <c r="O922" s="21"/>
      <c r="P922" s="7">
        <v>0.28999999999999998</v>
      </c>
      <c r="Q922" s="7">
        <f>Table2[[#This Row],[Elevation
PILE TOP]]-Table2[[#This Row],[LENGTH(m.)
(Actual)]]</f>
        <v>0.28999999999999998</v>
      </c>
      <c r="R922" s="2"/>
      <c r="S922" s="7">
        <f>Table2[[#This Row],[N]]+Table2[[#This Row],[Pile 
Deviation 
N (m)]]</f>
        <v>1511732.952</v>
      </c>
      <c r="T922" s="7">
        <f>Table2[[#This Row],[E]]+Table2[[#This Row],[Pile 
Deviation 
E (m)]]</f>
        <v>694043.47699999996</v>
      </c>
      <c r="W922" s="7">
        <v>0.28999999999999998</v>
      </c>
      <c r="X922" s="2" t="s">
        <v>40</v>
      </c>
      <c r="AA922" s="9">
        <v>46221</v>
      </c>
    </row>
    <row r="923" spans="1:27" ht="13.95" hidden="1" customHeight="1" x14ac:dyDescent="0.65">
      <c r="A923">
        <v>921</v>
      </c>
      <c r="B923" t="s">
        <v>29</v>
      </c>
      <c r="C923" s="6">
        <v>1511733.5460000001</v>
      </c>
      <c r="D923" s="6">
        <v>694046.41799999995</v>
      </c>
      <c r="E923" s="2" t="s">
        <v>35</v>
      </c>
      <c r="F923" s="1">
        <v>24</v>
      </c>
      <c r="G923" s="2" t="s">
        <v>48</v>
      </c>
      <c r="J923"/>
      <c r="K923" s="19"/>
      <c r="L923" s="21"/>
      <c r="M923" s="27"/>
      <c r="N923" s="19"/>
      <c r="O923" s="21"/>
      <c r="P923" s="7">
        <v>0.28999999999999998</v>
      </c>
      <c r="Q923" s="7">
        <f>Table2[[#This Row],[Elevation
PILE TOP]]-Table2[[#This Row],[LENGTH(m.)
(Actual)]]</f>
        <v>0.28999999999999998</v>
      </c>
      <c r="R923" s="2"/>
      <c r="S923" s="7">
        <f>Table2[[#This Row],[N]]+Table2[[#This Row],[Pile 
Deviation 
N (m)]]</f>
        <v>1511733.5460000001</v>
      </c>
      <c r="T923" s="7">
        <f>Table2[[#This Row],[E]]+Table2[[#This Row],[Pile 
Deviation 
E (m)]]</f>
        <v>694046.41799999995</v>
      </c>
      <c r="W923" s="7">
        <v>0.28999999999999998</v>
      </c>
      <c r="X923" s="2" t="s">
        <v>40</v>
      </c>
      <c r="AA923" s="9">
        <v>46223</v>
      </c>
    </row>
    <row r="924" spans="1:27" hidden="1" x14ac:dyDescent="0.65">
      <c r="A924">
        <v>922</v>
      </c>
      <c r="B924" t="s">
        <v>29</v>
      </c>
      <c r="C924" s="6">
        <v>1511724.6969999999</v>
      </c>
      <c r="D924" s="6">
        <v>694009.64599999995</v>
      </c>
      <c r="E924" s="2" t="s">
        <v>30</v>
      </c>
      <c r="F924" s="1">
        <v>24</v>
      </c>
      <c r="G924" s="2" t="s">
        <v>48</v>
      </c>
      <c r="J924"/>
      <c r="K924" s="19"/>
      <c r="L924" s="21"/>
      <c r="M924" s="27"/>
      <c r="N924" s="19"/>
      <c r="O924" s="21"/>
      <c r="P924" s="7">
        <v>-0.17499999999999999</v>
      </c>
      <c r="Q924" s="7">
        <f>Table2[[#This Row],[Elevation
PILE TOP]]-Table2[[#This Row],[LENGTH(m.)
(Actual)]]</f>
        <v>-0.17499999999999999</v>
      </c>
      <c r="R924" s="2"/>
      <c r="S924" s="7">
        <f>Table2[[#This Row],[N]]+Table2[[#This Row],[Pile 
Deviation 
N (m)]]</f>
        <v>1511724.6969999999</v>
      </c>
      <c r="T924" s="7">
        <f>Table2[[#This Row],[E]]+Table2[[#This Row],[Pile 
Deviation 
E (m)]]</f>
        <v>694009.64599999995</v>
      </c>
      <c r="W924" s="7">
        <v>-0.67500000000000004</v>
      </c>
      <c r="X924" s="2" t="s">
        <v>33</v>
      </c>
      <c r="AA924" s="9">
        <v>46216</v>
      </c>
    </row>
    <row r="925" spans="1:27" ht="13.95" hidden="1" customHeight="1" x14ac:dyDescent="0.65">
      <c r="A925">
        <v>923</v>
      </c>
      <c r="B925" t="s">
        <v>29</v>
      </c>
      <c r="C925" s="6">
        <v>1511724.875</v>
      </c>
      <c r="D925" s="6">
        <v>694010.52800000005</v>
      </c>
      <c r="E925" s="2" t="s">
        <v>30</v>
      </c>
      <c r="F925" s="1">
        <v>24</v>
      </c>
      <c r="G925" s="2" t="s">
        <v>48</v>
      </c>
      <c r="J925"/>
      <c r="K925" s="19"/>
      <c r="L925" s="21"/>
      <c r="M925" s="27"/>
      <c r="N925" s="19"/>
      <c r="O925" s="21"/>
      <c r="P925" s="7">
        <v>-0.17499999999999999</v>
      </c>
      <c r="Q925" s="7">
        <f>Table2[[#This Row],[Elevation
PILE TOP]]-Table2[[#This Row],[LENGTH(m.)
(Actual)]]</f>
        <v>-0.17499999999999999</v>
      </c>
      <c r="R925" s="2"/>
      <c r="S925" s="7">
        <f>Table2[[#This Row],[N]]+Table2[[#This Row],[Pile 
Deviation 
N (m)]]</f>
        <v>1511724.875</v>
      </c>
      <c r="T925" s="7">
        <f>Table2[[#This Row],[E]]+Table2[[#This Row],[Pile 
Deviation 
E (m)]]</f>
        <v>694010.52800000005</v>
      </c>
      <c r="W925" s="7">
        <v>-0.67500000000000004</v>
      </c>
      <c r="X925" s="2" t="s">
        <v>33</v>
      </c>
      <c r="AA925" s="9">
        <v>46216</v>
      </c>
    </row>
    <row r="926" spans="1:27" hidden="1" x14ac:dyDescent="0.65">
      <c r="A926">
        <v>924</v>
      </c>
      <c r="B926" t="s">
        <v>29</v>
      </c>
      <c r="C926" s="6">
        <v>1511723.9129999999</v>
      </c>
      <c r="D926" s="6">
        <v>694009.804</v>
      </c>
      <c r="E926" s="2" t="s">
        <v>30</v>
      </c>
      <c r="F926" s="1">
        <v>24</v>
      </c>
      <c r="G926" s="2" t="s">
        <v>48</v>
      </c>
      <c r="J926"/>
      <c r="K926" s="19"/>
      <c r="L926" s="21"/>
      <c r="M926" s="27"/>
      <c r="N926" s="19"/>
      <c r="O926" s="21"/>
      <c r="P926" s="7">
        <v>-0.17499999999999999</v>
      </c>
      <c r="Q926" s="7">
        <f>Table2[[#This Row],[Elevation
PILE TOP]]-Table2[[#This Row],[LENGTH(m.)
(Actual)]]</f>
        <v>-0.17499999999999999</v>
      </c>
      <c r="R926" s="2"/>
      <c r="S926" s="7">
        <f>Table2[[#This Row],[N]]+Table2[[#This Row],[Pile 
Deviation 
N (m)]]</f>
        <v>1511723.9129999999</v>
      </c>
      <c r="T926" s="7">
        <f>Table2[[#This Row],[E]]+Table2[[#This Row],[Pile 
Deviation 
E (m)]]</f>
        <v>694009.804</v>
      </c>
      <c r="W926" s="7">
        <v>-0.67500000000000004</v>
      </c>
      <c r="X926" s="2" t="s">
        <v>33</v>
      </c>
      <c r="AA926" s="9">
        <v>46216</v>
      </c>
    </row>
    <row r="927" spans="1:27" ht="13.95" hidden="1" customHeight="1" x14ac:dyDescent="0.65">
      <c r="A927">
        <v>925</v>
      </c>
      <c r="B927" t="s">
        <v>29</v>
      </c>
      <c r="C927" s="6">
        <v>1511724.091</v>
      </c>
      <c r="D927" s="6">
        <v>694010.68599999999</v>
      </c>
      <c r="E927" s="2" t="s">
        <v>30</v>
      </c>
      <c r="F927" s="1">
        <v>24</v>
      </c>
      <c r="G927" s="2" t="s">
        <v>48</v>
      </c>
      <c r="J927"/>
      <c r="K927" s="19"/>
      <c r="L927" s="21"/>
      <c r="M927" s="27"/>
      <c r="N927" s="19"/>
      <c r="O927" s="21"/>
      <c r="P927" s="7">
        <v>-0.17499999999999999</v>
      </c>
      <c r="Q927" s="7">
        <f>Table2[[#This Row],[Elevation
PILE TOP]]-Table2[[#This Row],[LENGTH(m.)
(Actual)]]</f>
        <v>-0.17499999999999999</v>
      </c>
      <c r="R927" s="2"/>
      <c r="S927" s="7">
        <f>Table2[[#This Row],[N]]+Table2[[#This Row],[Pile 
Deviation 
N (m)]]</f>
        <v>1511724.091</v>
      </c>
      <c r="T927" s="7">
        <f>Table2[[#This Row],[E]]+Table2[[#This Row],[Pile 
Deviation 
E (m)]]</f>
        <v>694010.68599999999</v>
      </c>
      <c r="W927" s="7">
        <v>-0.67500000000000004</v>
      </c>
      <c r="X927" s="2" t="s">
        <v>33</v>
      </c>
      <c r="AA927" s="9">
        <v>46216</v>
      </c>
    </row>
    <row r="928" spans="1:27" hidden="1" x14ac:dyDescent="0.65">
      <c r="A928">
        <v>926</v>
      </c>
      <c r="B928" t="s">
        <v>29</v>
      </c>
      <c r="C928" s="6">
        <v>1511723.2050000001</v>
      </c>
      <c r="D928" s="6">
        <v>694012.39099999995</v>
      </c>
      <c r="E928" s="2" t="s">
        <v>35</v>
      </c>
      <c r="F928" s="1">
        <v>24</v>
      </c>
      <c r="G928" s="2" t="s">
        <v>48</v>
      </c>
      <c r="J928"/>
      <c r="K928" s="19"/>
      <c r="L928" s="21"/>
      <c r="M928" s="27"/>
      <c r="N928" s="19"/>
      <c r="O928" s="21"/>
      <c r="P928" s="7">
        <v>0.28999999999999998</v>
      </c>
      <c r="Q928" s="7">
        <f>Table2[[#This Row],[Elevation
PILE TOP]]-Table2[[#This Row],[LENGTH(m.)
(Actual)]]</f>
        <v>0.28999999999999998</v>
      </c>
      <c r="R928" s="2"/>
      <c r="S928" s="7">
        <f>Table2[[#This Row],[N]]+Table2[[#This Row],[Pile 
Deviation 
N (m)]]</f>
        <v>1511723.2050000001</v>
      </c>
      <c r="T928" s="7">
        <f>Table2[[#This Row],[E]]+Table2[[#This Row],[Pile 
Deviation 
E (m)]]</f>
        <v>694012.39099999995</v>
      </c>
      <c r="W928" s="7">
        <v>0.28999999999999998</v>
      </c>
      <c r="X928" s="2" t="s">
        <v>40</v>
      </c>
      <c r="AA928" s="9">
        <v>46230</v>
      </c>
    </row>
    <row r="929" spans="1:27" ht="13.95" hidden="1" customHeight="1" x14ac:dyDescent="0.65">
      <c r="A929">
        <v>927</v>
      </c>
      <c r="B929" t="s">
        <v>29</v>
      </c>
      <c r="C929" s="6">
        <v>1511724.378</v>
      </c>
      <c r="D929" s="6">
        <v>694012.38600000006</v>
      </c>
      <c r="E929" s="2" t="s">
        <v>41</v>
      </c>
      <c r="F929" s="1">
        <v>26</v>
      </c>
      <c r="G929" s="2" t="s">
        <v>48</v>
      </c>
      <c r="J929"/>
      <c r="K929" s="19"/>
      <c r="L929" s="21"/>
      <c r="M929" s="27"/>
      <c r="N929" s="19"/>
      <c r="O929" s="21"/>
      <c r="P929" s="7">
        <v>0.35</v>
      </c>
      <c r="Q929" s="7">
        <f>Table2[[#This Row],[Elevation
PILE TOP]]-Table2[[#This Row],[LENGTH(m.)
(Actual)]]</f>
        <v>0.35</v>
      </c>
      <c r="R929" s="2"/>
      <c r="S929" s="7">
        <f>Table2[[#This Row],[N]]+Table2[[#This Row],[Pile 
Deviation 
N (m)]]</f>
        <v>1511724.378</v>
      </c>
      <c r="T929" s="7">
        <f>Table2[[#This Row],[E]]+Table2[[#This Row],[Pile 
Deviation 
E (m)]]</f>
        <v>694012.38600000006</v>
      </c>
      <c r="W929" s="7">
        <v>-0.15</v>
      </c>
      <c r="X929" s="2" t="s">
        <v>42</v>
      </c>
      <c r="AA929" s="9">
        <v>46230</v>
      </c>
    </row>
    <row r="930" spans="1:27" hidden="1" x14ac:dyDescent="0.65">
      <c r="A930">
        <v>928</v>
      </c>
      <c r="B930" t="s">
        <v>29</v>
      </c>
      <c r="C930" s="6">
        <v>1511726.291</v>
      </c>
      <c r="D930" s="6">
        <v>694013.65599999996</v>
      </c>
      <c r="E930" s="2" t="s">
        <v>41</v>
      </c>
      <c r="F930" s="1">
        <v>26</v>
      </c>
      <c r="G930" s="2" t="s">
        <v>48</v>
      </c>
      <c r="J930"/>
      <c r="K930" s="19"/>
      <c r="L930" s="21"/>
      <c r="M930" s="27"/>
      <c r="N930" s="19"/>
      <c r="O930" s="21"/>
      <c r="P930" s="7">
        <v>0.35</v>
      </c>
      <c r="Q930" s="7">
        <f>Table2[[#This Row],[Elevation
PILE TOP]]-Table2[[#This Row],[LENGTH(m.)
(Actual)]]</f>
        <v>0.35</v>
      </c>
      <c r="R930" s="2"/>
      <c r="S930" s="7">
        <f>Table2[[#This Row],[N]]+Table2[[#This Row],[Pile 
Deviation 
N (m)]]</f>
        <v>1511726.291</v>
      </c>
      <c r="T930" s="7">
        <f>Table2[[#This Row],[E]]+Table2[[#This Row],[Pile 
Deviation 
E (m)]]</f>
        <v>694013.65599999996</v>
      </c>
      <c r="W930" s="7">
        <v>-0.15</v>
      </c>
      <c r="X930" s="2" t="s">
        <v>42</v>
      </c>
      <c r="AA930" s="9">
        <v>46230</v>
      </c>
    </row>
    <row r="931" spans="1:27" ht="13.95" hidden="1" customHeight="1" x14ac:dyDescent="0.65">
      <c r="A931">
        <v>929</v>
      </c>
      <c r="B931" t="s">
        <v>29</v>
      </c>
      <c r="C931" s="6">
        <v>1511726.746</v>
      </c>
      <c r="D931" s="6">
        <v>694015.90700000001</v>
      </c>
      <c r="E931" s="2" t="s">
        <v>41</v>
      </c>
      <c r="F931" s="1">
        <v>26</v>
      </c>
      <c r="G931" s="2" t="s">
        <v>48</v>
      </c>
      <c r="J931"/>
      <c r="K931" s="19"/>
      <c r="L931" s="21"/>
      <c r="M931" s="27"/>
      <c r="N931" s="19"/>
      <c r="O931" s="21"/>
      <c r="P931" s="7">
        <v>0.35</v>
      </c>
      <c r="Q931" s="7">
        <f>Table2[[#This Row],[Elevation
PILE TOP]]-Table2[[#This Row],[LENGTH(m.)
(Actual)]]</f>
        <v>0.35</v>
      </c>
      <c r="R931" s="2"/>
      <c r="S931" s="7">
        <f>Table2[[#This Row],[N]]+Table2[[#This Row],[Pile 
Deviation 
N (m)]]</f>
        <v>1511726.746</v>
      </c>
      <c r="T931" s="7">
        <f>Table2[[#This Row],[E]]+Table2[[#This Row],[Pile 
Deviation 
E (m)]]</f>
        <v>694015.90700000001</v>
      </c>
      <c r="W931" s="7">
        <v>-0.15</v>
      </c>
      <c r="X931" s="2" t="s">
        <v>42</v>
      </c>
      <c r="AA931" s="9">
        <v>46233</v>
      </c>
    </row>
    <row r="932" spans="1:27" hidden="1" x14ac:dyDescent="0.65">
      <c r="A932">
        <v>930</v>
      </c>
      <c r="B932" t="s">
        <v>29</v>
      </c>
      <c r="C932" s="6">
        <v>1511725.476</v>
      </c>
      <c r="D932" s="6">
        <v>694017.82</v>
      </c>
      <c r="E932" s="2" t="s">
        <v>41</v>
      </c>
      <c r="F932" s="1">
        <v>26</v>
      </c>
      <c r="G932" s="2" t="s">
        <v>48</v>
      </c>
      <c r="J932"/>
      <c r="K932" s="19"/>
      <c r="L932" s="21"/>
      <c r="M932" s="27"/>
      <c r="N932" s="19"/>
      <c r="O932" s="21"/>
      <c r="P932" s="7">
        <v>0.35</v>
      </c>
      <c r="Q932" s="7">
        <f>Table2[[#This Row],[Elevation
PILE TOP]]-Table2[[#This Row],[LENGTH(m.)
(Actual)]]</f>
        <v>0.35</v>
      </c>
      <c r="R932" s="2"/>
      <c r="S932" s="7">
        <f>Table2[[#This Row],[N]]+Table2[[#This Row],[Pile 
Deviation 
N (m)]]</f>
        <v>1511725.476</v>
      </c>
      <c r="T932" s="7">
        <f>Table2[[#This Row],[E]]+Table2[[#This Row],[Pile 
Deviation 
E (m)]]</f>
        <v>694017.82</v>
      </c>
      <c r="W932" s="7">
        <v>-0.15</v>
      </c>
      <c r="X932" s="2" t="s">
        <v>42</v>
      </c>
      <c r="AA932" s="9">
        <v>46233</v>
      </c>
    </row>
    <row r="933" spans="1:27" ht="13.95" hidden="1" customHeight="1" x14ac:dyDescent="0.65">
      <c r="A933">
        <v>931</v>
      </c>
      <c r="B933" t="s">
        <v>29</v>
      </c>
      <c r="C933" s="6">
        <v>1511723.2250000001</v>
      </c>
      <c r="D933" s="6">
        <v>694018.27399999998</v>
      </c>
      <c r="E933" s="2" t="s">
        <v>41</v>
      </c>
      <c r="F933" s="1">
        <v>26</v>
      </c>
      <c r="G933" s="2" t="s">
        <v>48</v>
      </c>
      <c r="J933"/>
      <c r="K933" s="19"/>
      <c r="L933" s="21"/>
      <c r="M933" s="27"/>
      <c r="N933" s="19"/>
      <c r="O933" s="21"/>
      <c r="P933" s="7">
        <v>0.35</v>
      </c>
      <c r="Q933" s="7">
        <f>Table2[[#This Row],[Elevation
PILE TOP]]-Table2[[#This Row],[LENGTH(m.)
(Actual)]]</f>
        <v>0.35</v>
      </c>
      <c r="R933" s="2"/>
      <c r="S933" s="7">
        <f>Table2[[#This Row],[N]]+Table2[[#This Row],[Pile 
Deviation 
N (m)]]</f>
        <v>1511723.2250000001</v>
      </c>
      <c r="T933" s="7">
        <f>Table2[[#This Row],[E]]+Table2[[#This Row],[Pile 
Deviation 
E (m)]]</f>
        <v>694018.27399999998</v>
      </c>
      <c r="W933" s="7">
        <v>-0.15</v>
      </c>
      <c r="X933" s="2" t="s">
        <v>42</v>
      </c>
      <c r="AA933" s="9">
        <v>46233</v>
      </c>
    </row>
    <row r="934" spans="1:27" hidden="1" x14ac:dyDescent="0.65">
      <c r="A934">
        <v>932</v>
      </c>
      <c r="B934" t="s">
        <v>29</v>
      </c>
      <c r="C934" s="6">
        <v>1511721.3119999999</v>
      </c>
      <c r="D934" s="6">
        <v>694017.00399999996</v>
      </c>
      <c r="E934" s="2" t="s">
        <v>41</v>
      </c>
      <c r="F934" s="1">
        <v>26</v>
      </c>
      <c r="G934" s="2" t="s">
        <v>48</v>
      </c>
      <c r="J934"/>
      <c r="K934" s="19"/>
      <c r="L934" s="21"/>
      <c r="M934" s="27"/>
      <c r="N934" s="19"/>
      <c r="O934" s="21"/>
      <c r="P934" s="7">
        <v>0.35</v>
      </c>
      <c r="Q934" s="7">
        <f>Table2[[#This Row],[Elevation
PILE TOP]]-Table2[[#This Row],[LENGTH(m.)
(Actual)]]</f>
        <v>0.35</v>
      </c>
      <c r="R934" s="2"/>
      <c r="S934" s="7">
        <f>Table2[[#This Row],[N]]+Table2[[#This Row],[Pile 
Deviation 
N (m)]]</f>
        <v>1511721.3119999999</v>
      </c>
      <c r="T934" s="7">
        <f>Table2[[#This Row],[E]]+Table2[[#This Row],[Pile 
Deviation 
E (m)]]</f>
        <v>694017.00399999996</v>
      </c>
      <c r="W934" s="7">
        <v>-0.15</v>
      </c>
      <c r="X934" s="2" t="s">
        <v>42</v>
      </c>
      <c r="AA934" s="9">
        <v>46233</v>
      </c>
    </row>
    <row r="935" spans="1:27" ht="13.95" hidden="1" customHeight="1" x14ac:dyDescent="0.65">
      <c r="A935">
        <v>933</v>
      </c>
      <c r="B935" t="s">
        <v>29</v>
      </c>
      <c r="C935" s="6">
        <v>1511720.858</v>
      </c>
      <c r="D935" s="6">
        <v>694014.75399999996</v>
      </c>
      <c r="E935" s="2" t="s">
        <v>41</v>
      </c>
      <c r="F935" s="1">
        <v>26</v>
      </c>
      <c r="G935" s="2" t="s">
        <v>48</v>
      </c>
      <c r="J935"/>
      <c r="K935" s="19"/>
      <c r="L935" s="21"/>
      <c r="M935" s="27"/>
      <c r="N935" s="19"/>
      <c r="O935" s="21"/>
      <c r="P935" s="7">
        <v>0.35</v>
      </c>
      <c r="Q935" s="7">
        <f>Table2[[#This Row],[Elevation
PILE TOP]]-Table2[[#This Row],[LENGTH(m.)
(Actual)]]</f>
        <v>0.35</v>
      </c>
      <c r="R935" s="2"/>
      <c r="S935" s="7">
        <f>Table2[[#This Row],[N]]+Table2[[#This Row],[Pile 
Deviation 
N (m)]]</f>
        <v>1511720.858</v>
      </c>
      <c r="T935" s="7">
        <f>Table2[[#This Row],[E]]+Table2[[#This Row],[Pile 
Deviation 
E (m)]]</f>
        <v>694014.75399999996</v>
      </c>
      <c r="W935" s="7">
        <v>-0.15</v>
      </c>
      <c r="X935" s="2" t="s">
        <v>42</v>
      </c>
      <c r="AA935" s="9">
        <v>46230</v>
      </c>
    </row>
    <row r="936" spans="1:27" hidden="1" x14ac:dyDescent="0.65">
      <c r="A936">
        <v>934</v>
      </c>
      <c r="B936" t="s">
        <v>29</v>
      </c>
      <c r="C936" s="6">
        <v>1511722.128</v>
      </c>
      <c r="D936" s="6">
        <v>694012.84100000001</v>
      </c>
      <c r="E936" s="2" t="s">
        <v>41</v>
      </c>
      <c r="F936" s="1">
        <v>26</v>
      </c>
      <c r="G936" s="2" t="s">
        <v>48</v>
      </c>
      <c r="J936"/>
      <c r="K936" s="19"/>
      <c r="L936" s="21"/>
      <c r="M936" s="27"/>
      <c r="N936" s="19"/>
      <c r="O936" s="21"/>
      <c r="P936" s="7">
        <v>0.35</v>
      </c>
      <c r="Q936" s="7">
        <f>Table2[[#This Row],[Elevation
PILE TOP]]-Table2[[#This Row],[LENGTH(m.)
(Actual)]]</f>
        <v>0.35</v>
      </c>
      <c r="R936" s="2"/>
      <c r="S936" s="7">
        <f>Table2[[#This Row],[N]]+Table2[[#This Row],[Pile 
Deviation 
N (m)]]</f>
        <v>1511722.128</v>
      </c>
      <c r="T936" s="7">
        <f>Table2[[#This Row],[E]]+Table2[[#This Row],[Pile 
Deviation 
E (m)]]</f>
        <v>694012.84100000001</v>
      </c>
      <c r="W936" s="7">
        <v>-0.15</v>
      </c>
      <c r="X936" s="2" t="s">
        <v>42</v>
      </c>
      <c r="AA936" s="9">
        <v>46230</v>
      </c>
    </row>
    <row r="937" spans="1:27" ht="13.95" hidden="1" customHeight="1" x14ac:dyDescent="0.65">
      <c r="A937">
        <v>935</v>
      </c>
      <c r="B937" t="s">
        <v>29</v>
      </c>
      <c r="C937" s="6">
        <v>1511723.7990000001</v>
      </c>
      <c r="D937" s="6">
        <v>694015.33200000005</v>
      </c>
      <c r="E937" s="2" t="s">
        <v>35</v>
      </c>
      <c r="F937" s="1">
        <v>24</v>
      </c>
      <c r="G937" s="2" t="s">
        <v>48</v>
      </c>
      <c r="J937"/>
      <c r="K937" s="19"/>
      <c r="L937" s="21"/>
      <c r="M937" s="27"/>
      <c r="N937" s="19"/>
      <c r="O937" s="21"/>
      <c r="P937" s="7">
        <v>0.28999999999999998</v>
      </c>
      <c r="Q937" s="7">
        <f>Table2[[#This Row],[Elevation
PILE TOP]]-Table2[[#This Row],[LENGTH(m.)
(Actual)]]</f>
        <v>0.28999999999999998</v>
      </c>
      <c r="R937" s="2"/>
      <c r="S937" s="7">
        <f>Table2[[#This Row],[N]]+Table2[[#This Row],[Pile 
Deviation 
N (m)]]</f>
        <v>1511723.7990000001</v>
      </c>
      <c r="T937" s="7">
        <f>Table2[[#This Row],[E]]+Table2[[#This Row],[Pile 
Deviation 
E (m)]]</f>
        <v>694015.33200000005</v>
      </c>
      <c r="W937" s="7">
        <v>0.28999999999999998</v>
      </c>
      <c r="X937" s="2" t="s">
        <v>40</v>
      </c>
      <c r="AA937" s="9">
        <v>46230</v>
      </c>
    </row>
    <row r="938" spans="1:27" hidden="1" x14ac:dyDescent="0.65">
      <c r="A938">
        <v>936</v>
      </c>
      <c r="B938" t="s">
        <v>29</v>
      </c>
      <c r="C938" s="6">
        <v>1511724.4720000001</v>
      </c>
      <c r="D938" s="6">
        <v>694018.66500000004</v>
      </c>
      <c r="E938" s="2" t="s">
        <v>35</v>
      </c>
      <c r="F938" s="1">
        <v>24</v>
      </c>
      <c r="G938" s="2" t="s">
        <v>48</v>
      </c>
      <c r="J938"/>
      <c r="K938" s="19"/>
      <c r="L938" s="21"/>
      <c r="M938" s="27"/>
      <c r="N938" s="19"/>
      <c r="O938" s="21"/>
      <c r="P938" s="7">
        <v>0.28999999999999998</v>
      </c>
      <c r="Q938" s="7">
        <f>Table2[[#This Row],[Elevation
PILE TOP]]-Table2[[#This Row],[LENGTH(m.)
(Actual)]]</f>
        <v>0.28999999999999998</v>
      </c>
      <c r="R938" s="2"/>
      <c r="S938" s="7">
        <f>Table2[[#This Row],[N]]+Table2[[#This Row],[Pile 
Deviation 
N (m)]]</f>
        <v>1511724.4720000001</v>
      </c>
      <c r="T938" s="7">
        <f>Table2[[#This Row],[E]]+Table2[[#This Row],[Pile 
Deviation 
E (m)]]</f>
        <v>694018.66500000004</v>
      </c>
      <c r="W938" s="7">
        <v>0.28999999999999998</v>
      </c>
      <c r="X938" s="2" t="s">
        <v>40</v>
      </c>
      <c r="AA938" s="9">
        <v>46233</v>
      </c>
    </row>
    <row r="939" spans="1:27" ht="13.95" hidden="1" customHeight="1" x14ac:dyDescent="0.65">
      <c r="A939">
        <v>937</v>
      </c>
      <c r="B939" t="s">
        <v>29</v>
      </c>
      <c r="C939" s="6">
        <v>1511725.7250000001</v>
      </c>
      <c r="D939" s="6">
        <v>694019.05599999998</v>
      </c>
      <c r="E939" s="2" t="s">
        <v>41</v>
      </c>
      <c r="F939" s="1">
        <v>26</v>
      </c>
      <c r="G939" s="2" t="s">
        <v>48</v>
      </c>
      <c r="J939"/>
      <c r="K939" s="19"/>
      <c r="L939" s="21"/>
      <c r="M939" s="27"/>
      <c r="N939" s="19"/>
      <c r="O939" s="21"/>
      <c r="P939" s="7">
        <v>0.35</v>
      </c>
      <c r="Q939" s="7">
        <f>Table2[[#This Row],[Elevation
PILE TOP]]-Table2[[#This Row],[LENGTH(m.)
(Actual)]]</f>
        <v>0.35</v>
      </c>
      <c r="R939" s="2"/>
      <c r="S939" s="7">
        <f>Table2[[#This Row],[N]]+Table2[[#This Row],[Pile 
Deviation 
N (m)]]</f>
        <v>1511725.7250000001</v>
      </c>
      <c r="T939" s="7">
        <f>Table2[[#This Row],[E]]+Table2[[#This Row],[Pile 
Deviation 
E (m)]]</f>
        <v>694019.05599999998</v>
      </c>
      <c r="W939" s="7">
        <v>-0.15</v>
      </c>
      <c r="X939" s="2" t="s">
        <v>42</v>
      </c>
      <c r="AA939" s="9">
        <v>46233</v>
      </c>
    </row>
    <row r="940" spans="1:27" hidden="1" x14ac:dyDescent="0.65">
      <c r="A940">
        <v>938</v>
      </c>
      <c r="B940" t="s">
        <v>29</v>
      </c>
      <c r="C940" s="6">
        <v>1511727.638</v>
      </c>
      <c r="D940" s="6">
        <v>694020.326</v>
      </c>
      <c r="E940" s="2" t="s">
        <v>41</v>
      </c>
      <c r="F940" s="1">
        <v>26</v>
      </c>
      <c r="G940" s="2" t="s">
        <v>48</v>
      </c>
      <c r="J940"/>
      <c r="K940" s="19"/>
      <c r="L940" s="21"/>
      <c r="M940" s="27"/>
      <c r="N940" s="19"/>
      <c r="O940" s="21"/>
      <c r="P940" s="7">
        <v>0.35</v>
      </c>
      <c r="Q940" s="7">
        <f>Table2[[#This Row],[Elevation
PILE TOP]]-Table2[[#This Row],[LENGTH(m.)
(Actual)]]</f>
        <v>0.35</v>
      </c>
      <c r="R940" s="2"/>
      <c r="S940" s="7">
        <f>Table2[[#This Row],[N]]+Table2[[#This Row],[Pile 
Deviation 
N (m)]]</f>
        <v>1511727.638</v>
      </c>
      <c r="T940" s="7">
        <f>Table2[[#This Row],[E]]+Table2[[#This Row],[Pile 
Deviation 
E (m)]]</f>
        <v>694020.326</v>
      </c>
      <c r="W940" s="7">
        <v>-0.15</v>
      </c>
      <c r="X940" s="2" t="s">
        <v>42</v>
      </c>
      <c r="AA940" s="9">
        <v>46234</v>
      </c>
    </row>
    <row r="941" spans="1:27" ht="13.95" hidden="1" customHeight="1" x14ac:dyDescent="0.65">
      <c r="A941">
        <v>939</v>
      </c>
      <c r="B941" t="s">
        <v>29</v>
      </c>
      <c r="C941" s="6">
        <v>1511728.0930000001</v>
      </c>
      <c r="D941" s="6">
        <v>694022.57700000005</v>
      </c>
      <c r="E941" s="2" t="s">
        <v>41</v>
      </c>
      <c r="F941" s="1">
        <v>26</v>
      </c>
      <c r="G941" s="2" t="s">
        <v>48</v>
      </c>
      <c r="J941"/>
      <c r="K941" s="19"/>
      <c r="L941" s="21"/>
      <c r="M941" s="27"/>
      <c r="N941" s="19"/>
      <c r="O941" s="21"/>
      <c r="P941" s="7">
        <v>0.35</v>
      </c>
      <c r="Q941" s="7">
        <f>Table2[[#This Row],[Elevation
PILE TOP]]-Table2[[#This Row],[LENGTH(m.)
(Actual)]]</f>
        <v>0.35</v>
      </c>
      <c r="R941" s="2"/>
      <c r="S941" s="7">
        <f>Table2[[#This Row],[N]]+Table2[[#This Row],[Pile 
Deviation 
N (m)]]</f>
        <v>1511728.0930000001</v>
      </c>
      <c r="T941" s="7">
        <f>Table2[[#This Row],[E]]+Table2[[#This Row],[Pile 
Deviation 
E (m)]]</f>
        <v>694022.57700000005</v>
      </c>
      <c r="W941" s="7">
        <v>-0.15</v>
      </c>
      <c r="X941" s="2" t="s">
        <v>42</v>
      </c>
      <c r="AA941" s="9">
        <v>46234</v>
      </c>
    </row>
    <row r="942" spans="1:27" hidden="1" x14ac:dyDescent="0.65">
      <c r="A942">
        <v>940</v>
      </c>
      <c r="B942" t="s">
        <v>29</v>
      </c>
      <c r="C942" s="6">
        <v>1511726.8230000001</v>
      </c>
      <c r="D942" s="6">
        <v>694024.49</v>
      </c>
      <c r="E942" s="2" t="s">
        <v>41</v>
      </c>
      <c r="F942" s="1">
        <v>26</v>
      </c>
      <c r="G942" s="2" t="s">
        <v>48</v>
      </c>
      <c r="J942"/>
      <c r="K942" s="19"/>
      <c r="L942" s="21"/>
      <c r="M942" s="27"/>
      <c r="N942" s="19"/>
      <c r="O942" s="21"/>
      <c r="P942" s="7">
        <v>0.35</v>
      </c>
      <c r="Q942" s="7">
        <f>Table2[[#This Row],[Elevation
PILE TOP]]-Table2[[#This Row],[LENGTH(m.)
(Actual)]]</f>
        <v>0.35</v>
      </c>
      <c r="R942" s="2"/>
      <c r="S942" s="7">
        <f>Table2[[#This Row],[N]]+Table2[[#This Row],[Pile 
Deviation 
N (m)]]</f>
        <v>1511726.8230000001</v>
      </c>
      <c r="T942" s="7">
        <f>Table2[[#This Row],[E]]+Table2[[#This Row],[Pile 
Deviation 
E (m)]]</f>
        <v>694024.49</v>
      </c>
      <c r="W942" s="7">
        <v>-0.15</v>
      </c>
      <c r="X942" s="2" t="s">
        <v>42</v>
      </c>
      <c r="AA942" s="9">
        <v>46235</v>
      </c>
    </row>
    <row r="943" spans="1:27" ht="13.95" hidden="1" customHeight="1" x14ac:dyDescent="0.65">
      <c r="A943">
        <v>941</v>
      </c>
      <c r="B943" t="s">
        <v>29</v>
      </c>
      <c r="C943" s="6">
        <v>1511724.5719999999</v>
      </c>
      <c r="D943" s="6">
        <v>694024.94400000002</v>
      </c>
      <c r="E943" s="2" t="s">
        <v>41</v>
      </c>
      <c r="F943" s="1">
        <v>26</v>
      </c>
      <c r="G943" s="2" t="s">
        <v>48</v>
      </c>
      <c r="J943"/>
      <c r="K943" s="19"/>
      <c r="L943" s="21"/>
      <c r="M943" s="27"/>
      <c r="N943" s="19"/>
      <c r="O943" s="21"/>
      <c r="P943" s="7">
        <v>0.35</v>
      </c>
      <c r="Q943" s="7">
        <f>Table2[[#This Row],[Elevation
PILE TOP]]-Table2[[#This Row],[LENGTH(m.)
(Actual)]]</f>
        <v>0.35</v>
      </c>
      <c r="R943" s="2"/>
      <c r="S943" s="7">
        <f>Table2[[#This Row],[N]]+Table2[[#This Row],[Pile 
Deviation 
N (m)]]</f>
        <v>1511724.5719999999</v>
      </c>
      <c r="T943" s="7">
        <f>Table2[[#This Row],[E]]+Table2[[#This Row],[Pile 
Deviation 
E (m)]]</f>
        <v>694024.94400000002</v>
      </c>
      <c r="W943" s="7">
        <v>-0.15</v>
      </c>
      <c r="X943" s="2" t="s">
        <v>42</v>
      </c>
      <c r="AA943" s="9">
        <v>46235</v>
      </c>
    </row>
    <row r="944" spans="1:27" hidden="1" x14ac:dyDescent="0.65">
      <c r="A944">
        <v>942</v>
      </c>
      <c r="B944" t="s">
        <v>29</v>
      </c>
      <c r="C944" s="6">
        <v>1511722.659</v>
      </c>
      <c r="D944" s="6">
        <v>694023.674</v>
      </c>
      <c r="E944" s="2" t="s">
        <v>41</v>
      </c>
      <c r="F944" s="1">
        <v>26</v>
      </c>
      <c r="G944" s="2" t="s">
        <v>48</v>
      </c>
      <c r="J944"/>
      <c r="K944" s="19"/>
      <c r="L944" s="21"/>
      <c r="M944" s="27"/>
      <c r="N944" s="19"/>
      <c r="O944" s="21"/>
      <c r="P944" s="7">
        <v>0.35</v>
      </c>
      <c r="Q944" s="7">
        <f>Table2[[#This Row],[Elevation
PILE TOP]]-Table2[[#This Row],[LENGTH(m.)
(Actual)]]</f>
        <v>0.35</v>
      </c>
      <c r="R944" s="2"/>
      <c r="S944" s="7">
        <f>Table2[[#This Row],[N]]+Table2[[#This Row],[Pile 
Deviation 
N (m)]]</f>
        <v>1511722.659</v>
      </c>
      <c r="T944" s="7">
        <f>Table2[[#This Row],[E]]+Table2[[#This Row],[Pile 
Deviation 
E (m)]]</f>
        <v>694023.674</v>
      </c>
      <c r="W944" s="7">
        <v>-0.15</v>
      </c>
      <c r="X944" s="2" t="s">
        <v>42</v>
      </c>
      <c r="AA944" s="9">
        <v>46234</v>
      </c>
    </row>
    <row r="945" spans="1:27" ht="13.95" hidden="1" customHeight="1" x14ac:dyDescent="0.65">
      <c r="A945">
        <v>943</v>
      </c>
      <c r="B945" t="s">
        <v>29</v>
      </c>
      <c r="C945" s="6">
        <v>1511722.2050000001</v>
      </c>
      <c r="D945" s="6">
        <v>694021.42299999995</v>
      </c>
      <c r="E945" s="2" t="s">
        <v>41</v>
      </c>
      <c r="F945" s="1">
        <v>26</v>
      </c>
      <c r="G945" s="2" t="s">
        <v>48</v>
      </c>
      <c r="J945"/>
      <c r="K945" s="19"/>
      <c r="L945" s="21"/>
      <c r="M945" s="27"/>
      <c r="N945" s="19"/>
      <c r="O945" s="21"/>
      <c r="P945" s="7">
        <v>0.35</v>
      </c>
      <c r="Q945" s="7">
        <f>Table2[[#This Row],[Elevation
PILE TOP]]-Table2[[#This Row],[LENGTH(m.)
(Actual)]]</f>
        <v>0.35</v>
      </c>
      <c r="R945" s="2"/>
      <c r="S945" s="7">
        <f>Table2[[#This Row],[N]]+Table2[[#This Row],[Pile 
Deviation 
N (m)]]</f>
        <v>1511722.2050000001</v>
      </c>
      <c r="T945" s="7">
        <f>Table2[[#This Row],[E]]+Table2[[#This Row],[Pile 
Deviation 
E (m)]]</f>
        <v>694021.42299999995</v>
      </c>
      <c r="W945" s="7">
        <v>-0.15</v>
      </c>
      <c r="X945" s="2" t="s">
        <v>42</v>
      </c>
      <c r="AA945" s="9">
        <v>46234</v>
      </c>
    </row>
    <row r="946" spans="1:27" hidden="1" x14ac:dyDescent="0.65">
      <c r="A946">
        <v>944</v>
      </c>
      <c r="B946" t="s">
        <v>29</v>
      </c>
      <c r="C946" s="6">
        <v>1511723.4750000001</v>
      </c>
      <c r="D946" s="6">
        <v>694019.51</v>
      </c>
      <c r="E946" s="2" t="s">
        <v>41</v>
      </c>
      <c r="F946" s="1">
        <v>26</v>
      </c>
      <c r="G946" s="2" t="s">
        <v>48</v>
      </c>
      <c r="J946"/>
      <c r="K946" s="19"/>
      <c r="L946" s="21"/>
      <c r="M946" s="27"/>
      <c r="N946" s="19"/>
      <c r="O946" s="21"/>
      <c r="P946" s="7">
        <v>0.35</v>
      </c>
      <c r="Q946" s="7">
        <f>Table2[[#This Row],[Elevation
PILE TOP]]-Table2[[#This Row],[LENGTH(m.)
(Actual)]]</f>
        <v>0.35</v>
      </c>
      <c r="R946" s="2"/>
      <c r="S946" s="7">
        <f>Table2[[#This Row],[N]]+Table2[[#This Row],[Pile 
Deviation 
N (m)]]</f>
        <v>1511723.4750000001</v>
      </c>
      <c r="T946" s="7">
        <f>Table2[[#This Row],[E]]+Table2[[#This Row],[Pile 
Deviation 
E (m)]]</f>
        <v>694019.51</v>
      </c>
      <c r="W946" s="7">
        <v>-0.15</v>
      </c>
      <c r="X946" s="2" t="s">
        <v>42</v>
      </c>
      <c r="AA946" s="9">
        <v>46233</v>
      </c>
    </row>
    <row r="947" spans="1:27" ht="13.95" hidden="1" customHeight="1" x14ac:dyDescent="0.65">
      <c r="A947">
        <v>945</v>
      </c>
      <c r="B947" t="s">
        <v>29</v>
      </c>
      <c r="C947" s="6">
        <v>1511725.145</v>
      </c>
      <c r="D947" s="6">
        <v>694021.99699999997</v>
      </c>
      <c r="E947" s="2" t="s">
        <v>35</v>
      </c>
      <c r="F947" s="1">
        <v>24</v>
      </c>
      <c r="G947" s="2" t="s">
        <v>48</v>
      </c>
      <c r="J947"/>
      <c r="K947" s="19"/>
      <c r="L947" s="21"/>
      <c r="M947" s="27"/>
      <c r="N947" s="19"/>
      <c r="O947" s="21"/>
      <c r="P947" s="7">
        <v>0.28999999999999998</v>
      </c>
      <c r="Q947" s="7">
        <f>Table2[[#This Row],[Elevation
PILE TOP]]-Table2[[#This Row],[LENGTH(m.)
(Actual)]]</f>
        <v>0.28999999999999998</v>
      </c>
      <c r="R947" s="2"/>
      <c r="S947" s="7">
        <f>Table2[[#This Row],[N]]+Table2[[#This Row],[Pile 
Deviation 
N (m)]]</f>
        <v>1511725.145</v>
      </c>
      <c r="T947" s="7">
        <f>Table2[[#This Row],[E]]+Table2[[#This Row],[Pile 
Deviation 
E (m)]]</f>
        <v>694021.99699999997</v>
      </c>
      <c r="W947" s="7">
        <v>0.28999999999999998</v>
      </c>
      <c r="X947" s="2" t="s">
        <v>40</v>
      </c>
      <c r="AA947" s="9">
        <v>46234</v>
      </c>
    </row>
    <row r="948" spans="1:27" hidden="1" x14ac:dyDescent="0.65">
      <c r="A948">
        <v>946</v>
      </c>
      <c r="B948" t="s">
        <v>29</v>
      </c>
      <c r="C948" s="6">
        <v>1511725.818</v>
      </c>
      <c r="D948" s="6">
        <v>694025.33</v>
      </c>
      <c r="E948" s="2" t="s">
        <v>35</v>
      </c>
      <c r="F948" s="1">
        <v>24</v>
      </c>
      <c r="G948" s="2" t="s">
        <v>48</v>
      </c>
      <c r="J948"/>
      <c r="K948" s="19"/>
      <c r="L948" s="21"/>
      <c r="M948" s="27"/>
      <c r="N948" s="19"/>
      <c r="O948" s="21"/>
      <c r="P948" s="7">
        <v>0.28999999999999998</v>
      </c>
      <c r="Q948" s="7">
        <f>Table2[[#This Row],[Elevation
PILE TOP]]-Table2[[#This Row],[LENGTH(m.)
(Actual)]]</f>
        <v>0.28999999999999998</v>
      </c>
      <c r="R948" s="2"/>
      <c r="S948" s="7">
        <f>Table2[[#This Row],[N]]+Table2[[#This Row],[Pile 
Deviation 
N (m)]]</f>
        <v>1511725.818</v>
      </c>
      <c r="T948" s="7">
        <f>Table2[[#This Row],[E]]+Table2[[#This Row],[Pile 
Deviation 
E (m)]]</f>
        <v>694025.33</v>
      </c>
      <c r="W948" s="7">
        <v>0.28999999999999998</v>
      </c>
      <c r="X948" s="2" t="s">
        <v>40</v>
      </c>
      <c r="AA948" s="9">
        <v>46235</v>
      </c>
    </row>
    <row r="949" spans="1:27" ht="13.95" hidden="1" customHeight="1" x14ac:dyDescent="0.65">
      <c r="A949">
        <v>947</v>
      </c>
      <c r="B949" t="s">
        <v>29</v>
      </c>
      <c r="C949" s="6">
        <v>1511727.071</v>
      </c>
      <c r="D949" s="6">
        <v>694025.72</v>
      </c>
      <c r="E949" s="2" t="s">
        <v>41</v>
      </c>
      <c r="F949" s="1">
        <v>26</v>
      </c>
      <c r="G949" s="2" t="s">
        <v>48</v>
      </c>
      <c r="J949"/>
      <c r="K949" s="19"/>
      <c r="L949" s="21"/>
      <c r="M949" s="27"/>
      <c r="N949" s="19"/>
      <c r="O949" s="21"/>
      <c r="P949" s="7">
        <v>0.35</v>
      </c>
      <c r="Q949" s="7">
        <f>Table2[[#This Row],[Elevation
PILE TOP]]-Table2[[#This Row],[LENGTH(m.)
(Actual)]]</f>
        <v>0.35</v>
      </c>
      <c r="R949" s="2"/>
      <c r="S949" s="7">
        <f>Table2[[#This Row],[N]]+Table2[[#This Row],[Pile 
Deviation 
N (m)]]</f>
        <v>1511727.071</v>
      </c>
      <c r="T949" s="7">
        <f>Table2[[#This Row],[E]]+Table2[[#This Row],[Pile 
Deviation 
E (m)]]</f>
        <v>694025.72</v>
      </c>
      <c r="W949" s="7">
        <v>-0.15</v>
      </c>
      <c r="X949" s="2" t="s">
        <v>42</v>
      </c>
      <c r="AA949" s="9">
        <v>46230</v>
      </c>
    </row>
    <row r="950" spans="1:27" hidden="1" x14ac:dyDescent="0.65">
      <c r="A950">
        <v>948</v>
      </c>
      <c r="B950" t="s">
        <v>29</v>
      </c>
      <c r="C950" s="6">
        <v>1511728.9839999999</v>
      </c>
      <c r="D950" s="6">
        <v>694026.99</v>
      </c>
      <c r="E950" s="2" t="s">
        <v>41</v>
      </c>
      <c r="F950" s="1">
        <v>26</v>
      </c>
      <c r="G950" s="2" t="s">
        <v>48</v>
      </c>
      <c r="J950"/>
      <c r="K950" s="19"/>
      <c r="L950" s="21"/>
      <c r="M950" s="27"/>
      <c r="N950" s="19"/>
      <c r="O950" s="21"/>
      <c r="P950" s="7">
        <v>0.35</v>
      </c>
      <c r="Q950" s="7">
        <f>Table2[[#This Row],[Elevation
PILE TOP]]-Table2[[#This Row],[LENGTH(m.)
(Actual)]]</f>
        <v>0.35</v>
      </c>
      <c r="R950" s="2"/>
      <c r="S950" s="7">
        <f>Table2[[#This Row],[N]]+Table2[[#This Row],[Pile 
Deviation 
N (m)]]</f>
        <v>1511728.9839999999</v>
      </c>
      <c r="T950" s="7">
        <f>Table2[[#This Row],[E]]+Table2[[#This Row],[Pile 
Deviation 
E (m)]]</f>
        <v>694026.99</v>
      </c>
      <c r="W950" s="7">
        <v>-0.15</v>
      </c>
      <c r="X950" s="2" t="s">
        <v>42</v>
      </c>
      <c r="AA950" s="9">
        <v>46230</v>
      </c>
    </row>
    <row r="951" spans="1:27" ht="13.95" hidden="1" customHeight="1" x14ac:dyDescent="0.65">
      <c r="A951">
        <v>949</v>
      </c>
      <c r="B951" t="s">
        <v>29</v>
      </c>
      <c r="C951" s="6">
        <v>1511729.439</v>
      </c>
      <c r="D951" s="6">
        <v>694029.24100000004</v>
      </c>
      <c r="E951" s="2" t="s">
        <v>41</v>
      </c>
      <c r="F951" s="1">
        <v>26</v>
      </c>
      <c r="G951" s="2" t="s">
        <v>48</v>
      </c>
      <c r="J951"/>
      <c r="K951" s="19"/>
      <c r="L951" s="21"/>
      <c r="M951" s="27"/>
      <c r="N951" s="19"/>
      <c r="O951" s="21"/>
      <c r="P951" s="7">
        <v>0.35</v>
      </c>
      <c r="Q951" s="7">
        <f>Table2[[#This Row],[Elevation
PILE TOP]]-Table2[[#This Row],[LENGTH(m.)
(Actual)]]</f>
        <v>0.35</v>
      </c>
      <c r="R951" s="2"/>
      <c r="S951" s="7">
        <f>Table2[[#This Row],[N]]+Table2[[#This Row],[Pile 
Deviation 
N (m)]]</f>
        <v>1511729.439</v>
      </c>
      <c r="T951" s="7">
        <f>Table2[[#This Row],[E]]+Table2[[#This Row],[Pile 
Deviation 
E (m)]]</f>
        <v>694029.24100000004</v>
      </c>
      <c r="W951" s="7">
        <v>-0.15</v>
      </c>
      <c r="X951" s="2" t="s">
        <v>42</v>
      </c>
      <c r="AA951" s="9">
        <v>46228</v>
      </c>
    </row>
    <row r="952" spans="1:27" hidden="1" x14ac:dyDescent="0.65">
      <c r="A952">
        <v>950</v>
      </c>
      <c r="B952" t="s">
        <v>29</v>
      </c>
      <c r="C952" s="6">
        <v>1511728.1680000001</v>
      </c>
      <c r="D952" s="6">
        <v>694031.15399999998</v>
      </c>
      <c r="E952" s="2" t="s">
        <v>41</v>
      </c>
      <c r="F952" s="1">
        <v>26</v>
      </c>
      <c r="G952" s="2" t="s">
        <v>48</v>
      </c>
      <c r="J952"/>
      <c r="K952" s="19"/>
      <c r="L952" s="21"/>
      <c r="M952" s="27"/>
      <c r="N952" s="19"/>
      <c r="O952" s="21"/>
      <c r="P952" s="7">
        <v>0.35</v>
      </c>
      <c r="Q952" s="7">
        <f>Table2[[#This Row],[Elevation
PILE TOP]]-Table2[[#This Row],[LENGTH(m.)
(Actual)]]</f>
        <v>0.35</v>
      </c>
      <c r="R952" s="2"/>
      <c r="S952" s="7">
        <f>Table2[[#This Row],[N]]+Table2[[#This Row],[Pile 
Deviation 
N (m)]]</f>
        <v>1511728.1680000001</v>
      </c>
      <c r="T952" s="7">
        <f>Table2[[#This Row],[E]]+Table2[[#This Row],[Pile 
Deviation 
E (m)]]</f>
        <v>694031.15399999998</v>
      </c>
      <c r="W952" s="7">
        <v>-0.15</v>
      </c>
      <c r="X952" s="2" t="s">
        <v>42</v>
      </c>
      <c r="AA952" s="9">
        <v>46228</v>
      </c>
    </row>
    <row r="953" spans="1:27" ht="13.95" hidden="1" customHeight="1" x14ac:dyDescent="0.65">
      <c r="A953">
        <v>951</v>
      </c>
      <c r="B953" t="s">
        <v>29</v>
      </c>
      <c r="C953" s="6">
        <v>1511725.9180000001</v>
      </c>
      <c r="D953" s="6">
        <v>694031.60800000001</v>
      </c>
      <c r="E953" s="2" t="s">
        <v>41</v>
      </c>
      <c r="F953" s="1">
        <v>26</v>
      </c>
      <c r="G953" s="2" t="s">
        <v>48</v>
      </c>
      <c r="J953"/>
      <c r="K953" s="19"/>
      <c r="L953" s="21"/>
      <c r="M953" s="27"/>
      <c r="N953" s="19"/>
      <c r="O953" s="21"/>
      <c r="P953" s="7">
        <v>0.35</v>
      </c>
      <c r="Q953" s="7">
        <f>Table2[[#This Row],[Elevation
PILE TOP]]-Table2[[#This Row],[LENGTH(m.)
(Actual)]]</f>
        <v>0.35</v>
      </c>
      <c r="R953" s="2"/>
      <c r="S953" s="7">
        <f>Table2[[#This Row],[N]]+Table2[[#This Row],[Pile 
Deviation 
N (m)]]</f>
        <v>1511725.9180000001</v>
      </c>
      <c r="T953" s="7">
        <f>Table2[[#This Row],[E]]+Table2[[#This Row],[Pile 
Deviation 
E (m)]]</f>
        <v>694031.60800000001</v>
      </c>
      <c r="W953" s="7">
        <v>-0.15</v>
      </c>
      <c r="X953" s="2" t="s">
        <v>42</v>
      </c>
      <c r="AA953" s="9">
        <v>46228</v>
      </c>
    </row>
    <row r="954" spans="1:27" hidden="1" x14ac:dyDescent="0.65">
      <c r="A954">
        <v>952</v>
      </c>
      <c r="B954" t="s">
        <v>29</v>
      </c>
      <c r="C954" s="6">
        <v>1511724.0049999999</v>
      </c>
      <c r="D954" s="6">
        <v>694030.33799999999</v>
      </c>
      <c r="E954" s="2" t="s">
        <v>41</v>
      </c>
      <c r="F954" s="1">
        <v>26</v>
      </c>
      <c r="G954" s="2" t="s">
        <v>48</v>
      </c>
      <c r="J954"/>
      <c r="K954" s="19"/>
      <c r="L954" s="21"/>
      <c r="M954" s="27"/>
      <c r="N954" s="19"/>
      <c r="O954" s="21"/>
      <c r="P954" s="7">
        <v>0.35</v>
      </c>
      <c r="Q954" s="7">
        <f>Table2[[#This Row],[Elevation
PILE TOP]]-Table2[[#This Row],[LENGTH(m.)
(Actual)]]</f>
        <v>0.35</v>
      </c>
      <c r="R954" s="2"/>
      <c r="S954" s="7">
        <f>Table2[[#This Row],[N]]+Table2[[#This Row],[Pile 
Deviation 
N (m)]]</f>
        <v>1511724.0049999999</v>
      </c>
      <c r="T954" s="7">
        <f>Table2[[#This Row],[E]]+Table2[[#This Row],[Pile 
Deviation 
E (m)]]</f>
        <v>694030.33799999999</v>
      </c>
      <c r="W954" s="7">
        <v>-0.15</v>
      </c>
      <c r="X954" s="2" t="s">
        <v>42</v>
      </c>
      <c r="AA954" s="9">
        <v>46228</v>
      </c>
    </row>
    <row r="955" spans="1:27" ht="13.95" hidden="1" customHeight="1" x14ac:dyDescent="0.65">
      <c r="A955">
        <v>953</v>
      </c>
      <c r="B955" t="s">
        <v>29</v>
      </c>
      <c r="C955" s="6">
        <v>1511723.55</v>
      </c>
      <c r="D955" s="6">
        <v>694028.08799999999</v>
      </c>
      <c r="E955" s="2" t="s">
        <v>41</v>
      </c>
      <c r="F955" s="1">
        <v>26</v>
      </c>
      <c r="G955" s="2" t="s">
        <v>48</v>
      </c>
      <c r="J955"/>
      <c r="K955" s="19"/>
      <c r="L955" s="21"/>
      <c r="M955" s="27"/>
      <c r="N955" s="19"/>
      <c r="O955" s="21"/>
      <c r="P955" s="7">
        <v>0.35</v>
      </c>
      <c r="Q955" s="7">
        <f>Table2[[#This Row],[Elevation
PILE TOP]]-Table2[[#This Row],[LENGTH(m.)
(Actual)]]</f>
        <v>0.35</v>
      </c>
      <c r="R955" s="2"/>
      <c r="S955" s="7">
        <f>Table2[[#This Row],[N]]+Table2[[#This Row],[Pile 
Deviation 
N (m)]]</f>
        <v>1511723.55</v>
      </c>
      <c r="T955" s="7">
        <f>Table2[[#This Row],[E]]+Table2[[#This Row],[Pile 
Deviation 
E (m)]]</f>
        <v>694028.08799999999</v>
      </c>
      <c r="W955" s="7">
        <v>-0.15</v>
      </c>
      <c r="X955" s="2" t="s">
        <v>42</v>
      </c>
      <c r="AA955" s="9">
        <v>46230</v>
      </c>
    </row>
    <row r="956" spans="1:27" hidden="1" x14ac:dyDescent="0.65">
      <c r="A956">
        <v>954</v>
      </c>
      <c r="B956" t="s">
        <v>29</v>
      </c>
      <c r="C956" s="6">
        <v>1511724.821</v>
      </c>
      <c r="D956" s="6">
        <v>694026.17500000005</v>
      </c>
      <c r="E956" s="2" t="s">
        <v>41</v>
      </c>
      <c r="F956" s="1">
        <v>26</v>
      </c>
      <c r="G956" s="2" t="s">
        <v>48</v>
      </c>
      <c r="J956"/>
      <c r="K956" s="19"/>
      <c r="L956" s="21"/>
      <c r="M956" s="27"/>
      <c r="N956" s="19"/>
      <c r="O956" s="21"/>
      <c r="P956" s="7">
        <v>0.35</v>
      </c>
      <c r="Q956" s="7">
        <f>Table2[[#This Row],[Elevation
PILE TOP]]-Table2[[#This Row],[LENGTH(m.)
(Actual)]]</f>
        <v>0.35</v>
      </c>
      <c r="R956" s="2"/>
      <c r="S956" s="7">
        <f>Table2[[#This Row],[N]]+Table2[[#This Row],[Pile 
Deviation 
N (m)]]</f>
        <v>1511724.821</v>
      </c>
      <c r="T956" s="7">
        <f>Table2[[#This Row],[E]]+Table2[[#This Row],[Pile 
Deviation 
E (m)]]</f>
        <v>694026.17500000005</v>
      </c>
      <c r="W956" s="7">
        <v>-0.15</v>
      </c>
      <c r="X956" s="2" t="s">
        <v>42</v>
      </c>
      <c r="AA956" s="9">
        <v>46230</v>
      </c>
    </row>
    <row r="957" spans="1:27" ht="13.95" hidden="1" customHeight="1" x14ac:dyDescent="0.65">
      <c r="A957">
        <v>955</v>
      </c>
      <c r="B957" t="s">
        <v>29</v>
      </c>
      <c r="C957" s="6">
        <v>1511726.4909999999</v>
      </c>
      <c r="D957" s="6">
        <v>694028.66299999994</v>
      </c>
      <c r="E957" s="2" t="s">
        <v>35</v>
      </c>
      <c r="F957" s="1">
        <v>24</v>
      </c>
      <c r="G957" s="2" t="s">
        <v>48</v>
      </c>
      <c r="J957"/>
      <c r="K957" s="19"/>
      <c r="L957" s="21"/>
      <c r="M957" s="27"/>
      <c r="N957" s="19"/>
      <c r="O957" s="21"/>
      <c r="P957" s="7">
        <v>0.28999999999999998</v>
      </c>
      <c r="Q957" s="7">
        <f>Table2[[#This Row],[Elevation
PILE TOP]]-Table2[[#This Row],[LENGTH(m.)
(Actual)]]</f>
        <v>0.28999999999999998</v>
      </c>
      <c r="R957" s="2"/>
      <c r="S957" s="7">
        <f>Table2[[#This Row],[N]]+Table2[[#This Row],[Pile 
Deviation 
N (m)]]</f>
        <v>1511726.4909999999</v>
      </c>
      <c r="T957" s="7">
        <f>Table2[[#This Row],[E]]+Table2[[#This Row],[Pile 
Deviation 
E (m)]]</f>
        <v>694028.66299999994</v>
      </c>
      <c r="W957" s="7">
        <v>0.28999999999999998</v>
      </c>
      <c r="X957" s="2" t="s">
        <v>40</v>
      </c>
      <c r="AA957" s="9">
        <v>46230</v>
      </c>
    </row>
    <row r="958" spans="1:27" hidden="1" x14ac:dyDescent="0.65">
      <c r="A958">
        <v>956</v>
      </c>
      <c r="B958" t="s">
        <v>29</v>
      </c>
      <c r="C958" s="6">
        <v>1511727.085</v>
      </c>
      <c r="D958" s="6">
        <v>694031.603</v>
      </c>
      <c r="E958" s="2" t="s">
        <v>35</v>
      </c>
      <c r="F958" s="1">
        <v>24</v>
      </c>
      <c r="G958" s="2" t="s">
        <v>48</v>
      </c>
      <c r="J958"/>
      <c r="K958" s="19"/>
      <c r="L958" s="21"/>
      <c r="M958" s="27"/>
      <c r="N958" s="19"/>
      <c r="O958" s="21"/>
      <c r="P958" s="7">
        <v>0.28999999999999998</v>
      </c>
      <c r="Q958" s="7">
        <f>Table2[[#This Row],[Elevation
PILE TOP]]-Table2[[#This Row],[LENGTH(m.)
(Actual)]]</f>
        <v>0.28999999999999998</v>
      </c>
      <c r="R958" s="2"/>
      <c r="S958" s="7">
        <f>Table2[[#This Row],[N]]+Table2[[#This Row],[Pile 
Deviation 
N (m)]]</f>
        <v>1511727.085</v>
      </c>
      <c r="T958" s="7">
        <f>Table2[[#This Row],[E]]+Table2[[#This Row],[Pile 
Deviation 
E (m)]]</f>
        <v>694031.603</v>
      </c>
      <c r="W958" s="7">
        <v>0.28999999999999998</v>
      </c>
      <c r="X958" s="2" t="s">
        <v>40</v>
      </c>
      <c r="AA958" s="9">
        <v>46228</v>
      </c>
    </row>
    <row r="959" spans="1:27" ht="13.95" hidden="1" customHeight="1" x14ac:dyDescent="0.65">
      <c r="A959">
        <v>957</v>
      </c>
      <c r="B959" t="s">
        <v>29</v>
      </c>
      <c r="C959" s="6">
        <v>1511727.679</v>
      </c>
      <c r="D959" s="6">
        <v>694034.54399999999</v>
      </c>
      <c r="E959" s="2" t="s">
        <v>35</v>
      </c>
      <c r="F959" s="1">
        <v>24</v>
      </c>
      <c r="G959" s="2" t="s">
        <v>48</v>
      </c>
      <c r="J959"/>
      <c r="K959" s="19"/>
      <c r="L959" s="21"/>
      <c r="M959" s="27"/>
      <c r="N959" s="19"/>
      <c r="O959" s="21"/>
      <c r="P959" s="7">
        <v>0.28999999999999998</v>
      </c>
      <c r="Q959" s="7">
        <f>Table2[[#This Row],[Elevation
PILE TOP]]-Table2[[#This Row],[LENGTH(m.)
(Actual)]]</f>
        <v>0.28999999999999998</v>
      </c>
      <c r="R959" s="2"/>
      <c r="S959" s="7">
        <f>Table2[[#This Row],[N]]+Table2[[#This Row],[Pile 
Deviation 
N (m)]]</f>
        <v>1511727.679</v>
      </c>
      <c r="T959" s="7">
        <f>Table2[[#This Row],[E]]+Table2[[#This Row],[Pile 
Deviation 
E (m)]]</f>
        <v>694034.54399999999</v>
      </c>
      <c r="W959" s="7">
        <v>0.28999999999999998</v>
      </c>
      <c r="X959" s="2" t="s">
        <v>40</v>
      </c>
      <c r="AA959" s="9">
        <v>46227</v>
      </c>
    </row>
    <row r="960" spans="1:27" hidden="1" x14ac:dyDescent="0.65">
      <c r="A960">
        <v>958</v>
      </c>
      <c r="B960" t="s">
        <v>29</v>
      </c>
      <c r="C960" s="6">
        <v>1511728.8729999999</v>
      </c>
      <c r="D960" s="6">
        <v>694034.64099999995</v>
      </c>
      <c r="E960" s="2" t="s">
        <v>41</v>
      </c>
      <c r="F960" s="1">
        <v>26</v>
      </c>
      <c r="G960" s="2" t="s">
        <v>48</v>
      </c>
      <c r="J960"/>
      <c r="K960" s="19"/>
      <c r="L960" s="21"/>
      <c r="M960" s="27"/>
      <c r="N960" s="19"/>
      <c r="O960" s="21"/>
      <c r="P960" s="7">
        <v>0.35</v>
      </c>
      <c r="Q960" s="7">
        <f>Table2[[#This Row],[Elevation
PILE TOP]]-Table2[[#This Row],[LENGTH(m.)
(Actual)]]</f>
        <v>0.35</v>
      </c>
      <c r="R960" s="2"/>
      <c r="S960" s="7">
        <f>Table2[[#This Row],[N]]+Table2[[#This Row],[Pile 
Deviation 
N (m)]]</f>
        <v>1511728.8729999999</v>
      </c>
      <c r="T960" s="7">
        <f>Table2[[#This Row],[E]]+Table2[[#This Row],[Pile 
Deviation 
E (m)]]</f>
        <v>694034.64099999995</v>
      </c>
      <c r="W960" s="7">
        <v>-0.15</v>
      </c>
      <c r="X960" s="2" t="s">
        <v>42</v>
      </c>
      <c r="AA960" s="9">
        <v>46227</v>
      </c>
    </row>
    <row r="961" spans="1:27" ht="13.95" hidden="1" customHeight="1" x14ac:dyDescent="0.65">
      <c r="A961">
        <v>959</v>
      </c>
      <c r="B961" t="s">
        <v>29</v>
      </c>
      <c r="C961" s="6">
        <v>1511730.7860000001</v>
      </c>
      <c r="D961" s="6">
        <v>694035.91099999996</v>
      </c>
      <c r="E961" s="2" t="s">
        <v>41</v>
      </c>
      <c r="F961" s="1">
        <v>26</v>
      </c>
      <c r="G961" s="2" t="s">
        <v>48</v>
      </c>
      <c r="J961"/>
      <c r="K961" s="19"/>
      <c r="L961" s="21"/>
      <c r="M961" s="27"/>
      <c r="N961" s="19"/>
      <c r="O961" s="21"/>
      <c r="P961" s="7">
        <v>0.35</v>
      </c>
      <c r="Q961" s="7">
        <f>Table2[[#This Row],[Elevation
PILE TOP]]-Table2[[#This Row],[LENGTH(m.)
(Actual)]]</f>
        <v>0.35</v>
      </c>
      <c r="R961" s="2"/>
      <c r="S961" s="7">
        <f>Table2[[#This Row],[N]]+Table2[[#This Row],[Pile 
Deviation 
N (m)]]</f>
        <v>1511730.7860000001</v>
      </c>
      <c r="T961" s="7">
        <f>Table2[[#This Row],[E]]+Table2[[#This Row],[Pile 
Deviation 
E (m)]]</f>
        <v>694035.91099999996</v>
      </c>
      <c r="W961" s="7">
        <v>-0.15</v>
      </c>
      <c r="X961" s="2" t="s">
        <v>42</v>
      </c>
      <c r="AA961" s="9">
        <v>46227</v>
      </c>
    </row>
    <row r="962" spans="1:27" hidden="1" x14ac:dyDescent="0.65">
      <c r="A962">
        <v>960</v>
      </c>
      <c r="B962" t="s">
        <v>29</v>
      </c>
      <c r="C962" s="6">
        <v>1511731.24</v>
      </c>
      <c r="D962" s="6">
        <v>694038.16099999996</v>
      </c>
      <c r="E962" s="2" t="s">
        <v>41</v>
      </c>
      <c r="F962" s="1">
        <v>26</v>
      </c>
      <c r="G962" s="2" t="s">
        <v>48</v>
      </c>
      <c r="J962"/>
      <c r="K962" s="19"/>
      <c r="L962" s="21"/>
      <c r="M962" s="27"/>
      <c r="N962" s="19"/>
      <c r="O962" s="21"/>
      <c r="P962" s="7">
        <v>0.35</v>
      </c>
      <c r="Q962" s="7">
        <f>Table2[[#This Row],[Elevation
PILE TOP]]-Table2[[#This Row],[LENGTH(m.)
(Actual)]]</f>
        <v>0.35</v>
      </c>
      <c r="R962" s="2"/>
      <c r="S962" s="7">
        <f>Table2[[#This Row],[N]]+Table2[[#This Row],[Pile 
Deviation 
N (m)]]</f>
        <v>1511731.24</v>
      </c>
      <c r="T962" s="7">
        <f>Table2[[#This Row],[E]]+Table2[[#This Row],[Pile 
Deviation 
E (m)]]</f>
        <v>694038.16099999996</v>
      </c>
      <c r="W962" s="7">
        <v>-0.15</v>
      </c>
      <c r="X962" s="2" t="s">
        <v>42</v>
      </c>
      <c r="AA962" s="9">
        <v>46226</v>
      </c>
    </row>
    <row r="963" spans="1:27" ht="13.95" hidden="1" customHeight="1" x14ac:dyDescent="0.65">
      <c r="A963">
        <v>961</v>
      </c>
      <c r="B963" t="s">
        <v>29</v>
      </c>
      <c r="C963" s="6">
        <v>1511729.97</v>
      </c>
      <c r="D963" s="6">
        <v>694040.07400000002</v>
      </c>
      <c r="E963" s="2" t="s">
        <v>41</v>
      </c>
      <c r="F963" s="1">
        <v>26</v>
      </c>
      <c r="G963" s="2" t="s">
        <v>48</v>
      </c>
      <c r="J963"/>
      <c r="K963" s="19"/>
      <c r="L963" s="21"/>
      <c r="M963" s="27"/>
      <c r="N963" s="19"/>
      <c r="O963" s="21"/>
      <c r="P963" s="7">
        <v>0.35</v>
      </c>
      <c r="Q963" s="7">
        <f>Table2[[#This Row],[Elevation
PILE TOP]]-Table2[[#This Row],[LENGTH(m.)
(Actual)]]</f>
        <v>0.35</v>
      </c>
      <c r="R963" s="2"/>
      <c r="S963" s="7">
        <f>Table2[[#This Row],[N]]+Table2[[#This Row],[Pile 
Deviation 
N (m)]]</f>
        <v>1511729.97</v>
      </c>
      <c r="T963" s="7">
        <f>Table2[[#This Row],[E]]+Table2[[#This Row],[Pile 
Deviation 
E (m)]]</f>
        <v>694040.07400000002</v>
      </c>
      <c r="W963" s="7">
        <v>-0.15</v>
      </c>
      <c r="X963" s="2" t="s">
        <v>42</v>
      </c>
      <c r="AA963" s="9">
        <v>46226</v>
      </c>
    </row>
    <row r="964" spans="1:27" hidden="1" x14ac:dyDescent="0.65">
      <c r="A964">
        <v>962</v>
      </c>
      <c r="B964" t="s">
        <v>29</v>
      </c>
      <c r="C964" s="6">
        <v>1511727.719</v>
      </c>
      <c r="D964" s="6">
        <v>694040.52899999998</v>
      </c>
      <c r="E964" s="2" t="s">
        <v>41</v>
      </c>
      <c r="F964" s="1">
        <v>26</v>
      </c>
      <c r="G964" s="2" t="s">
        <v>48</v>
      </c>
      <c r="J964"/>
      <c r="K964" s="19"/>
      <c r="L964" s="21"/>
      <c r="M964" s="27"/>
      <c r="N964" s="19"/>
      <c r="O964" s="21"/>
      <c r="P964" s="7">
        <v>0.35</v>
      </c>
      <c r="Q964" s="7">
        <f>Table2[[#This Row],[Elevation
PILE TOP]]-Table2[[#This Row],[LENGTH(m.)
(Actual)]]</f>
        <v>0.35</v>
      </c>
      <c r="R964" s="2"/>
      <c r="S964" s="7">
        <f>Table2[[#This Row],[N]]+Table2[[#This Row],[Pile 
Deviation 
N (m)]]</f>
        <v>1511727.719</v>
      </c>
      <c r="T964" s="7">
        <f>Table2[[#This Row],[E]]+Table2[[#This Row],[Pile 
Deviation 
E (m)]]</f>
        <v>694040.52899999998</v>
      </c>
      <c r="W964" s="7">
        <v>-0.15</v>
      </c>
      <c r="X964" s="2" t="s">
        <v>42</v>
      </c>
      <c r="AA964" s="9">
        <v>46226</v>
      </c>
    </row>
    <row r="965" spans="1:27" ht="13.95" hidden="1" customHeight="1" x14ac:dyDescent="0.65">
      <c r="A965">
        <v>963</v>
      </c>
      <c r="B965" t="s">
        <v>29</v>
      </c>
      <c r="C965" s="6">
        <v>1511725.8060000001</v>
      </c>
      <c r="D965" s="6">
        <v>694039.25899999996</v>
      </c>
      <c r="E965" s="2" t="s">
        <v>41</v>
      </c>
      <c r="F965" s="1">
        <v>26</v>
      </c>
      <c r="G965" s="2" t="s">
        <v>48</v>
      </c>
      <c r="J965"/>
      <c r="K965" s="19"/>
      <c r="L965" s="21"/>
      <c r="M965" s="27"/>
      <c r="N965" s="19"/>
      <c r="O965" s="21"/>
      <c r="P965" s="7">
        <v>0.35</v>
      </c>
      <c r="Q965" s="7">
        <f>Table2[[#This Row],[Elevation
PILE TOP]]-Table2[[#This Row],[LENGTH(m.)
(Actual)]]</f>
        <v>0.35</v>
      </c>
      <c r="R965" s="2"/>
      <c r="S965" s="7">
        <f>Table2[[#This Row],[N]]+Table2[[#This Row],[Pile 
Deviation 
N (m)]]</f>
        <v>1511725.8060000001</v>
      </c>
      <c r="T965" s="7">
        <f>Table2[[#This Row],[E]]+Table2[[#This Row],[Pile 
Deviation 
E (m)]]</f>
        <v>694039.25899999996</v>
      </c>
      <c r="W965" s="7">
        <v>-0.15</v>
      </c>
      <c r="X965" s="2" t="s">
        <v>42</v>
      </c>
      <c r="AA965" s="9">
        <v>46226</v>
      </c>
    </row>
    <row r="966" spans="1:27" hidden="1" x14ac:dyDescent="0.65">
      <c r="A966">
        <v>964</v>
      </c>
      <c r="B966" t="s">
        <v>29</v>
      </c>
      <c r="C966" s="6">
        <v>1511725.352</v>
      </c>
      <c r="D966" s="6">
        <v>694037.00800000003</v>
      </c>
      <c r="E966" s="2" t="s">
        <v>41</v>
      </c>
      <c r="F966" s="1">
        <v>26</v>
      </c>
      <c r="G966" s="2" t="s">
        <v>48</v>
      </c>
      <c r="J966"/>
      <c r="K966" s="19"/>
      <c r="L966" s="21"/>
      <c r="M966" s="27"/>
      <c r="N966" s="19"/>
      <c r="O966" s="21"/>
      <c r="P966" s="7">
        <v>0.35</v>
      </c>
      <c r="Q966" s="7">
        <f>Table2[[#This Row],[Elevation
PILE TOP]]-Table2[[#This Row],[LENGTH(m.)
(Actual)]]</f>
        <v>0.35</v>
      </c>
      <c r="R966" s="2"/>
      <c r="S966" s="7">
        <f>Table2[[#This Row],[N]]+Table2[[#This Row],[Pile 
Deviation 
N (m)]]</f>
        <v>1511725.352</v>
      </c>
      <c r="T966" s="7">
        <f>Table2[[#This Row],[E]]+Table2[[#This Row],[Pile 
Deviation 
E (m)]]</f>
        <v>694037.00800000003</v>
      </c>
      <c r="W966" s="7">
        <v>-0.15</v>
      </c>
      <c r="X966" s="2" t="s">
        <v>42</v>
      </c>
      <c r="AA966" s="9">
        <v>46227</v>
      </c>
    </row>
    <row r="967" spans="1:27" ht="13.95" hidden="1" customHeight="1" x14ac:dyDescent="0.65">
      <c r="A967">
        <v>965</v>
      </c>
      <c r="B967" t="s">
        <v>29</v>
      </c>
      <c r="C967" s="6">
        <v>1511726.622</v>
      </c>
      <c r="D967" s="6">
        <v>694035.09499999997</v>
      </c>
      <c r="E967" s="2" t="s">
        <v>41</v>
      </c>
      <c r="F967" s="1">
        <v>26</v>
      </c>
      <c r="G967" s="2" t="s">
        <v>48</v>
      </c>
      <c r="J967"/>
      <c r="K967" s="19"/>
      <c r="L967" s="21"/>
      <c r="M967" s="27"/>
      <c r="N967" s="19"/>
      <c r="O967" s="21"/>
      <c r="P967" s="7">
        <v>0.35</v>
      </c>
      <c r="Q967" s="7">
        <f>Table2[[#This Row],[Elevation
PILE TOP]]-Table2[[#This Row],[LENGTH(m.)
(Actual)]]</f>
        <v>0.35</v>
      </c>
      <c r="R967" s="2"/>
      <c r="S967" s="7">
        <f>Table2[[#This Row],[N]]+Table2[[#This Row],[Pile 
Deviation 
N (m)]]</f>
        <v>1511726.622</v>
      </c>
      <c r="T967" s="7">
        <f>Table2[[#This Row],[E]]+Table2[[#This Row],[Pile 
Deviation 
E (m)]]</f>
        <v>694035.09499999997</v>
      </c>
      <c r="W967" s="7">
        <v>-0.15</v>
      </c>
      <c r="X967" s="2" t="s">
        <v>42</v>
      </c>
      <c r="AA967" s="9">
        <v>46227</v>
      </c>
    </row>
    <row r="968" spans="1:27" hidden="1" x14ac:dyDescent="0.65">
      <c r="A968">
        <v>966</v>
      </c>
      <c r="B968" t="s">
        <v>29</v>
      </c>
      <c r="C968" s="6">
        <v>1511728.273</v>
      </c>
      <c r="D968" s="6">
        <v>694037.48499999999</v>
      </c>
      <c r="E968" s="2" t="s">
        <v>35</v>
      </c>
      <c r="F968" s="1">
        <v>24</v>
      </c>
      <c r="G968" s="2" t="s">
        <v>48</v>
      </c>
      <c r="J968"/>
      <c r="K968" s="19"/>
      <c r="L968" s="21"/>
      <c r="M968" s="27"/>
      <c r="N968" s="19"/>
      <c r="O968" s="21"/>
      <c r="P968" s="7">
        <v>0.28999999999999998</v>
      </c>
      <c r="Q968" s="7">
        <f>Table2[[#This Row],[Elevation
PILE TOP]]-Table2[[#This Row],[LENGTH(m.)
(Actual)]]</f>
        <v>0.28999999999999998</v>
      </c>
      <c r="R968" s="2"/>
      <c r="S968" s="7">
        <f>Table2[[#This Row],[N]]+Table2[[#This Row],[Pile 
Deviation 
N (m)]]</f>
        <v>1511728.273</v>
      </c>
      <c r="T968" s="7">
        <f>Table2[[#This Row],[E]]+Table2[[#This Row],[Pile 
Deviation 
E (m)]]</f>
        <v>694037.48499999999</v>
      </c>
      <c r="W968" s="7">
        <v>0.28999999999999998</v>
      </c>
      <c r="X968" s="2" t="s">
        <v>40</v>
      </c>
      <c r="AA968" s="9">
        <v>46226</v>
      </c>
    </row>
    <row r="969" spans="1:27" ht="13.95" hidden="1" customHeight="1" x14ac:dyDescent="0.65">
      <c r="A969">
        <v>967</v>
      </c>
      <c r="B969" t="s">
        <v>29</v>
      </c>
      <c r="C969" s="6">
        <v>1511728.946</v>
      </c>
      <c r="D969" s="6">
        <v>694040.81700000004</v>
      </c>
      <c r="E969" s="2" t="s">
        <v>35</v>
      </c>
      <c r="F969" s="1">
        <v>24</v>
      </c>
      <c r="G969" s="2" t="s">
        <v>48</v>
      </c>
      <c r="J969"/>
      <c r="K969" s="19"/>
      <c r="L969" s="21"/>
      <c r="M969" s="27"/>
      <c r="N969" s="19"/>
      <c r="O969" s="21"/>
      <c r="P969" s="7">
        <v>0.28999999999999998</v>
      </c>
      <c r="Q969" s="7">
        <f>Table2[[#This Row],[Elevation
PILE TOP]]-Table2[[#This Row],[LENGTH(m.)
(Actual)]]</f>
        <v>0.28999999999999998</v>
      </c>
      <c r="R969" s="2"/>
      <c r="S969" s="7">
        <f>Table2[[#This Row],[N]]+Table2[[#This Row],[Pile 
Deviation 
N (m)]]</f>
        <v>1511728.946</v>
      </c>
      <c r="T969" s="7">
        <f>Table2[[#This Row],[E]]+Table2[[#This Row],[Pile 
Deviation 
E (m)]]</f>
        <v>694040.81700000004</v>
      </c>
      <c r="W969" s="7">
        <v>0.28999999999999998</v>
      </c>
      <c r="X969" s="2" t="s">
        <v>40</v>
      </c>
      <c r="AA969" s="9">
        <v>46226</v>
      </c>
    </row>
    <row r="970" spans="1:27" hidden="1" x14ac:dyDescent="0.65">
      <c r="A970">
        <v>968</v>
      </c>
      <c r="B970" t="s">
        <v>29</v>
      </c>
      <c r="C970" s="6">
        <v>1511730.219</v>
      </c>
      <c r="D970" s="6">
        <v>694041.30500000005</v>
      </c>
      <c r="E970" s="2" t="s">
        <v>41</v>
      </c>
      <c r="F970" s="1">
        <v>26</v>
      </c>
      <c r="G970" s="2" t="s">
        <v>48</v>
      </c>
      <c r="J970"/>
      <c r="K970" s="19"/>
      <c r="L970" s="21"/>
      <c r="M970" s="27"/>
      <c r="N970" s="19"/>
      <c r="O970" s="21"/>
      <c r="P970" s="7">
        <v>0.35</v>
      </c>
      <c r="Q970" s="7">
        <f>Table2[[#This Row],[Elevation
PILE TOP]]-Table2[[#This Row],[LENGTH(m.)
(Actual)]]</f>
        <v>0.35</v>
      </c>
      <c r="R970" s="2"/>
      <c r="S970" s="7">
        <f>Table2[[#This Row],[N]]+Table2[[#This Row],[Pile 
Deviation 
N (m)]]</f>
        <v>1511730.219</v>
      </c>
      <c r="T970" s="7">
        <f>Table2[[#This Row],[E]]+Table2[[#This Row],[Pile 
Deviation 
E (m)]]</f>
        <v>694041.30500000005</v>
      </c>
      <c r="W970" s="7">
        <v>-0.15</v>
      </c>
      <c r="X970" s="2" t="s">
        <v>42</v>
      </c>
      <c r="AA970" s="9">
        <v>46225</v>
      </c>
    </row>
    <row r="971" spans="1:27" ht="13.95" hidden="1" customHeight="1" x14ac:dyDescent="0.65">
      <c r="A971">
        <v>969</v>
      </c>
      <c r="B971" t="s">
        <v>29</v>
      </c>
      <c r="C971" s="6">
        <v>1511732.1310000001</v>
      </c>
      <c r="D971" s="6">
        <v>694042.57499999995</v>
      </c>
      <c r="E971" s="2" t="s">
        <v>41</v>
      </c>
      <c r="F971" s="1">
        <v>26</v>
      </c>
      <c r="G971" s="2" t="s">
        <v>48</v>
      </c>
      <c r="J971"/>
      <c r="K971" s="19"/>
      <c r="L971" s="21"/>
      <c r="M971" s="27"/>
      <c r="N971" s="19"/>
      <c r="O971" s="21"/>
      <c r="P971" s="7">
        <v>0.35</v>
      </c>
      <c r="Q971" s="7">
        <f>Table2[[#This Row],[Elevation
PILE TOP]]-Table2[[#This Row],[LENGTH(m.)
(Actual)]]</f>
        <v>0.35</v>
      </c>
      <c r="R971" s="2"/>
      <c r="S971" s="7">
        <f>Table2[[#This Row],[N]]+Table2[[#This Row],[Pile 
Deviation 
N (m)]]</f>
        <v>1511732.1310000001</v>
      </c>
      <c r="T971" s="7">
        <f>Table2[[#This Row],[E]]+Table2[[#This Row],[Pile 
Deviation 
E (m)]]</f>
        <v>694042.57499999995</v>
      </c>
      <c r="W971" s="7">
        <v>-0.15</v>
      </c>
      <c r="X971" s="2" t="s">
        <v>42</v>
      </c>
      <c r="AA971" s="9">
        <v>46225</v>
      </c>
    </row>
    <row r="972" spans="1:27" hidden="1" x14ac:dyDescent="0.65">
      <c r="A972">
        <v>970</v>
      </c>
      <c r="B972" t="s">
        <v>29</v>
      </c>
      <c r="C972" s="6">
        <v>1511732.5859999999</v>
      </c>
      <c r="D972" s="6">
        <v>694044.826</v>
      </c>
      <c r="E972" s="2" t="s">
        <v>41</v>
      </c>
      <c r="F972" s="1">
        <v>26</v>
      </c>
      <c r="G972" s="2" t="s">
        <v>48</v>
      </c>
      <c r="J972"/>
      <c r="K972" s="19"/>
      <c r="L972" s="21"/>
      <c r="M972" s="27"/>
      <c r="N972" s="19"/>
      <c r="O972" s="21"/>
      <c r="P972" s="7">
        <v>0.35</v>
      </c>
      <c r="Q972" s="7">
        <f>Table2[[#This Row],[Elevation
PILE TOP]]-Table2[[#This Row],[LENGTH(m.)
(Actual)]]</f>
        <v>0.35</v>
      </c>
      <c r="R972" s="2"/>
      <c r="S972" s="7">
        <f>Table2[[#This Row],[N]]+Table2[[#This Row],[Pile 
Deviation 
N (m)]]</f>
        <v>1511732.5859999999</v>
      </c>
      <c r="T972" s="7">
        <f>Table2[[#This Row],[E]]+Table2[[#This Row],[Pile 
Deviation 
E (m)]]</f>
        <v>694044.826</v>
      </c>
      <c r="W972" s="7">
        <v>-0.15</v>
      </c>
      <c r="X972" s="2" t="s">
        <v>42</v>
      </c>
      <c r="AA972" s="9">
        <v>46224</v>
      </c>
    </row>
    <row r="973" spans="1:27" ht="13.95" hidden="1" customHeight="1" x14ac:dyDescent="0.65">
      <c r="A973">
        <v>971</v>
      </c>
      <c r="B973" t="s">
        <v>29</v>
      </c>
      <c r="C973" s="6">
        <v>1511731.3160000001</v>
      </c>
      <c r="D973" s="6">
        <v>694046.73899999994</v>
      </c>
      <c r="E973" s="2" t="s">
        <v>41</v>
      </c>
      <c r="F973" s="1">
        <v>26</v>
      </c>
      <c r="G973" s="2" t="s">
        <v>48</v>
      </c>
      <c r="J973"/>
      <c r="K973" s="19"/>
      <c r="L973" s="21"/>
      <c r="M973" s="27"/>
      <c r="N973" s="19"/>
      <c r="O973" s="21"/>
      <c r="P973" s="7">
        <v>0.35</v>
      </c>
      <c r="Q973" s="7">
        <f>Table2[[#This Row],[Elevation
PILE TOP]]-Table2[[#This Row],[LENGTH(m.)
(Actual)]]</f>
        <v>0.35</v>
      </c>
      <c r="R973" s="2"/>
      <c r="S973" s="7">
        <f>Table2[[#This Row],[N]]+Table2[[#This Row],[Pile 
Deviation 
N (m)]]</f>
        <v>1511731.3160000001</v>
      </c>
      <c r="T973" s="7">
        <f>Table2[[#This Row],[E]]+Table2[[#This Row],[Pile 
Deviation 
E (m)]]</f>
        <v>694046.73899999994</v>
      </c>
      <c r="W973" s="7">
        <v>-0.15</v>
      </c>
      <c r="X973" s="2" t="s">
        <v>42</v>
      </c>
      <c r="AA973" s="9">
        <v>46224</v>
      </c>
    </row>
    <row r="974" spans="1:27" hidden="1" x14ac:dyDescent="0.65">
      <c r="A974">
        <v>972</v>
      </c>
      <c r="B974" t="s">
        <v>29</v>
      </c>
      <c r="C974" s="6">
        <v>1511729.0649999999</v>
      </c>
      <c r="D974" s="6">
        <v>694047.19299999997</v>
      </c>
      <c r="E974" s="2" t="s">
        <v>41</v>
      </c>
      <c r="F974" s="1">
        <v>26</v>
      </c>
      <c r="G974" s="2" t="s">
        <v>48</v>
      </c>
      <c r="J974"/>
      <c r="K974" s="19"/>
      <c r="L974" s="21"/>
      <c r="M974" s="27"/>
      <c r="N974" s="19"/>
      <c r="O974" s="21"/>
      <c r="P974" s="7">
        <v>0.35</v>
      </c>
      <c r="Q974" s="7">
        <f>Table2[[#This Row],[Elevation
PILE TOP]]-Table2[[#This Row],[LENGTH(m.)
(Actual)]]</f>
        <v>0.35</v>
      </c>
      <c r="R974" s="2"/>
      <c r="S974" s="7">
        <f>Table2[[#This Row],[N]]+Table2[[#This Row],[Pile 
Deviation 
N (m)]]</f>
        <v>1511729.0649999999</v>
      </c>
      <c r="T974" s="7">
        <f>Table2[[#This Row],[E]]+Table2[[#This Row],[Pile 
Deviation 
E (m)]]</f>
        <v>694047.19299999997</v>
      </c>
      <c r="W974" s="7">
        <v>-0.15</v>
      </c>
      <c r="X974" s="2" t="s">
        <v>42</v>
      </c>
      <c r="AA974" s="9">
        <v>46224</v>
      </c>
    </row>
    <row r="975" spans="1:27" ht="13.95" hidden="1" customHeight="1" x14ac:dyDescent="0.65">
      <c r="A975">
        <v>973</v>
      </c>
      <c r="B975" t="s">
        <v>29</v>
      </c>
      <c r="C975" s="6">
        <v>1511727.152</v>
      </c>
      <c r="D975" s="6">
        <v>694045.92299999995</v>
      </c>
      <c r="E975" s="2" t="s">
        <v>41</v>
      </c>
      <c r="F975" s="1">
        <v>26</v>
      </c>
      <c r="G975" s="2" t="s">
        <v>48</v>
      </c>
      <c r="J975"/>
      <c r="K975" s="19"/>
      <c r="L975" s="21"/>
      <c r="M975" s="27"/>
      <c r="N975" s="19"/>
      <c r="O975" s="21"/>
      <c r="P975" s="7">
        <v>0.35</v>
      </c>
      <c r="Q975" s="7">
        <f>Table2[[#This Row],[Elevation
PILE TOP]]-Table2[[#This Row],[LENGTH(m.)
(Actual)]]</f>
        <v>0.35</v>
      </c>
      <c r="R975" s="2"/>
      <c r="S975" s="7">
        <f>Table2[[#This Row],[N]]+Table2[[#This Row],[Pile 
Deviation 
N (m)]]</f>
        <v>1511727.152</v>
      </c>
      <c r="T975" s="7">
        <f>Table2[[#This Row],[E]]+Table2[[#This Row],[Pile 
Deviation 
E (m)]]</f>
        <v>694045.92299999995</v>
      </c>
      <c r="W975" s="7">
        <v>-0.15</v>
      </c>
      <c r="X975" s="2" t="s">
        <v>42</v>
      </c>
      <c r="AA975" s="9">
        <v>46224</v>
      </c>
    </row>
    <row r="976" spans="1:27" hidden="1" x14ac:dyDescent="0.65">
      <c r="A976">
        <v>974</v>
      </c>
      <c r="B976" t="s">
        <v>29</v>
      </c>
      <c r="C976" s="6">
        <v>1511726.6980000001</v>
      </c>
      <c r="D976" s="6">
        <v>694043.67299999995</v>
      </c>
      <c r="E976" s="2" t="s">
        <v>41</v>
      </c>
      <c r="F976" s="1">
        <v>26</v>
      </c>
      <c r="G976" s="2" t="s">
        <v>48</v>
      </c>
      <c r="J976"/>
      <c r="K976" s="19"/>
      <c r="L976" s="21"/>
      <c r="M976" s="27"/>
      <c r="N976" s="19"/>
      <c r="O976" s="21"/>
      <c r="P976" s="7">
        <v>0.35</v>
      </c>
      <c r="Q976" s="7">
        <f>Table2[[#This Row],[Elevation
PILE TOP]]-Table2[[#This Row],[LENGTH(m.)
(Actual)]]</f>
        <v>0.35</v>
      </c>
      <c r="R976" s="2"/>
      <c r="S976" s="7">
        <f>Table2[[#This Row],[N]]+Table2[[#This Row],[Pile 
Deviation 
N (m)]]</f>
        <v>1511726.6980000001</v>
      </c>
      <c r="T976" s="7">
        <f>Table2[[#This Row],[E]]+Table2[[#This Row],[Pile 
Deviation 
E (m)]]</f>
        <v>694043.67299999995</v>
      </c>
      <c r="W976" s="7">
        <v>-0.15</v>
      </c>
      <c r="X976" s="2" t="s">
        <v>42</v>
      </c>
      <c r="AA976" s="9">
        <v>46225</v>
      </c>
    </row>
    <row r="977" spans="1:27" ht="13.95" hidden="1" customHeight="1" x14ac:dyDescent="0.65">
      <c r="A977">
        <v>975</v>
      </c>
      <c r="B977" t="s">
        <v>29</v>
      </c>
      <c r="C977" s="6">
        <v>1511727.9680000001</v>
      </c>
      <c r="D977" s="6">
        <v>694041.76</v>
      </c>
      <c r="E977" s="2" t="s">
        <v>41</v>
      </c>
      <c r="F977" s="1">
        <v>26</v>
      </c>
      <c r="G977" s="2" t="s">
        <v>48</v>
      </c>
      <c r="J977"/>
      <c r="K977" s="19"/>
      <c r="L977" s="21"/>
      <c r="M977" s="27"/>
      <c r="N977" s="19"/>
      <c r="O977" s="21"/>
      <c r="P977" s="7">
        <v>0.35</v>
      </c>
      <c r="Q977" s="7">
        <f>Table2[[#This Row],[Elevation
PILE TOP]]-Table2[[#This Row],[LENGTH(m.)
(Actual)]]</f>
        <v>0.35</v>
      </c>
      <c r="R977" s="2"/>
      <c r="S977" s="7">
        <f>Table2[[#This Row],[N]]+Table2[[#This Row],[Pile 
Deviation 
N (m)]]</f>
        <v>1511727.9680000001</v>
      </c>
      <c r="T977" s="7">
        <f>Table2[[#This Row],[E]]+Table2[[#This Row],[Pile 
Deviation 
E (m)]]</f>
        <v>694041.76</v>
      </c>
      <c r="W977" s="7">
        <v>-0.15</v>
      </c>
      <c r="X977" s="2" t="s">
        <v>42</v>
      </c>
      <c r="AA977" s="9">
        <v>46225</v>
      </c>
    </row>
    <row r="978" spans="1:27" hidden="1" x14ac:dyDescent="0.65">
      <c r="A978">
        <v>976</v>
      </c>
      <c r="B978" t="s">
        <v>29</v>
      </c>
      <c r="C978" s="6">
        <v>1511729.6189999999</v>
      </c>
      <c r="D978" s="6">
        <v>694044.15</v>
      </c>
      <c r="E978" s="2" t="s">
        <v>35</v>
      </c>
      <c r="F978" s="1">
        <v>24</v>
      </c>
      <c r="G978" s="2" t="s">
        <v>48</v>
      </c>
      <c r="J978"/>
      <c r="K978" s="19"/>
      <c r="L978" s="21"/>
      <c r="M978" s="27"/>
      <c r="N978" s="19"/>
      <c r="O978" s="21"/>
      <c r="P978" s="7">
        <v>0.28999999999999998</v>
      </c>
      <c r="Q978" s="7">
        <f>Table2[[#This Row],[Elevation
PILE TOP]]-Table2[[#This Row],[LENGTH(m.)
(Actual)]]</f>
        <v>0.28999999999999998</v>
      </c>
      <c r="R978" s="2"/>
      <c r="S978" s="7">
        <f>Table2[[#This Row],[N]]+Table2[[#This Row],[Pile 
Deviation 
N (m)]]</f>
        <v>1511729.6189999999</v>
      </c>
      <c r="T978" s="7">
        <f>Table2[[#This Row],[E]]+Table2[[#This Row],[Pile 
Deviation 
E (m)]]</f>
        <v>694044.15</v>
      </c>
      <c r="W978" s="7">
        <v>0.28999999999999998</v>
      </c>
      <c r="X978" s="2" t="s">
        <v>40</v>
      </c>
      <c r="AA978" s="9">
        <v>46225</v>
      </c>
    </row>
    <row r="979" spans="1:27" ht="13.95" hidden="1" customHeight="1" x14ac:dyDescent="0.65">
      <c r="A979">
        <v>977</v>
      </c>
      <c r="B979" t="s">
        <v>29</v>
      </c>
      <c r="C979" s="6">
        <v>1511730.213</v>
      </c>
      <c r="D979" s="6">
        <v>694047.09100000001</v>
      </c>
      <c r="E979" s="2" t="s">
        <v>35</v>
      </c>
      <c r="F979" s="1">
        <v>24</v>
      </c>
      <c r="G979" s="2" t="s">
        <v>48</v>
      </c>
      <c r="J979"/>
      <c r="K979" s="19"/>
      <c r="L979" s="21"/>
      <c r="M979" s="27"/>
      <c r="N979" s="19"/>
      <c r="O979" s="21"/>
      <c r="P979" s="7">
        <v>0.28999999999999998</v>
      </c>
      <c r="Q979" s="7">
        <f>Table2[[#This Row],[Elevation
PILE TOP]]-Table2[[#This Row],[LENGTH(m.)
(Actual)]]</f>
        <v>0.28999999999999998</v>
      </c>
      <c r="R979" s="2"/>
      <c r="S979" s="7">
        <f>Table2[[#This Row],[N]]+Table2[[#This Row],[Pile 
Deviation 
N (m)]]</f>
        <v>1511730.213</v>
      </c>
      <c r="T979" s="7">
        <f>Table2[[#This Row],[E]]+Table2[[#This Row],[Pile 
Deviation 
E (m)]]</f>
        <v>694047.09100000001</v>
      </c>
      <c r="W979" s="7">
        <v>0.28999999999999998</v>
      </c>
      <c r="X979" s="2" t="s">
        <v>40</v>
      </c>
      <c r="AA979" s="9">
        <v>46224</v>
      </c>
    </row>
    <row r="980" spans="1:27" x14ac:dyDescent="0.65">
      <c r="A980">
        <v>978</v>
      </c>
      <c r="B980" t="s">
        <v>29</v>
      </c>
      <c r="C980" s="6">
        <v>1511732.477</v>
      </c>
      <c r="D980" s="6">
        <v>694048.16799999995</v>
      </c>
      <c r="E980" s="2" t="s">
        <v>30</v>
      </c>
      <c r="F980" s="1">
        <v>24</v>
      </c>
      <c r="G980" s="2" t="s">
        <v>48</v>
      </c>
      <c r="J980"/>
      <c r="K980" s="19"/>
      <c r="L980" s="21"/>
      <c r="M980" s="27"/>
      <c r="N980" s="19"/>
      <c r="O980" s="21"/>
      <c r="P980" s="7">
        <v>-0.17499999999999999</v>
      </c>
      <c r="Q980" s="7">
        <f>Table2[[#This Row],[Elevation
PILE TOP]]-Table2[[#This Row],[LENGTH(m.)
(Actual)]]</f>
        <v>-0.17499999999999999</v>
      </c>
      <c r="R980" s="2"/>
      <c r="S980" s="7">
        <f>Table2[[#This Row],[N]]+Table2[[#This Row],[Pile 
Deviation 
N (m)]]</f>
        <v>1511732.477</v>
      </c>
      <c r="T980" s="7">
        <f>Table2[[#This Row],[E]]+Table2[[#This Row],[Pile 
Deviation 
E (m)]]</f>
        <v>694048.16799999995</v>
      </c>
      <c r="W980" s="7">
        <v>-0.67500000000000004</v>
      </c>
      <c r="X980" s="2" t="s">
        <v>33</v>
      </c>
      <c r="AA980" s="9">
        <v>46202</v>
      </c>
    </row>
    <row r="981" spans="1:27" ht="13.95" customHeight="1" x14ac:dyDescent="0.65">
      <c r="A981">
        <v>979</v>
      </c>
      <c r="B981" t="s">
        <v>29</v>
      </c>
      <c r="C981" s="6">
        <v>1511732.655</v>
      </c>
      <c r="D981" s="6">
        <v>694049.05</v>
      </c>
      <c r="E981" s="2" t="s">
        <v>30</v>
      </c>
      <c r="F981" s="1">
        <v>24</v>
      </c>
      <c r="G981" s="2" t="s">
        <v>48</v>
      </c>
      <c r="J981"/>
      <c r="K981" s="19"/>
      <c r="L981" s="21"/>
      <c r="M981" s="27"/>
      <c r="N981" s="19"/>
      <c r="O981" s="21"/>
      <c r="P981" s="7">
        <v>-0.17499999999999999</v>
      </c>
      <c r="Q981" s="7">
        <f>Table2[[#This Row],[Elevation
PILE TOP]]-Table2[[#This Row],[LENGTH(m.)
(Actual)]]</f>
        <v>-0.17499999999999999</v>
      </c>
      <c r="R981" s="2"/>
      <c r="S981" s="7">
        <f>Table2[[#This Row],[N]]+Table2[[#This Row],[Pile 
Deviation 
N (m)]]</f>
        <v>1511732.655</v>
      </c>
      <c r="T981" s="7">
        <f>Table2[[#This Row],[E]]+Table2[[#This Row],[Pile 
Deviation 
E (m)]]</f>
        <v>694049.05</v>
      </c>
      <c r="W981" s="7">
        <v>-0.67500000000000004</v>
      </c>
      <c r="X981" s="2" t="s">
        <v>33</v>
      </c>
      <c r="AA981" s="9">
        <v>46202</v>
      </c>
    </row>
    <row r="982" spans="1:27" x14ac:dyDescent="0.65">
      <c r="A982">
        <v>980</v>
      </c>
      <c r="B982" t="s">
        <v>29</v>
      </c>
      <c r="C982" s="6">
        <v>1511731.693</v>
      </c>
      <c r="D982" s="6">
        <v>694048.32700000005</v>
      </c>
      <c r="E982" s="2" t="s">
        <v>30</v>
      </c>
      <c r="F982" s="1">
        <v>24</v>
      </c>
      <c r="G982" s="2" t="s">
        <v>48</v>
      </c>
      <c r="J982"/>
      <c r="K982" s="19"/>
      <c r="L982" s="21"/>
      <c r="M982" s="27"/>
      <c r="N982" s="19"/>
      <c r="O982" s="21"/>
      <c r="P982" s="7">
        <v>-0.17499999999999999</v>
      </c>
      <c r="Q982" s="7">
        <f>Table2[[#This Row],[Elevation
PILE TOP]]-Table2[[#This Row],[LENGTH(m.)
(Actual)]]</f>
        <v>-0.17499999999999999</v>
      </c>
      <c r="R982" s="2"/>
      <c r="S982" s="7">
        <f>Table2[[#This Row],[N]]+Table2[[#This Row],[Pile 
Deviation 
N (m)]]</f>
        <v>1511731.693</v>
      </c>
      <c r="T982" s="7">
        <f>Table2[[#This Row],[E]]+Table2[[#This Row],[Pile 
Deviation 
E (m)]]</f>
        <v>694048.32700000005</v>
      </c>
      <c r="W982" s="7">
        <v>-0.67500000000000004</v>
      </c>
      <c r="X982" s="2" t="s">
        <v>33</v>
      </c>
      <c r="AA982" s="9">
        <v>46202</v>
      </c>
    </row>
    <row r="983" spans="1:27" ht="13.95" customHeight="1" x14ac:dyDescent="0.65">
      <c r="A983">
        <v>981</v>
      </c>
      <c r="B983" t="s">
        <v>29</v>
      </c>
      <c r="C983" s="6">
        <v>1511731.871</v>
      </c>
      <c r="D983" s="6">
        <v>694049.20900000003</v>
      </c>
      <c r="E983" s="2" t="s">
        <v>30</v>
      </c>
      <c r="F983" s="1">
        <v>24</v>
      </c>
      <c r="G983" s="2" t="s">
        <v>48</v>
      </c>
      <c r="J983"/>
      <c r="K983" s="19"/>
      <c r="L983" s="21"/>
      <c r="M983" s="27"/>
      <c r="N983" s="19"/>
      <c r="O983" s="21"/>
      <c r="P983" s="7">
        <v>-0.17499999999999999</v>
      </c>
      <c r="Q983" s="7">
        <f>Table2[[#This Row],[Elevation
PILE TOP]]-Table2[[#This Row],[LENGTH(m.)
(Actual)]]</f>
        <v>-0.17499999999999999</v>
      </c>
      <c r="R983" s="2"/>
      <c r="S983" s="7">
        <f>Table2[[#This Row],[N]]+Table2[[#This Row],[Pile 
Deviation 
N (m)]]</f>
        <v>1511731.871</v>
      </c>
      <c r="T983" s="7">
        <f>Table2[[#This Row],[E]]+Table2[[#This Row],[Pile 
Deviation 
E (m)]]</f>
        <v>694049.20900000003</v>
      </c>
      <c r="W983" s="7">
        <v>-0.67500000000000004</v>
      </c>
      <c r="X983" s="2" t="s">
        <v>33</v>
      </c>
      <c r="AA983" s="9">
        <v>46202</v>
      </c>
    </row>
    <row r="984" spans="1:27" hidden="1" x14ac:dyDescent="0.65">
      <c r="A984">
        <v>982</v>
      </c>
      <c r="B984" t="s">
        <v>29</v>
      </c>
      <c r="C984" s="6">
        <v>1511718.8160000001</v>
      </c>
      <c r="D984" s="6">
        <v>694010.83400000003</v>
      </c>
      <c r="E984" s="2" t="s">
        <v>30</v>
      </c>
      <c r="F984" s="1">
        <v>24</v>
      </c>
      <c r="G984" s="2" t="s">
        <v>48</v>
      </c>
      <c r="J984"/>
      <c r="K984" s="19"/>
      <c r="L984" s="21"/>
      <c r="M984" s="27"/>
      <c r="N984" s="19"/>
      <c r="O984" s="21"/>
      <c r="P984" s="7">
        <v>-0.17499999999999999</v>
      </c>
      <c r="Q984" s="7">
        <f>Table2[[#This Row],[Elevation
PILE TOP]]-Table2[[#This Row],[LENGTH(m.)
(Actual)]]</f>
        <v>-0.17499999999999999</v>
      </c>
      <c r="R984" s="2"/>
      <c r="S984" s="7">
        <f>Table2[[#This Row],[N]]+Table2[[#This Row],[Pile 
Deviation 
N (m)]]</f>
        <v>1511718.8160000001</v>
      </c>
      <c r="T984" s="7">
        <f>Table2[[#This Row],[E]]+Table2[[#This Row],[Pile 
Deviation 
E (m)]]</f>
        <v>694010.83400000003</v>
      </c>
      <c r="W984" s="7">
        <v>-0.67500000000000004</v>
      </c>
      <c r="X984" s="2" t="s">
        <v>33</v>
      </c>
      <c r="AA984" s="9">
        <v>46217</v>
      </c>
    </row>
    <row r="985" spans="1:27" ht="13.95" hidden="1" customHeight="1" x14ac:dyDescent="0.65">
      <c r="A985">
        <v>983</v>
      </c>
      <c r="B985" t="s">
        <v>29</v>
      </c>
      <c r="C985" s="6">
        <v>1511718.9939999999</v>
      </c>
      <c r="D985" s="6">
        <v>694011.71600000001</v>
      </c>
      <c r="E985" s="2" t="s">
        <v>30</v>
      </c>
      <c r="F985" s="1">
        <v>24</v>
      </c>
      <c r="G985" s="2" t="s">
        <v>48</v>
      </c>
      <c r="J985"/>
      <c r="K985" s="19"/>
      <c r="L985" s="21"/>
      <c r="M985" s="27"/>
      <c r="N985" s="19"/>
      <c r="O985" s="21"/>
      <c r="P985" s="7">
        <v>-0.17499999999999999</v>
      </c>
      <c r="Q985" s="7">
        <f>Table2[[#This Row],[Elevation
PILE TOP]]-Table2[[#This Row],[LENGTH(m.)
(Actual)]]</f>
        <v>-0.17499999999999999</v>
      </c>
      <c r="R985" s="2"/>
      <c r="S985" s="7">
        <f>Table2[[#This Row],[N]]+Table2[[#This Row],[Pile 
Deviation 
N (m)]]</f>
        <v>1511718.9939999999</v>
      </c>
      <c r="T985" s="7">
        <f>Table2[[#This Row],[E]]+Table2[[#This Row],[Pile 
Deviation 
E (m)]]</f>
        <v>694011.71600000001</v>
      </c>
      <c r="W985" s="7">
        <v>-0.67500000000000004</v>
      </c>
      <c r="X985" s="2" t="s">
        <v>33</v>
      </c>
      <c r="AA985" s="9">
        <v>46217</v>
      </c>
    </row>
    <row r="986" spans="1:27" hidden="1" x14ac:dyDescent="0.65">
      <c r="A986">
        <v>984</v>
      </c>
      <c r="B986" t="s">
        <v>29</v>
      </c>
      <c r="C986" s="6">
        <v>1511718.0319999999</v>
      </c>
      <c r="D986" s="6">
        <v>694010.99199999997</v>
      </c>
      <c r="E986" s="2" t="s">
        <v>30</v>
      </c>
      <c r="F986" s="1">
        <v>24</v>
      </c>
      <c r="G986" s="2" t="s">
        <v>48</v>
      </c>
      <c r="J986"/>
      <c r="K986" s="19"/>
      <c r="L986" s="21"/>
      <c r="M986" s="27"/>
      <c r="N986" s="19"/>
      <c r="O986" s="21"/>
      <c r="P986" s="7">
        <v>-0.17499999999999999</v>
      </c>
      <c r="Q986" s="7">
        <f>Table2[[#This Row],[Elevation
PILE TOP]]-Table2[[#This Row],[LENGTH(m.)
(Actual)]]</f>
        <v>-0.17499999999999999</v>
      </c>
      <c r="R986" s="2"/>
      <c r="S986" s="7">
        <f>Table2[[#This Row],[N]]+Table2[[#This Row],[Pile 
Deviation 
N (m)]]</f>
        <v>1511718.0319999999</v>
      </c>
      <c r="T986" s="7">
        <f>Table2[[#This Row],[E]]+Table2[[#This Row],[Pile 
Deviation 
E (m)]]</f>
        <v>694010.99199999997</v>
      </c>
      <c r="W986" s="7">
        <v>-0.67500000000000004</v>
      </c>
      <c r="X986" s="2" t="s">
        <v>33</v>
      </c>
      <c r="AA986" s="9">
        <v>46217</v>
      </c>
    </row>
    <row r="987" spans="1:27" ht="13.95" hidden="1" customHeight="1" x14ac:dyDescent="0.65">
      <c r="A987">
        <v>985</v>
      </c>
      <c r="B987" t="s">
        <v>29</v>
      </c>
      <c r="C987" s="6">
        <v>1511718.21</v>
      </c>
      <c r="D987" s="6">
        <v>694011.87399999995</v>
      </c>
      <c r="E987" s="2" t="s">
        <v>30</v>
      </c>
      <c r="F987" s="1">
        <v>24</v>
      </c>
      <c r="G987" s="2" t="s">
        <v>48</v>
      </c>
      <c r="J987"/>
      <c r="K987" s="19"/>
      <c r="L987" s="21"/>
      <c r="M987" s="27"/>
      <c r="N987" s="19"/>
      <c r="O987" s="21"/>
      <c r="P987" s="7">
        <v>-0.17499999999999999</v>
      </c>
      <c r="Q987" s="7">
        <f>Table2[[#This Row],[Elevation
PILE TOP]]-Table2[[#This Row],[LENGTH(m.)
(Actual)]]</f>
        <v>-0.17499999999999999</v>
      </c>
      <c r="R987" s="2"/>
      <c r="S987" s="7">
        <f>Table2[[#This Row],[N]]+Table2[[#This Row],[Pile 
Deviation 
N (m)]]</f>
        <v>1511718.21</v>
      </c>
      <c r="T987" s="7">
        <f>Table2[[#This Row],[E]]+Table2[[#This Row],[Pile 
Deviation 
E (m)]]</f>
        <v>694011.87399999995</v>
      </c>
      <c r="W987" s="7">
        <v>-0.67500000000000004</v>
      </c>
      <c r="X987" s="2" t="s">
        <v>33</v>
      </c>
      <c r="AA987" s="9">
        <v>46217</v>
      </c>
    </row>
    <row r="988" spans="1:27" hidden="1" x14ac:dyDescent="0.65">
      <c r="A988">
        <v>986</v>
      </c>
      <c r="B988" t="s">
        <v>29</v>
      </c>
      <c r="C988" s="6">
        <v>1511719.8729999999</v>
      </c>
      <c r="D988" s="6">
        <v>694013.06400000001</v>
      </c>
      <c r="E988" s="2" t="s">
        <v>35</v>
      </c>
      <c r="F988" s="1">
        <v>24</v>
      </c>
      <c r="G988" s="2" t="s">
        <v>48</v>
      </c>
      <c r="J988"/>
      <c r="K988" s="19"/>
      <c r="L988" s="21"/>
      <c r="M988" s="27"/>
      <c r="N988" s="19"/>
      <c r="O988" s="21"/>
      <c r="P988" s="7">
        <v>0.28999999999999998</v>
      </c>
      <c r="Q988" s="7">
        <f>Table2[[#This Row],[Elevation
PILE TOP]]-Table2[[#This Row],[LENGTH(m.)
(Actual)]]</f>
        <v>0.28999999999999998</v>
      </c>
      <c r="R988" s="2"/>
      <c r="S988" s="7">
        <f>Table2[[#This Row],[N]]+Table2[[#This Row],[Pile 
Deviation 
N (m)]]</f>
        <v>1511719.8729999999</v>
      </c>
      <c r="T988" s="7">
        <f>Table2[[#This Row],[E]]+Table2[[#This Row],[Pile 
Deviation 
E (m)]]</f>
        <v>694013.06400000001</v>
      </c>
      <c r="W988" s="7">
        <v>0.28999999999999998</v>
      </c>
      <c r="X988" s="2" t="s">
        <v>40</v>
      </c>
      <c r="AA988" s="9">
        <v>46230</v>
      </c>
    </row>
    <row r="989" spans="1:27" ht="13.95" hidden="1" customHeight="1" x14ac:dyDescent="0.65">
      <c r="A989">
        <v>987</v>
      </c>
      <c r="B989" t="s">
        <v>29</v>
      </c>
      <c r="C989" s="6">
        <v>1511720.4669999999</v>
      </c>
      <c r="D989" s="6">
        <v>694016.005</v>
      </c>
      <c r="E989" s="2" t="s">
        <v>35</v>
      </c>
      <c r="F989" s="1">
        <v>24</v>
      </c>
      <c r="G989" s="2" t="s">
        <v>48</v>
      </c>
      <c r="J989"/>
      <c r="K989" s="19"/>
      <c r="L989" s="21"/>
      <c r="M989" s="27"/>
      <c r="N989" s="19"/>
      <c r="O989" s="21"/>
      <c r="P989" s="7">
        <v>0.28999999999999998</v>
      </c>
      <c r="Q989" s="7">
        <f>Table2[[#This Row],[Elevation
PILE TOP]]-Table2[[#This Row],[LENGTH(m.)
(Actual)]]</f>
        <v>0.28999999999999998</v>
      </c>
      <c r="R989" s="2"/>
      <c r="S989" s="7">
        <f>Table2[[#This Row],[N]]+Table2[[#This Row],[Pile 
Deviation 
N (m)]]</f>
        <v>1511720.4669999999</v>
      </c>
      <c r="T989" s="7">
        <f>Table2[[#This Row],[E]]+Table2[[#This Row],[Pile 
Deviation 
E (m)]]</f>
        <v>694016.005</v>
      </c>
      <c r="W989" s="7">
        <v>0.28999999999999998</v>
      </c>
      <c r="X989" s="2" t="s">
        <v>40</v>
      </c>
      <c r="AA989" s="9">
        <v>46230</v>
      </c>
    </row>
    <row r="990" spans="1:27" hidden="1" x14ac:dyDescent="0.65">
      <c r="A990">
        <v>988</v>
      </c>
      <c r="B990" t="s">
        <v>29</v>
      </c>
      <c r="C990" s="6">
        <v>1511721.14</v>
      </c>
      <c r="D990" s="6">
        <v>694019.33799999999</v>
      </c>
      <c r="E990" s="2" t="s">
        <v>35</v>
      </c>
      <c r="F990" s="1">
        <v>24</v>
      </c>
      <c r="G990" s="2" t="s">
        <v>48</v>
      </c>
      <c r="J990"/>
      <c r="K990" s="19"/>
      <c r="L990" s="21"/>
      <c r="M990" s="27"/>
      <c r="N990" s="19"/>
      <c r="O990" s="21"/>
      <c r="P990" s="7">
        <v>0.28999999999999998</v>
      </c>
      <c r="Q990" s="7">
        <f>Table2[[#This Row],[Elevation
PILE TOP]]-Table2[[#This Row],[LENGTH(m.)
(Actual)]]</f>
        <v>0.28999999999999998</v>
      </c>
      <c r="R990" s="2"/>
      <c r="S990" s="7">
        <f>Table2[[#This Row],[N]]+Table2[[#This Row],[Pile 
Deviation 
N (m)]]</f>
        <v>1511721.14</v>
      </c>
      <c r="T990" s="7">
        <f>Table2[[#This Row],[E]]+Table2[[#This Row],[Pile 
Deviation 
E (m)]]</f>
        <v>694019.33799999999</v>
      </c>
      <c r="W990" s="7">
        <v>0.28999999999999998</v>
      </c>
      <c r="X990" s="2" t="s">
        <v>40</v>
      </c>
      <c r="AA990" s="9">
        <v>46233</v>
      </c>
    </row>
    <row r="991" spans="1:27" ht="13.95" hidden="1" customHeight="1" x14ac:dyDescent="0.65">
      <c r="A991">
        <v>989</v>
      </c>
      <c r="B991" t="s">
        <v>29</v>
      </c>
      <c r="C991" s="6">
        <v>1511721.8130000001</v>
      </c>
      <c r="D991" s="6">
        <v>694022.67</v>
      </c>
      <c r="E991" s="2" t="s">
        <v>35</v>
      </c>
      <c r="F991" s="1">
        <v>24</v>
      </c>
      <c r="G991" s="2" t="s">
        <v>48</v>
      </c>
      <c r="J991"/>
      <c r="K991" s="19"/>
      <c r="L991" s="21"/>
      <c r="M991" s="27"/>
      <c r="N991" s="19"/>
      <c r="O991" s="21"/>
      <c r="P991" s="7">
        <v>0.28999999999999998</v>
      </c>
      <c r="Q991" s="7">
        <f>Table2[[#This Row],[Elevation
PILE TOP]]-Table2[[#This Row],[LENGTH(m.)
(Actual)]]</f>
        <v>0.28999999999999998</v>
      </c>
      <c r="R991" s="2"/>
      <c r="S991" s="7">
        <f>Table2[[#This Row],[N]]+Table2[[#This Row],[Pile 
Deviation 
N (m)]]</f>
        <v>1511721.8130000001</v>
      </c>
      <c r="T991" s="7">
        <f>Table2[[#This Row],[E]]+Table2[[#This Row],[Pile 
Deviation 
E (m)]]</f>
        <v>694022.67</v>
      </c>
      <c r="W991" s="7">
        <v>0.28999999999999998</v>
      </c>
      <c r="X991" s="2" t="s">
        <v>40</v>
      </c>
      <c r="AA991" s="9">
        <v>46234</v>
      </c>
    </row>
    <row r="992" spans="1:27" hidden="1" x14ac:dyDescent="0.65">
      <c r="A992">
        <v>990</v>
      </c>
      <c r="B992" t="s">
        <v>29</v>
      </c>
      <c r="C992" s="6">
        <v>1511722.486</v>
      </c>
      <c r="D992" s="6">
        <v>694026.00300000003</v>
      </c>
      <c r="E992" s="2" t="s">
        <v>35</v>
      </c>
      <c r="F992" s="1">
        <v>24</v>
      </c>
      <c r="G992" s="2" t="s">
        <v>48</v>
      </c>
      <c r="J992"/>
      <c r="K992" s="19"/>
      <c r="L992" s="21"/>
      <c r="M992" s="27"/>
      <c r="N992" s="19"/>
      <c r="O992" s="21"/>
      <c r="P992" s="7">
        <v>0.28999999999999998</v>
      </c>
      <c r="Q992" s="7">
        <f>Table2[[#This Row],[Elevation
PILE TOP]]-Table2[[#This Row],[LENGTH(m.)
(Actual)]]</f>
        <v>0.28999999999999998</v>
      </c>
      <c r="R992" s="2"/>
      <c r="S992" s="7">
        <f>Table2[[#This Row],[N]]+Table2[[#This Row],[Pile 
Deviation 
N (m)]]</f>
        <v>1511722.486</v>
      </c>
      <c r="T992" s="7">
        <f>Table2[[#This Row],[E]]+Table2[[#This Row],[Pile 
Deviation 
E (m)]]</f>
        <v>694026.00300000003</v>
      </c>
      <c r="W992" s="7">
        <v>0.28999999999999998</v>
      </c>
      <c r="X992" s="2" t="s">
        <v>40</v>
      </c>
      <c r="AA992" s="9">
        <v>46235</v>
      </c>
    </row>
    <row r="993" spans="1:27" ht="13.95" hidden="1" customHeight="1" x14ac:dyDescent="0.65">
      <c r="A993">
        <v>991</v>
      </c>
      <c r="B993" t="s">
        <v>29</v>
      </c>
      <c r="C993" s="6">
        <v>1511723.159</v>
      </c>
      <c r="D993" s="6">
        <v>694029.33600000001</v>
      </c>
      <c r="E993" s="2" t="s">
        <v>35</v>
      </c>
      <c r="F993" s="1">
        <v>24</v>
      </c>
      <c r="G993" s="2" t="s">
        <v>48</v>
      </c>
      <c r="J993"/>
      <c r="K993" s="19"/>
      <c r="L993" s="21"/>
      <c r="M993" s="27"/>
      <c r="N993" s="19"/>
      <c r="O993" s="21"/>
      <c r="P993" s="7">
        <v>0.28999999999999998</v>
      </c>
      <c r="Q993" s="7">
        <f>Table2[[#This Row],[Elevation
PILE TOP]]-Table2[[#This Row],[LENGTH(m.)
(Actual)]]</f>
        <v>0.28999999999999998</v>
      </c>
      <c r="R993" s="2"/>
      <c r="S993" s="7">
        <f>Table2[[#This Row],[N]]+Table2[[#This Row],[Pile 
Deviation 
N (m)]]</f>
        <v>1511723.159</v>
      </c>
      <c r="T993" s="7">
        <f>Table2[[#This Row],[E]]+Table2[[#This Row],[Pile 
Deviation 
E (m)]]</f>
        <v>694029.33600000001</v>
      </c>
      <c r="W993" s="7">
        <v>0.28999999999999998</v>
      </c>
      <c r="X993" s="2" t="s">
        <v>40</v>
      </c>
      <c r="AA993" s="9">
        <v>46230</v>
      </c>
    </row>
    <row r="994" spans="1:27" hidden="1" x14ac:dyDescent="0.65">
      <c r="A994">
        <v>992</v>
      </c>
      <c r="B994" t="s">
        <v>29</v>
      </c>
      <c r="C994" s="6">
        <v>1511723.753</v>
      </c>
      <c r="D994" s="6">
        <v>694032.27599999995</v>
      </c>
      <c r="E994" s="2" t="s">
        <v>35</v>
      </c>
      <c r="F994" s="1">
        <v>24</v>
      </c>
      <c r="G994" s="2" t="s">
        <v>48</v>
      </c>
      <c r="J994"/>
      <c r="K994" s="19"/>
      <c r="L994" s="21"/>
      <c r="M994" s="27"/>
      <c r="N994" s="19"/>
      <c r="O994" s="21"/>
      <c r="P994" s="7">
        <v>0.28999999999999998</v>
      </c>
      <c r="Q994" s="7">
        <f>Table2[[#This Row],[Elevation
PILE TOP]]-Table2[[#This Row],[LENGTH(m.)
(Actual)]]</f>
        <v>0.28999999999999998</v>
      </c>
      <c r="R994" s="2"/>
      <c r="S994" s="7">
        <f>Table2[[#This Row],[N]]+Table2[[#This Row],[Pile 
Deviation 
N (m)]]</f>
        <v>1511723.753</v>
      </c>
      <c r="T994" s="7">
        <f>Table2[[#This Row],[E]]+Table2[[#This Row],[Pile 
Deviation 
E (m)]]</f>
        <v>694032.27599999995</v>
      </c>
      <c r="W994" s="7">
        <v>0.28999999999999998</v>
      </c>
      <c r="X994" s="2" t="s">
        <v>40</v>
      </c>
      <c r="AA994" s="9">
        <v>46228</v>
      </c>
    </row>
    <row r="995" spans="1:27" ht="13.95" hidden="1" customHeight="1" x14ac:dyDescent="0.65">
      <c r="A995">
        <v>993</v>
      </c>
      <c r="B995" t="s">
        <v>29</v>
      </c>
      <c r="C995" s="6">
        <v>1511724.3459999999</v>
      </c>
      <c r="D995" s="6">
        <v>694035.21699999995</v>
      </c>
      <c r="E995" s="2" t="s">
        <v>35</v>
      </c>
      <c r="F995" s="1">
        <v>24</v>
      </c>
      <c r="G995" s="2" t="s">
        <v>48</v>
      </c>
      <c r="J995"/>
      <c r="K995" s="19"/>
      <c r="L995" s="21"/>
      <c r="M995" s="27"/>
      <c r="N995" s="19"/>
      <c r="O995" s="21"/>
      <c r="P995" s="7">
        <v>0.28999999999999998</v>
      </c>
      <c r="Q995" s="7">
        <f>Table2[[#This Row],[Elevation
PILE TOP]]-Table2[[#This Row],[LENGTH(m.)
(Actual)]]</f>
        <v>0.28999999999999998</v>
      </c>
      <c r="R995" s="2"/>
      <c r="S995" s="7">
        <f>Table2[[#This Row],[N]]+Table2[[#This Row],[Pile 
Deviation 
N (m)]]</f>
        <v>1511724.3459999999</v>
      </c>
      <c r="T995" s="7">
        <f>Table2[[#This Row],[E]]+Table2[[#This Row],[Pile 
Deviation 
E (m)]]</f>
        <v>694035.21699999995</v>
      </c>
      <c r="W995" s="7">
        <v>0.28999999999999998</v>
      </c>
      <c r="X995" s="2" t="s">
        <v>40</v>
      </c>
      <c r="AA995" s="9">
        <v>46227</v>
      </c>
    </row>
    <row r="996" spans="1:27" hidden="1" x14ac:dyDescent="0.65">
      <c r="A996">
        <v>994</v>
      </c>
      <c r="B996" t="s">
        <v>29</v>
      </c>
      <c r="C996" s="6">
        <v>1511724.94</v>
      </c>
      <c r="D996" s="6">
        <v>694038.15800000005</v>
      </c>
      <c r="E996" s="2" t="s">
        <v>35</v>
      </c>
      <c r="F996" s="1">
        <v>24</v>
      </c>
      <c r="G996" s="2" t="s">
        <v>48</v>
      </c>
      <c r="J996"/>
      <c r="K996" s="19"/>
      <c r="L996" s="21"/>
      <c r="M996" s="27"/>
      <c r="N996" s="19"/>
      <c r="O996" s="21"/>
      <c r="P996" s="7">
        <v>0.28999999999999998</v>
      </c>
      <c r="Q996" s="7">
        <f>Table2[[#This Row],[Elevation
PILE TOP]]-Table2[[#This Row],[LENGTH(m.)
(Actual)]]</f>
        <v>0.28999999999999998</v>
      </c>
      <c r="R996" s="2"/>
      <c r="S996" s="7">
        <f>Table2[[#This Row],[N]]+Table2[[#This Row],[Pile 
Deviation 
N (m)]]</f>
        <v>1511724.94</v>
      </c>
      <c r="T996" s="7">
        <f>Table2[[#This Row],[E]]+Table2[[#This Row],[Pile 
Deviation 
E (m)]]</f>
        <v>694038.15800000005</v>
      </c>
      <c r="W996" s="7">
        <v>0.28999999999999998</v>
      </c>
      <c r="X996" s="2" t="s">
        <v>40</v>
      </c>
      <c r="AA996" s="9">
        <v>46226</v>
      </c>
    </row>
    <row r="997" spans="1:27" ht="13.95" hidden="1" customHeight="1" x14ac:dyDescent="0.65">
      <c r="A997">
        <v>995</v>
      </c>
      <c r="B997" t="s">
        <v>29</v>
      </c>
      <c r="C997" s="6">
        <v>1511725.6129999999</v>
      </c>
      <c r="D997" s="6">
        <v>694041.49</v>
      </c>
      <c r="E997" s="2" t="s">
        <v>35</v>
      </c>
      <c r="F997" s="1">
        <v>24</v>
      </c>
      <c r="G997" s="2" t="s">
        <v>48</v>
      </c>
      <c r="J997"/>
      <c r="K997" s="19"/>
      <c r="L997" s="21"/>
      <c r="M997" s="27"/>
      <c r="N997" s="19"/>
      <c r="O997" s="21"/>
      <c r="P997" s="7">
        <v>0.28999999999999998</v>
      </c>
      <c r="Q997" s="7">
        <f>Table2[[#This Row],[Elevation
PILE TOP]]-Table2[[#This Row],[LENGTH(m.)
(Actual)]]</f>
        <v>0.28999999999999998</v>
      </c>
      <c r="R997" s="2"/>
      <c r="S997" s="7">
        <f>Table2[[#This Row],[N]]+Table2[[#This Row],[Pile 
Deviation 
N (m)]]</f>
        <v>1511725.6129999999</v>
      </c>
      <c r="T997" s="7">
        <f>Table2[[#This Row],[E]]+Table2[[#This Row],[Pile 
Deviation 
E (m)]]</f>
        <v>694041.49</v>
      </c>
      <c r="W997" s="7">
        <v>0.28999999999999998</v>
      </c>
      <c r="X997" s="2" t="s">
        <v>40</v>
      </c>
      <c r="AA997" s="9">
        <v>46226</v>
      </c>
    </row>
    <row r="998" spans="1:27" hidden="1" x14ac:dyDescent="0.65">
      <c r="A998">
        <v>996</v>
      </c>
      <c r="B998" t="s">
        <v>29</v>
      </c>
      <c r="C998" s="6">
        <v>1511726.2860000001</v>
      </c>
      <c r="D998" s="6">
        <v>694044.82299999997</v>
      </c>
      <c r="E998" s="2" t="s">
        <v>35</v>
      </c>
      <c r="F998" s="1">
        <v>24</v>
      </c>
      <c r="G998" s="2" t="s">
        <v>48</v>
      </c>
      <c r="J998"/>
      <c r="K998" s="19"/>
      <c r="L998" s="21"/>
      <c r="M998" s="27"/>
      <c r="N998" s="19"/>
      <c r="O998" s="21"/>
      <c r="P998" s="7">
        <v>0.28999999999999998</v>
      </c>
      <c r="Q998" s="7">
        <f>Table2[[#This Row],[Elevation
PILE TOP]]-Table2[[#This Row],[LENGTH(m.)
(Actual)]]</f>
        <v>0.28999999999999998</v>
      </c>
      <c r="R998" s="2"/>
      <c r="S998" s="7">
        <f>Table2[[#This Row],[N]]+Table2[[#This Row],[Pile 
Deviation 
N (m)]]</f>
        <v>1511726.2860000001</v>
      </c>
      <c r="T998" s="7">
        <f>Table2[[#This Row],[E]]+Table2[[#This Row],[Pile 
Deviation 
E (m)]]</f>
        <v>694044.82299999997</v>
      </c>
      <c r="W998" s="7">
        <v>0.28999999999999998</v>
      </c>
      <c r="X998" s="2" t="s">
        <v>40</v>
      </c>
      <c r="AA998" s="9">
        <v>46225</v>
      </c>
    </row>
    <row r="999" spans="1:27" ht="13.95" hidden="1" customHeight="1" x14ac:dyDescent="0.65">
      <c r="A999">
        <v>997</v>
      </c>
      <c r="B999" t="s">
        <v>29</v>
      </c>
      <c r="C999" s="6">
        <v>1511726.88</v>
      </c>
      <c r="D999" s="6">
        <v>694047.76399999997</v>
      </c>
      <c r="E999" s="2" t="s">
        <v>35</v>
      </c>
      <c r="F999" s="1">
        <v>24</v>
      </c>
      <c r="G999" s="2" t="s">
        <v>48</v>
      </c>
      <c r="J999"/>
      <c r="K999" s="19"/>
      <c r="L999" s="21"/>
      <c r="M999" s="27"/>
      <c r="N999" s="19"/>
      <c r="O999" s="21"/>
      <c r="P999" s="7">
        <v>0.28999999999999998</v>
      </c>
      <c r="Q999" s="7">
        <f>Table2[[#This Row],[Elevation
PILE TOP]]-Table2[[#This Row],[LENGTH(m.)
(Actual)]]</f>
        <v>0.28999999999999998</v>
      </c>
      <c r="R999" s="2"/>
      <c r="S999" s="7">
        <f>Table2[[#This Row],[N]]+Table2[[#This Row],[Pile 
Deviation 
N (m)]]</f>
        <v>1511726.88</v>
      </c>
      <c r="T999" s="7">
        <f>Table2[[#This Row],[E]]+Table2[[#This Row],[Pile 
Deviation 
E (m)]]</f>
        <v>694047.76399999997</v>
      </c>
      <c r="W999" s="7">
        <v>0.28999999999999998</v>
      </c>
      <c r="X999" s="2" t="s">
        <v>40</v>
      </c>
      <c r="AA999" s="9">
        <v>46224</v>
      </c>
    </row>
    <row r="1000" spans="1:27" hidden="1" x14ac:dyDescent="0.65">
      <c r="A1000">
        <v>998</v>
      </c>
      <c r="B1000" t="s">
        <v>29</v>
      </c>
      <c r="C1000" s="6">
        <v>1511725.5060000001</v>
      </c>
      <c r="D1000" s="6">
        <v>694045.98</v>
      </c>
      <c r="E1000" s="2" t="s">
        <v>30</v>
      </c>
      <c r="F1000" s="1">
        <v>24</v>
      </c>
      <c r="G1000" s="2" t="s">
        <v>48</v>
      </c>
      <c r="J1000"/>
      <c r="K1000" s="19"/>
      <c r="L1000" s="21"/>
      <c r="M1000" s="27"/>
      <c r="N1000" s="19"/>
      <c r="O1000" s="21"/>
      <c r="P1000" s="7">
        <v>-1.25</v>
      </c>
      <c r="Q1000" s="7">
        <f>Table2[[#This Row],[Elevation
PILE TOP]]-Table2[[#This Row],[LENGTH(m.)
(Actual)]]</f>
        <v>-1.25</v>
      </c>
      <c r="R1000" s="2"/>
      <c r="S1000" s="7">
        <f>Table2[[#This Row],[N]]+Table2[[#This Row],[Pile 
Deviation 
N (m)]]</f>
        <v>1511725.5060000001</v>
      </c>
      <c r="T1000" s="7">
        <f>Table2[[#This Row],[E]]+Table2[[#This Row],[Pile 
Deviation 
E (m)]]</f>
        <v>694045.98</v>
      </c>
      <c r="W1000" s="7">
        <v>-1.75</v>
      </c>
      <c r="X1000" s="2" t="s">
        <v>47</v>
      </c>
      <c r="AA1000" s="9">
        <v>46238</v>
      </c>
    </row>
    <row r="1001" spans="1:27" ht="13.95" hidden="1" customHeight="1" x14ac:dyDescent="0.65">
      <c r="A1001">
        <v>999</v>
      </c>
      <c r="B1001" t="s">
        <v>29</v>
      </c>
      <c r="C1001" s="6">
        <v>1511726.0009999999</v>
      </c>
      <c r="D1001" s="6">
        <v>694048.43</v>
      </c>
      <c r="E1001" s="2" t="s">
        <v>30</v>
      </c>
      <c r="F1001" s="1">
        <v>24</v>
      </c>
      <c r="G1001" s="2" t="s">
        <v>48</v>
      </c>
      <c r="J1001"/>
      <c r="K1001" s="19"/>
      <c r="L1001" s="21"/>
      <c r="M1001" s="27"/>
      <c r="N1001" s="19"/>
      <c r="O1001" s="21"/>
      <c r="P1001" s="7">
        <v>-1.25</v>
      </c>
      <c r="Q1001" s="7">
        <f>Table2[[#This Row],[Elevation
PILE TOP]]-Table2[[#This Row],[LENGTH(m.)
(Actual)]]</f>
        <v>-1.25</v>
      </c>
      <c r="R1001" s="2"/>
      <c r="S1001" s="7">
        <f>Table2[[#This Row],[N]]+Table2[[#This Row],[Pile 
Deviation 
N (m)]]</f>
        <v>1511726.0009999999</v>
      </c>
      <c r="T1001" s="7">
        <f>Table2[[#This Row],[E]]+Table2[[#This Row],[Pile 
Deviation 
E (m)]]</f>
        <v>694048.43</v>
      </c>
      <c r="W1001" s="7">
        <v>-1.75</v>
      </c>
      <c r="X1001" s="2" t="s">
        <v>47</v>
      </c>
      <c r="AA1001" s="9">
        <v>46238</v>
      </c>
    </row>
    <row r="1002" spans="1:27" hidden="1" x14ac:dyDescent="0.65">
      <c r="A1002">
        <v>1000</v>
      </c>
      <c r="B1002" t="s">
        <v>29</v>
      </c>
      <c r="C1002" s="6">
        <v>1511723.0549999999</v>
      </c>
      <c r="D1002" s="6">
        <v>694046.47499999998</v>
      </c>
      <c r="E1002" s="2" t="s">
        <v>30</v>
      </c>
      <c r="F1002" s="1">
        <v>24</v>
      </c>
      <c r="G1002" s="2" t="s">
        <v>48</v>
      </c>
      <c r="J1002"/>
      <c r="K1002" s="19"/>
      <c r="L1002" s="21"/>
      <c r="M1002" s="27"/>
      <c r="N1002" s="19"/>
      <c r="O1002" s="21"/>
      <c r="P1002" s="7">
        <v>-1.25</v>
      </c>
      <c r="Q1002" s="7">
        <f>Table2[[#This Row],[Elevation
PILE TOP]]-Table2[[#This Row],[LENGTH(m.)
(Actual)]]</f>
        <v>-1.25</v>
      </c>
      <c r="R1002" s="2"/>
      <c r="S1002" s="7">
        <f>Table2[[#This Row],[N]]+Table2[[#This Row],[Pile 
Deviation 
N (m)]]</f>
        <v>1511723.0549999999</v>
      </c>
      <c r="T1002" s="7">
        <f>Table2[[#This Row],[E]]+Table2[[#This Row],[Pile 
Deviation 
E (m)]]</f>
        <v>694046.47499999998</v>
      </c>
      <c r="W1002" s="7">
        <v>-1.75</v>
      </c>
      <c r="X1002" s="2" t="s">
        <v>47</v>
      </c>
      <c r="AA1002" s="9">
        <v>46238</v>
      </c>
    </row>
    <row r="1003" spans="1:27" ht="13.95" hidden="1" customHeight="1" x14ac:dyDescent="0.65">
      <c r="A1003">
        <v>1001</v>
      </c>
      <c r="B1003" t="s">
        <v>29</v>
      </c>
      <c r="C1003" s="6">
        <v>1511723.55</v>
      </c>
      <c r="D1003" s="6">
        <v>694048.92500000005</v>
      </c>
      <c r="E1003" s="2" t="s">
        <v>30</v>
      </c>
      <c r="F1003" s="1">
        <v>24</v>
      </c>
      <c r="G1003" s="2" t="s">
        <v>48</v>
      </c>
      <c r="J1003"/>
      <c r="K1003" s="19"/>
      <c r="L1003" s="21"/>
      <c r="M1003" s="27"/>
      <c r="N1003" s="19"/>
      <c r="O1003" s="21"/>
      <c r="P1003" s="7">
        <v>-1.25</v>
      </c>
      <c r="Q1003" s="7">
        <f>Table2[[#This Row],[Elevation
PILE TOP]]-Table2[[#This Row],[LENGTH(m.)
(Actual)]]</f>
        <v>-1.25</v>
      </c>
      <c r="R1003" s="2"/>
      <c r="S1003" s="7">
        <f>Table2[[#This Row],[N]]+Table2[[#This Row],[Pile 
Deviation 
N (m)]]</f>
        <v>1511723.55</v>
      </c>
      <c r="T1003" s="7">
        <f>Table2[[#This Row],[E]]+Table2[[#This Row],[Pile 
Deviation 
E (m)]]</f>
        <v>694048.92500000005</v>
      </c>
      <c r="W1003" s="7">
        <v>-1.75</v>
      </c>
      <c r="X1003" s="2" t="s">
        <v>47</v>
      </c>
      <c r="AA1003" s="9">
        <v>46238</v>
      </c>
    </row>
    <row r="1004" spans="1:27" x14ac:dyDescent="0.65">
      <c r="A1004">
        <v>1002</v>
      </c>
      <c r="B1004" t="s">
        <v>29</v>
      </c>
      <c r="C1004" s="6">
        <v>1511726.5959999999</v>
      </c>
      <c r="D1004" s="6">
        <v>694049.35600000003</v>
      </c>
      <c r="E1004" s="2" t="s">
        <v>30</v>
      </c>
      <c r="F1004" s="1">
        <v>24</v>
      </c>
      <c r="G1004" s="2" t="s">
        <v>48</v>
      </c>
      <c r="J1004"/>
      <c r="K1004" s="19"/>
      <c r="L1004" s="21"/>
      <c r="M1004" s="27"/>
      <c r="N1004" s="19"/>
      <c r="O1004" s="21"/>
      <c r="P1004" s="7">
        <v>-0.17499999999999999</v>
      </c>
      <c r="Q1004" s="7">
        <f>Table2[[#This Row],[Elevation
PILE TOP]]-Table2[[#This Row],[LENGTH(m.)
(Actual)]]</f>
        <v>-0.17499999999999999</v>
      </c>
      <c r="R1004" s="2"/>
      <c r="S1004" s="7">
        <f>Table2[[#This Row],[N]]+Table2[[#This Row],[Pile 
Deviation 
N (m)]]</f>
        <v>1511726.5959999999</v>
      </c>
      <c r="T1004" s="7">
        <f>Table2[[#This Row],[E]]+Table2[[#This Row],[Pile 
Deviation 
E (m)]]</f>
        <v>694049.35600000003</v>
      </c>
      <c r="W1004" s="7">
        <v>-0.67500000000000004</v>
      </c>
      <c r="X1004" s="2" t="s">
        <v>33</v>
      </c>
      <c r="AA1004" s="9">
        <v>46203</v>
      </c>
    </row>
    <row r="1005" spans="1:27" ht="13.95" customHeight="1" x14ac:dyDescent="0.65">
      <c r="A1005">
        <v>1003</v>
      </c>
      <c r="B1005" t="s">
        <v>29</v>
      </c>
      <c r="C1005" s="6">
        <v>1511726.774</v>
      </c>
      <c r="D1005" s="6">
        <v>694050.23800000001</v>
      </c>
      <c r="E1005" s="2" t="s">
        <v>30</v>
      </c>
      <c r="F1005" s="1">
        <v>24</v>
      </c>
      <c r="G1005" s="2" t="s">
        <v>48</v>
      </c>
      <c r="J1005"/>
      <c r="K1005" s="19"/>
      <c r="L1005" s="21"/>
      <c r="M1005" s="27"/>
      <c r="N1005" s="19"/>
      <c r="O1005" s="21"/>
      <c r="P1005" s="7">
        <v>-0.17499999999999999</v>
      </c>
      <c r="Q1005" s="7">
        <f>Table2[[#This Row],[Elevation
PILE TOP]]-Table2[[#This Row],[LENGTH(m.)
(Actual)]]</f>
        <v>-0.17499999999999999</v>
      </c>
      <c r="R1005" s="2"/>
      <c r="S1005" s="7">
        <f>Table2[[#This Row],[N]]+Table2[[#This Row],[Pile 
Deviation 
N (m)]]</f>
        <v>1511726.774</v>
      </c>
      <c r="T1005" s="7">
        <f>Table2[[#This Row],[E]]+Table2[[#This Row],[Pile 
Deviation 
E (m)]]</f>
        <v>694050.23800000001</v>
      </c>
      <c r="W1005" s="7">
        <v>-0.67500000000000004</v>
      </c>
      <c r="X1005" s="2" t="s">
        <v>33</v>
      </c>
      <c r="AA1005" s="9">
        <v>46203</v>
      </c>
    </row>
    <row r="1006" spans="1:27" x14ac:dyDescent="0.65">
      <c r="A1006">
        <v>1004</v>
      </c>
      <c r="B1006" t="s">
        <v>29</v>
      </c>
      <c r="C1006" s="6">
        <v>1511725.811</v>
      </c>
      <c r="D1006" s="6">
        <v>694049.51399999997</v>
      </c>
      <c r="E1006" s="2" t="s">
        <v>30</v>
      </c>
      <c r="F1006" s="1">
        <v>24</v>
      </c>
      <c r="G1006" s="2" t="s">
        <v>48</v>
      </c>
      <c r="J1006"/>
      <c r="K1006" s="19"/>
      <c r="L1006" s="21"/>
      <c r="M1006" s="27"/>
      <c r="N1006" s="19"/>
      <c r="O1006" s="21"/>
      <c r="P1006" s="7">
        <v>-0.17499999999999999</v>
      </c>
      <c r="Q1006" s="7">
        <f>Table2[[#This Row],[Elevation
PILE TOP]]-Table2[[#This Row],[LENGTH(m.)
(Actual)]]</f>
        <v>-0.17499999999999999</v>
      </c>
      <c r="R1006" s="2"/>
      <c r="S1006" s="7">
        <f>Table2[[#This Row],[N]]+Table2[[#This Row],[Pile 
Deviation 
N (m)]]</f>
        <v>1511725.811</v>
      </c>
      <c r="T1006" s="7">
        <f>Table2[[#This Row],[E]]+Table2[[#This Row],[Pile 
Deviation 
E (m)]]</f>
        <v>694049.51399999997</v>
      </c>
      <c r="W1006" s="7">
        <v>-0.67500000000000004</v>
      </c>
      <c r="X1006" s="2" t="s">
        <v>33</v>
      </c>
      <c r="AA1006" s="9">
        <v>46203</v>
      </c>
    </row>
    <row r="1007" spans="1:27" ht="13.95" customHeight="1" x14ac:dyDescent="0.65">
      <c r="A1007">
        <v>1005</v>
      </c>
      <c r="B1007" t="s">
        <v>29</v>
      </c>
      <c r="C1007" s="6">
        <v>1511725.99</v>
      </c>
      <c r="D1007" s="6">
        <v>694050.39599999995</v>
      </c>
      <c r="E1007" s="2" t="s">
        <v>30</v>
      </c>
      <c r="F1007" s="1">
        <v>24</v>
      </c>
      <c r="G1007" s="2" t="s">
        <v>48</v>
      </c>
      <c r="J1007"/>
      <c r="K1007" s="19"/>
      <c r="L1007" s="21"/>
      <c r="M1007" s="27"/>
      <c r="N1007" s="19"/>
      <c r="O1007" s="21"/>
      <c r="P1007" s="7">
        <v>-0.17499999999999999</v>
      </c>
      <c r="Q1007" s="7">
        <f>Table2[[#This Row],[Elevation
PILE TOP]]-Table2[[#This Row],[LENGTH(m.)
(Actual)]]</f>
        <v>-0.17499999999999999</v>
      </c>
      <c r="R1007" s="2"/>
      <c r="S1007" s="7">
        <f>Table2[[#This Row],[N]]+Table2[[#This Row],[Pile 
Deviation 
N (m)]]</f>
        <v>1511725.99</v>
      </c>
      <c r="T1007" s="7">
        <f>Table2[[#This Row],[E]]+Table2[[#This Row],[Pile 
Deviation 
E (m)]]</f>
        <v>694050.39599999995</v>
      </c>
      <c r="W1007" s="7">
        <v>-0.67500000000000004</v>
      </c>
      <c r="X1007" s="2" t="s">
        <v>33</v>
      </c>
      <c r="AA1007" s="9">
        <v>46203</v>
      </c>
    </row>
    <row r="1008" spans="1:27" hidden="1" x14ac:dyDescent="0.65">
      <c r="A1008">
        <v>1006</v>
      </c>
      <c r="B1008" t="s">
        <v>29</v>
      </c>
      <c r="C1008" s="6">
        <v>1511716.54</v>
      </c>
      <c r="D1008" s="6">
        <v>694013.73699999996</v>
      </c>
      <c r="E1008" s="2" t="s">
        <v>35</v>
      </c>
      <c r="F1008" s="1">
        <v>24</v>
      </c>
      <c r="G1008" s="2" t="s">
        <v>48</v>
      </c>
      <c r="J1008"/>
      <c r="K1008" s="19"/>
      <c r="L1008" s="21"/>
      <c r="M1008" s="27"/>
      <c r="N1008" s="19"/>
      <c r="O1008" s="21"/>
      <c r="P1008" s="7">
        <v>0.28999999999999998</v>
      </c>
      <c r="Q1008" s="7">
        <f>Table2[[#This Row],[Elevation
PILE TOP]]-Table2[[#This Row],[LENGTH(m.)
(Actual)]]</f>
        <v>0.28999999999999998</v>
      </c>
      <c r="R1008" s="2"/>
      <c r="S1008" s="7">
        <f>Table2[[#This Row],[N]]+Table2[[#This Row],[Pile 
Deviation 
N (m)]]</f>
        <v>1511716.54</v>
      </c>
      <c r="T1008" s="7">
        <f>Table2[[#This Row],[E]]+Table2[[#This Row],[Pile 
Deviation 
E (m)]]</f>
        <v>694013.73699999996</v>
      </c>
      <c r="W1008" s="7">
        <v>0.28999999999999998</v>
      </c>
      <c r="X1008" s="2" t="s">
        <v>40</v>
      </c>
      <c r="AA1008" s="9">
        <v>46239</v>
      </c>
    </row>
    <row r="1009" spans="1:27" ht="13.95" hidden="1" customHeight="1" x14ac:dyDescent="0.65">
      <c r="A1009">
        <v>1007</v>
      </c>
      <c r="B1009" t="s">
        <v>29</v>
      </c>
      <c r="C1009" s="6">
        <v>1511717.713</v>
      </c>
      <c r="D1009" s="6">
        <v>694013.73199999996</v>
      </c>
      <c r="E1009" s="2" t="s">
        <v>41</v>
      </c>
      <c r="F1009" s="1">
        <v>26</v>
      </c>
      <c r="G1009" s="2" t="s">
        <v>48</v>
      </c>
      <c r="J1009"/>
      <c r="K1009" s="19"/>
      <c r="L1009" s="21"/>
      <c r="M1009" s="27"/>
      <c r="N1009" s="19"/>
      <c r="O1009" s="21"/>
      <c r="P1009" s="7">
        <v>0.35</v>
      </c>
      <c r="Q1009" s="7">
        <f>Table2[[#This Row],[Elevation
PILE TOP]]-Table2[[#This Row],[LENGTH(m.)
(Actual)]]</f>
        <v>0.35</v>
      </c>
      <c r="R1009" s="2"/>
      <c r="S1009" s="7">
        <f>Table2[[#This Row],[N]]+Table2[[#This Row],[Pile 
Deviation 
N (m)]]</f>
        <v>1511717.713</v>
      </c>
      <c r="T1009" s="7">
        <f>Table2[[#This Row],[E]]+Table2[[#This Row],[Pile 
Deviation 
E (m)]]</f>
        <v>694013.73199999996</v>
      </c>
      <c r="W1009" s="7">
        <v>-0.15</v>
      </c>
      <c r="X1009" s="2" t="s">
        <v>42</v>
      </c>
      <c r="AA1009" s="9">
        <v>46239</v>
      </c>
    </row>
    <row r="1010" spans="1:27" hidden="1" x14ac:dyDescent="0.65">
      <c r="A1010">
        <v>1008</v>
      </c>
      <c r="B1010" t="s">
        <v>29</v>
      </c>
      <c r="C1010" s="6">
        <v>1511719.6259999999</v>
      </c>
      <c r="D1010" s="6">
        <v>694015.00199999998</v>
      </c>
      <c r="E1010" s="2" t="s">
        <v>41</v>
      </c>
      <c r="F1010" s="1">
        <v>26</v>
      </c>
      <c r="G1010" s="2" t="s">
        <v>48</v>
      </c>
      <c r="J1010"/>
      <c r="K1010" s="19"/>
      <c r="L1010" s="21"/>
      <c r="M1010" s="27"/>
      <c r="N1010" s="19"/>
      <c r="O1010" s="21"/>
      <c r="P1010" s="7">
        <v>0.35</v>
      </c>
      <c r="Q1010" s="7">
        <f>Table2[[#This Row],[Elevation
PILE TOP]]-Table2[[#This Row],[LENGTH(m.)
(Actual)]]</f>
        <v>0.35</v>
      </c>
      <c r="R1010" s="2"/>
      <c r="S1010" s="7">
        <f>Table2[[#This Row],[N]]+Table2[[#This Row],[Pile 
Deviation 
N (m)]]</f>
        <v>1511719.6259999999</v>
      </c>
      <c r="T1010" s="7">
        <f>Table2[[#This Row],[E]]+Table2[[#This Row],[Pile 
Deviation 
E (m)]]</f>
        <v>694015.00199999998</v>
      </c>
      <c r="W1010" s="7">
        <v>-0.15</v>
      </c>
      <c r="X1010" s="2" t="s">
        <v>42</v>
      </c>
      <c r="AA1010" s="9">
        <v>46239</v>
      </c>
    </row>
    <row r="1011" spans="1:27" ht="13.95" hidden="1" customHeight="1" x14ac:dyDescent="0.65">
      <c r="A1011">
        <v>1009</v>
      </c>
      <c r="B1011" t="s">
        <v>29</v>
      </c>
      <c r="C1011" s="6">
        <v>1511720.08</v>
      </c>
      <c r="D1011" s="6">
        <v>694017.25300000003</v>
      </c>
      <c r="E1011" s="2" t="s">
        <v>41</v>
      </c>
      <c r="F1011" s="1">
        <v>26</v>
      </c>
      <c r="G1011" s="2" t="s">
        <v>48</v>
      </c>
      <c r="J1011"/>
      <c r="K1011" s="19"/>
      <c r="L1011" s="21"/>
      <c r="M1011" s="27"/>
      <c r="N1011" s="19"/>
      <c r="O1011" s="21"/>
      <c r="P1011" s="7">
        <v>0.35</v>
      </c>
      <c r="Q1011" s="7">
        <f>Table2[[#This Row],[Elevation
PILE TOP]]-Table2[[#This Row],[LENGTH(m.)
(Actual)]]</f>
        <v>0.35</v>
      </c>
      <c r="R1011" s="2"/>
      <c r="S1011" s="7">
        <f>Table2[[#This Row],[N]]+Table2[[#This Row],[Pile 
Deviation 
N (m)]]</f>
        <v>1511720.08</v>
      </c>
      <c r="T1011" s="7">
        <f>Table2[[#This Row],[E]]+Table2[[#This Row],[Pile 
Deviation 
E (m)]]</f>
        <v>694017.25300000003</v>
      </c>
      <c r="W1011" s="7">
        <v>-0.15</v>
      </c>
      <c r="X1011" s="2" t="s">
        <v>42</v>
      </c>
      <c r="AA1011" s="9">
        <v>46238</v>
      </c>
    </row>
    <row r="1012" spans="1:27" hidden="1" x14ac:dyDescent="0.65">
      <c r="A1012">
        <v>1010</v>
      </c>
      <c r="B1012" t="s">
        <v>29</v>
      </c>
      <c r="C1012" s="6">
        <v>1511718.81</v>
      </c>
      <c r="D1012" s="6">
        <v>694019.16599999997</v>
      </c>
      <c r="E1012" s="2" t="s">
        <v>41</v>
      </c>
      <c r="F1012" s="1">
        <v>26</v>
      </c>
      <c r="G1012" s="2" t="s">
        <v>48</v>
      </c>
      <c r="J1012"/>
      <c r="K1012" s="19"/>
      <c r="L1012" s="21"/>
      <c r="M1012" s="27"/>
      <c r="N1012" s="19"/>
      <c r="O1012" s="21"/>
      <c r="P1012" s="7">
        <v>0.35</v>
      </c>
      <c r="Q1012" s="7">
        <f>Table2[[#This Row],[Elevation
PILE TOP]]-Table2[[#This Row],[LENGTH(m.)
(Actual)]]</f>
        <v>0.35</v>
      </c>
      <c r="R1012" s="2"/>
      <c r="S1012" s="7">
        <f>Table2[[#This Row],[N]]+Table2[[#This Row],[Pile 
Deviation 
N (m)]]</f>
        <v>1511718.81</v>
      </c>
      <c r="T1012" s="7">
        <f>Table2[[#This Row],[E]]+Table2[[#This Row],[Pile 
Deviation 
E (m)]]</f>
        <v>694019.16599999997</v>
      </c>
      <c r="W1012" s="7">
        <v>-0.15</v>
      </c>
      <c r="X1012" s="2" t="s">
        <v>42</v>
      </c>
      <c r="AA1012" s="9">
        <v>46238</v>
      </c>
    </row>
    <row r="1013" spans="1:27" ht="13.95" hidden="1" customHeight="1" x14ac:dyDescent="0.65">
      <c r="A1013">
        <v>1011</v>
      </c>
      <c r="B1013" t="s">
        <v>29</v>
      </c>
      <c r="C1013" s="6">
        <v>1511716.56</v>
      </c>
      <c r="D1013" s="6">
        <v>694019.62100000004</v>
      </c>
      <c r="E1013" s="2" t="s">
        <v>41</v>
      </c>
      <c r="F1013" s="1">
        <v>26</v>
      </c>
      <c r="G1013" s="2" t="s">
        <v>48</v>
      </c>
      <c r="J1013"/>
      <c r="K1013" s="19"/>
      <c r="L1013" s="21"/>
      <c r="M1013" s="27"/>
      <c r="N1013" s="19"/>
      <c r="O1013" s="21"/>
      <c r="P1013" s="7">
        <v>0.35</v>
      </c>
      <c r="Q1013" s="7">
        <f>Table2[[#This Row],[Elevation
PILE TOP]]-Table2[[#This Row],[LENGTH(m.)
(Actual)]]</f>
        <v>0.35</v>
      </c>
      <c r="R1013" s="2"/>
      <c r="S1013" s="7">
        <f>Table2[[#This Row],[N]]+Table2[[#This Row],[Pile 
Deviation 
N (m)]]</f>
        <v>1511716.56</v>
      </c>
      <c r="T1013" s="7">
        <f>Table2[[#This Row],[E]]+Table2[[#This Row],[Pile 
Deviation 
E (m)]]</f>
        <v>694019.62100000004</v>
      </c>
      <c r="W1013" s="7">
        <v>-0.15</v>
      </c>
      <c r="X1013" s="2" t="s">
        <v>42</v>
      </c>
      <c r="AA1013" s="9">
        <v>46238</v>
      </c>
    </row>
    <row r="1014" spans="1:27" hidden="1" x14ac:dyDescent="0.65">
      <c r="A1014">
        <v>1012</v>
      </c>
      <c r="B1014" t="s">
        <v>29</v>
      </c>
      <c r="C1014" s="6">
        <v>1511714.6470000001</v>
      </c>
      <c r="D1014" s="6">
        <v>694018.35</v>
      </c>
      <c r="E1014" s="2" t="s">
        <v>41</v>
      </c>
      <c r="F1014" s="1">
        <v>26</v>
      </c>
      <c r="G1014" s="2" t="s">
        <v>48</v>
      </c>
      <c r="J1014"/>
      <c r="K1014" s="19"/>
      <c r="L1014" s="21"/>
      <c r="M1014" s="27"/>
      <c r="N1014" s="19"/>
      <c r="O1014" s="21"/>
      <c r="P1014" s="7">
        <v>0.35</v>
      </c>
      <c r="Q1014" s="7">
        <f>Table2[[#This Row],[Elevation
PILE TOP]]-Table2[[#This Row],[LENGTH(m.)
(Actual)]]</f>
        <v>0.35</v>
      </c>
      <c r="R1014" s="2"/>
      <c r="S1014" s="7">
        <f>Table2[[#This Row],[N]]+Table2[[#This Row],[Pile 
Deviation 
N (m)]]</f>
        <v>1511714.6470000001</v>
      </c>
      <c r="T1014" s="7">
        <f>Table2[[#This Row],[E]]+Table2[[#This Row],[Pile 
Deviation 
E (m)]]</f>
        <v>694018.35</v>
      </c>
      <c r="W1014" s="7">
        <v>-0.15</v>
      </c>
      <c r="X1014" s="2" t="s">
        <v>42</v>
      </c>
      <c r="AA1014" s="9">
        <v>46238</v>
      </c>
    </row>
    <row r="1015" spans="1:27" ht="13.95" hidden="1" customHeight="1" x14ac:dyDescent="0.65">
      <c r="A1015">
        <v>1013</v>
      </c>
      <c r="B1015" t="s">
        <v>29</v>
      </c>
      <c r="C1015" s="6">
        <v>1511714.192</v>
      </c>
      <c r="D1015" s="6">
        <v>694016.1</v>
      </c>
      <c r="E1015" s="2" t="s">
        <v>41</v>
      </c>
      <c r="F1015" s="1">
        <v>26</v>
      </c>
      <c r="G1015" s="2" t="s">
        <v>48</v>
      </c>
      <c r="J1015"/>
      <c r="K1015" s="19"/>
      <c r="L1015" s="21"/>
      <c r="M1015" s="27"/>
      <c r="N1015" s="19"/>
      <c r="O1015" s="21"/>
      <c r="P1015" s="7">
        <v>0.35</v>
      </c>
      <c r="Q1015" s="7">
        <f>Table2[[#This Row],[Elevation
PILE TOP]]-Table2[[#This Row],[LENGTH(m.)
(Actual)]]</f>
        <v>0.35</v>
      </c>
      <c r="R1015" s="2"/>
      <c r="S1015" s="7">
        <f>Table2[[#This Row],[N]]+Table2[[#This Row],[Pile 
Deviation 
N (m)]]</f>
        <v>1511714.192</v>
      </c>
      <c r="T1015" s="7">
        <f>Table2[[#This Row],[E]]+Table2[[#This Row],[Pile 
Deviation 
E (m)]]</f>
        <v>694016.1</v>
      </c>
      <c r="W1015" s="7">
        <v>-0.15</v>
      </c>
      <c r="X1015" s="2" t="s">
        <v>42</v>
      </c>
      <c r="AA1015" s="9">
        <v>46239</v>
      </c>
    </row>
    <row r="1016" spans="1:27" hidden="1" x14ac:dyDescent="0.65">
      <c r="A1016">
        <v>1014</v>
      </c>
      <c r="B1016" t="s">
        <v>29</v>
      </c>
      <c r="C1016" s="6">
        <v>1511715.4620000001</v>
      </c>
      <c r="D1016" s="6">
        <v>694014.18700000003</v>
      </c>
      <c r="E1016" s="2" t="s">
        <v>41</v>
      </c>
      <c r="F1016" s="1">
        <v>26</v>
      </c>
      <c r="G1016" s="2" t="s">
        <v>48</v>
      </c>
      <c r="J1016"/>
      <c r="K1016" s="19"/>
      <c r="L1016" s="21"/>
      <c r="M1016" s="27"/>
      <c r="N1016" s="19"/>
      <c r="O1016" s="21"/>
      <c r="P1016" s="7">
        <v>0.35</v>
      </c>
      <c r="Q1016" s="7">
        <f>Table2[[#This Row],[Elevation
PILE TOP]]-Table2[[#This Row],[LENGTH(m.)
(Actual)]]</f>
        <v>0.35</v>
      </c>
      <c r="R1016" s="2"/>
      <c r="S1016" s="7">
        <f>Table2[[#This Row],[N]]+Table2[[#This Row],[Pile 
Deviation 
N (m)]]</f>
        <v>1511715.4620000001</v>
      </c>
      <c r="T1016" s="7">
        <f>Table2[[#This Row],[E]]+Table2[[#This Row],[Pile 
Deviation 
E (m)]]</f>
        <v>694014.18700000003</v>
      </c>
      <c r="W1016" s="7">
        <v>-0.15</v>
      </c>
      <c r="X1016" s="2" t="s">
        <v>42</v>
      </c>
      <c r="AA1016" s="9">
        <v>46239</v>
      </c>
    </row>
    <row r="1017" spans="1:27" ht="13.95" hidden="1" customHeight="1" x14ac:dyDescent="0.65">
      <c r="A1017">
        <v>1015</v>
      </c>
      <c r="B1017" t="s">
        <v>29</v>
      </c>
      <c r="C1017" s="6">
        <v>1511717.1340000001</v>
      </c>
      <c r="D1017" s="6">
        <v>694016.67799999996</v>
      </c>
      <c r="E1017" s="2" t="s">
        <v>35</v>
      </c>
      <c r="F1017" s="1">
        <v>24</v>
      </c>
      <c r="G1017" s="2" t="s">
        <v>48</v>
      </c>
      <c r="J1017"/>
      <c r="K1017" s="19"/>
      <c r="L1017" s="21"/>
      <c r="M1017" s="27"/>
      <c r="N1017" s="19"/>
      <c r="O1017" s="21"/>
      <c r="P1017" s="7">
        <v>0.28999999999999998</v>
      </c>
      <c r="Q1017" s="7">
        <f>Table2[[#This Row],[Elevation
PILE TOP]]-Table2[[#This Row],[LENGTH(m.)
(Actual)]]</f>
        <v>0.28999999999999998</v>
      </c>
      <c r="R1017" s="2"/>
      <c r="S1017" s="7">
        <f>Table2[[#This Row],[N]]+Table2[[#This Row],[Pile 
Deviation 
N (m)]]</f>
        <v>1511717.1340000001</v>
      </c>
      <c r="T1017" s="7">
        <f>Table2[[#This Row],[E]]+Table2[[#This Row],[Pile 
Deviation 
E (m)]]</f>
        <v>694016.67799999996</v>
      </c>
      <c r="W1017" s="7">
        <v>0.28999999999999998</v>
      </c>
      <c r="X1017" s="2" t="s">
        <v>40</v>
      </c>
      <c r="AA1017" s="9">
        <v>46239</v>
      </c>
    </row>
    <row r="1018" spans="1:27" hidden="1" x14ac:dyDescent="0.65">
      <c r="A1018">
        <v>1016</v>
      </c>
      <c r="B1018" t="s">
        <v>29</v>
      </c>
      <c r="C1018" s="6">
        <v>1511717.807</v>
      </c>
      <c r="D1018" s="6">
        <v>694020.01100000006</v>
      </c>
      <c r="E1018" s="2" t="s">
        <v>35</v>
      </c>
      <c r="F1018" s="1">
        <v>24</v>
      </c>
      <c r="G1018" s="2" t="s">
        <v>48</v>
      </c>
      <c r="J1018"/>
      <c r="K1018" s="19"/>
      <c r="L1018" s="21"/>
      <c r="M1018" s="27"/>
      <c r="N1018" s="19"/>
      <c r="O1018" s="21"/>
      <c r="P1018" s="7">
        <v>0.28999999999999998</v>
      </c>
      <c r="Q1018" s="7">
        <f>Table2[[#This Row],[Elevation
PILE TOP]]-Table2[[#This Row],[LENGTH(m.)
(Actual)]]</f>
        <v>0.28999999999999998</v>
      </c>
      <c r="R1018" s="2"/>
      <c r="S1018" s="7">
        <f>Table2[[#This Row],[N]]+Table2[[#This Row],[Pile 
Deviation 
N (m)]]</f>
        <v>1511717.807</v>
      </c>
      <c r="T1018" s="7">
        <f>Table2[[#This Row],[E]]+Table2[[#This Row],[Pile 
Deviation 
E (m)]]</f>
        <v>694020.01100000006</v>
      </c>
      <c r="W1018" s="7">
        <v>0.28999999999999998</v>
      </c>
      <c r="X1018" s="2" t="s">
        <v>40</v>
      </c>
      <c r="AA1018" s="9">
        <v>46238</v>
      </c>
    </row>
    <row r="1019" spans="1:27" ht="13.95" hidden="1" customHeight="1" x14ac:dyDescent="0.65">
      <c r="A1019">
        <v>1017</v>
      </c>
      <c r="B1019" t="s">
        <v>29</v>
      </c>
      <c r="C1019" s="6">
        <v>1511719.06</v>
      </c>
      <c r="D1019" s="6">
        <v>694020.402</v>
      </c>
      <c r="E1019" s="2" t="s">
        <v>41</v>
      </c>
      <c r="F1019" s="1">
        <v>26</v>
      </c>
      <c r="G1019" s="2" t="s">
        <v>48</v>
      </c>
      <c r="J1019"/>
      <c r="K1019" s="19"/>
      <c r="L1019" s="21"/>
      <c r="M1019" s="27"/>
      <c r="N1019" s="19"/>
      <c r="O1019" s="21"/>
      <c r="P1019" s="7">
        <v>0.35</v>
      </c>
      <c r="Q1019" s="7">
        <f>Table2[[#This Row],[Elevation
PILE TOP]]-Table2[[#This Row],[LENGTH(m.)
(Actual)]]</f>
        <v>0.35</v>
      </c>
      <c r="R1019" s="2"/>
      <c r="S1019" s="7">
        <f>Table2[[#This Row],[N]]+Table2[[#This Row],[Pile 
Deviation 
N (m)]]</f>
        <v>1511719.06</v>
      </c>
      <c r="T1019" s="7">
        <f>Table2[[#This Row],[E]]+Table2[[#This Row],[Pile 
Deviation 
E (m)]]</f>
        <v>694020.402</v>
      </c>
      <c r="W1019" s="7">
        <v>-0.15</v>
      </c>
      <c r="X1019" s="2" t="s">
        <v>42</v>
      </c>
      <c r="AA1019" s="9">
        <v>46238</v>
      </c>
    </row>
    <row r="1020" spans="1:27" hidden="1" x14ac:dyDescent="0.65">
      <c r="A1020">
        <v>1018</v>
      </c>
      <c r="B1020" t="s">
        <v>29</v>
      </c>
      <c r="C1020" s="6">
        <v>1511720.973</v>
      </c>
      <c r="D1020" s="6">
        <v>694021.67200000002</v>
      </c>
      <c r="E1020" s="2" t="s">
        <v>41</v>
      </c>
      <c r="F1020" s="1">
        <v>26</v>
      </c>
      <c r="G1020" s="2" t="s">
        <v>48</v>
      </c>
      <c r="J1020"/>
      <c r="K1020" s="19"/>
      <c r="L1020" s="21"/>
      <c r="M1020" s="27"/>
      <c r="N1020" s="19"/>
      <c r="O1020" s="21"/>
      <c r="P1020" s="7">
        <v>0.35</v>
      </c>
      <c r="Q1020" s="7">
        <f>Table2[[#This Row],[Elevation
PILE TOP]]-Table2[[#This Row],[LENGTH(m.)
(Actual)]]</f>
        <v>0.35</v>
      </c>
      <c r="R1020" s="2"/>
      <c r="S1020" s="7">
        <f>Table2[[#This Row],[N]]+Table2[[#This Row],[Pile 
Deviation 
N (m)]]</f>
        <v>1511720.973</v>
      </c>
      <c r="T1020" s="7">
        <f>Table2[[#This Row],[E]]+Table2[[#This Row],[Pile 
Deviation 
E (m)]]</f>
        <v>694021.67200000002</v>
      </c>
      <c r="W1020" s="7">
        <v>-0.15</v>
      </c>
      <c r="X1020" s="2" t="s">
        <v>42</v>
      </c>
      <c r="AA1020" s="9">
        <v>46237</v>
      </c>
    </row>
    <row r="1021" spans="1:27" ht="13.95" hidden="1" customHeight="1" x14ac:dyDescent="0.65">
      <c r="A1021">
        <v>1019</v>
      </c>
      <c r="B1021" t="s">
        <v>29</v>
      </c>
      <c r="C1021" s="6">
        <v>1511721.4269999999</v>
      </c>
      <c r="D1021" s="6">
        <v>694023.92299999995</v>
      </c>
      <c r="E1021" s="2" t="s">
        <v>41</v>
      </c>
      <c r="F1021" s="1">
        <v>26</v>
      </c>
      <c r="G1021" s="2" t="s">
        <v>48</v>
      </c>
      <c r="J1021"/>
      <c r="K1021" s="19"/>
      <c r="L1021" s="21"/>
      <c r="M1021" s="27"/>
      <c r="N1021" s="19"/>
      <c r="O1021" s="21"/>
      <c r="P1021" s="7">
        <v>0.35</v>
      </c>
      <c r="Q1021" s="7">
        <f>Table2[[#This Row],[Elevation
PILE TOP]]-Table2[[#This Row],[LENGTH(m.)
(Actual)]]</f>
        <v>0.35</v>
      </c>
      <c r="R1021" s="2"/>
      <c r="S1021" s="7">
        <f>Table2[[#This Row],[N]]+Table2[[#This Row],[Pile 
Deviation 
N (m)]]</f>
        <v>1511721.4269999999</v>
      </c>
      <c r="T1021" s="7">
        <f>Table2[[#This Row],[E]]+Table2[[#This Row],[Pile 
Deviation 
E (m)]]</f>
        <v>694023.92299999995</v>
      </c>
      <c r="W1021" s="7">
        <v>-0.15</v>
      </c>
      <c r="X1021" s="2" t="s">
        <v>42</v>
      </c>
      <c r="AA1021" s="9">
        <v>46237</v>
      </c>
    </row>
    <row r="1022" spans="1:27" hidden="1" x14ac:dyDescent="0.65">
      <c r="A1022">
        <v>1020</v>
      </c>
      <c r="B1022" t="s">
        <v>29</v>
      </c>
      <c r="C1022" s="6">
        <v>1511720.1569999999</v>
      </c>
      <c r="D1022" s="6">
        <v>694025.83600000001</v>
      </c>
      <c r="E1022" s="2" t="s">
        <v>41</v>
      </c>
      <c r="F1022" s="1">
        <v>26</v>
      </c>
      <c r="G1022" s="2" t="s">
        <v>48</v>
      </c>
      <c r="J1022"/>
      <c r="K1022" s="19"/>
      <c r="L1022" s="21"/>
      <c r="M1022" s="27"/>
      <c r="N1022" s="19"/>
      <c r="O1022" s="21"/>
      <c r="P1022" s="7">
        <v>0.35</v>
      </c>
      <c r="Q1022" s="7">
        <f>Table2[[#This Row],[Elevation
PILE TOP]]-Table2[[#This Row],[LENGTH(m.)
(Actual)]]</f>
        <v>0.35</v>
      </c>
      <c r="R1022" s="2"/>
      <c r="S1022" s="7">
        <f>Table2[[#This Row],[N]]+Table2[[#This Row],[Pile 
Deviation 
N (m)]]</f>
        <v>1511720.1569999999</v>
      </c>
      <c r="T1022" s="7">
        <f>Table2[[#This Row],[E]]+Table2[[#This Row],[Pile 
Deviation 
E (m)]]</f>
        <v>694025.83600000001</v>
      </c>
      <c r="W1022" s="7">
        <v>-0.15</v>
      </c>
      <c r="X1022" s="2" t="s">
        <v>42</v>
      </c>
      <c r="AA1022" s="9">
        <v>46235</v>
      </c>
    </row>
    <row r="1023" spans="1:27" ht="13.95" hidden="1" customHeight="1" x14ac:dyDescent="0.65">
      <c r="A1023">
        <v>1021</v>
      </c>
      <c r="B1023" t="s">
        <v>29</v>
      </c>
      <c r="C1023" s="6">
        <v>1511717.9069999999</v>
      </c>
      <c r="D1023" s="6">
        <v>694026.29</v>
      </c>
      <c r="E1023" s="2" t="s">
        <v>41</v>
      </c>
      <c r="F1023" s="1">
        <v>26</v>
      </c>
      <c r="G1023" s="2" t="s">
        <v>48</v>
      </c>
      <c r="J1023"/>
      <c r="K1023" s="19"/>
      <c r="L1023" s="21"/>
      <c r="M1023" s="27"/>
      <c r="N1023" s="19"/>
      <c r="O1023" s="21"/>
      <c r="P1023" s="7">
        <v>0.35</v>
      </c>
      <c r="Q1023" s="7">
        <f>Table2[[#This Row],[Elevation
PILE TOP]]-Table2[[#This Row],[LENGTH(m.)
(Actual)]]</f>
        <v>0.35</v>
      </c>
      <c r="R1023" s="2"/>
      <c r="S1023" s="7">
        <f>Table2[[#This Row],[N]]+Table2[[#This Row],[Pile 
Deviation 
N (m)]]</f>
        <v>1511717.9069999999</v>
      </c>
      <c r="T1023" s="7">
        <f>Table2[[#This Row],[E]]+Table2[[#This Row],[Pile 
Deviation 
E (m)]]</f>
        <v>694026.29</v>
      </c>
      <c r="W1023" s="7">
        <v>-0.15</v>
      </c>
      <c r="X1023" s="2" t="s">
        <v>42</v>
      </c>
      <c r="AA1023" s="9">
        <v>46235</v>
      </c>
    </row>
    <row r="1024" spans="1:27" hidden="1" x14ac:dyDescent="0.65">
      <c r="A1024">
        <v>1022</v>
      </c>
      <c r="B1024" t="s">
        <v>29</v>
      </c>
      <c r="C1024" s="6">
        <v>1511715.9939999999</v>
      </c>
      <c r="D1024" s="6">
        <v>694025.02</v>
      </c>
      <c r="E1024" s="2" t="s">
        <v>41</v>
      </c>
      <c r="F1024" s="1">
        <v>26</v>
      </c>
      <c r="G1024" s="2" t="s">
        <v>48</v>
      </c>
      <c r="J1024"/>
      <c r="K1024" s="19"/>
      <c r="L1024" s="21"/>
      <c r="M1024" s="27"/>
      <c r="N1024" s="19"/>
      <c r="O1024" s="21"/>
      <c r="P1024" s="7">
        <v>0.35</v>
      </c>
      <c r="Q1024" s="7">
        <f>Table2[[#This Row],[Elevation
PILE TOP]]-Table2[[#This Row],[LENGTH(m.)
(Actual)]]</f>
        <v>0.35</v>
      </c>
      <c r="R1024" s="2"/>
      <c r="S1024" s="7">
        <f>Table2[[#This Row],[N]]+Table2[[#This Row],[Pile 
Deviation 
N (m)]]</f>
        <v>1511715.9939999999</v>
      </c>
      <c r="T1024" s="7">
        <f>Table2[[#This Row],[E]]+Table2[[#This Row],[Pile 
Deviation 
E (m)]]</f>
        <v>694025.02</v>
      </c>
      <c r="W1024" s="7">
        <v>-0.15</v>
      </c>
      <c r="X1024" s="2" t="s">
        <v>42</v>
      </c>
      <c r="AA1024" s="9">
        <v>46237</v>
      </c>
    </row>
    <row r="1025" spans="1:27" ht="13.95" hidden="1" customHeight="1" x14ac:dyDescent="0.65">
      <c r="A1025">
        <v>1023</v>
      </c>
      <c r="B1025" t="s">
        <v>29</v>
      </c>
      <c r="C1025" s="6">
        <v>1511715.5390000001</v>
      </c>
      <c r="D1025" s="6">
        <v>694022.76899999997</v>
      </c>
      <c r="E1025" s="2" t="s">
        <v>41</v>
      </c>
      <c r="F1025" s="1">
        <v>26</v>
      </c>
      <c r="G1025" s="2" t="s">
        <v>48</v>
      </c>
      <c r="J1025"/>
      <c r="K1025" s="19"/>
      <c r="L1025" s="21"/>
      <c r="M1025" s="27"/>
      <c r="N1025" s="19"/>
      <c r="O1025" s="21"/>
      <c r="P1025" s="7">
        <v>0.35</v>
      </c>
      <c r="Q1025" s="7">
        <f>Table2[[#This Row],[Elevation
PILE TOP]]-Table2[[#This Row],[LENGTH(m.)
(Actual)]]</f>
        <v>0.35</v>
      </c>
      <c r="R1025" s="2"/>
      <c r="S1025" s="7">
        <f>Table2[[#This Row],[N]]+Table2[[#This Row],[Pile 
Deviation 
N (m)]]</f>
        <v>1511715.5390000001</v>
      </c>
      <c r="T1025" s="7">
        <f>Table2[[#This Row],[E]]+Table2[[#This Row],[Pile 
Deviation 
E (m)]]</f>
        <v>694022.76899999997</v>
      </c>
      <c r="W1025" s="7">
        <v>-0.15</v>
      </c>
      <c r="X1025" s="2" t="s">
        <v>42</v>
      </c>
      <c r="AA1025" s="9">
        <v>46237</v>
      </c>
    </row>
    <row r="1026" spans="1:27" hidden="1" x14ac:dyDescent="0.65">
      <c r="A1026">
        <v>1024</v>
      </c>
      <c r="B1026" t="s">
        <v>29</v>
      </c>
      <c r="C1026" s="6">
        <v>1511716.8089999999</v>
      </c>
      <c r="D1026" s="6">
        <v>694020.85699999996</v>
      </c>
      <c r="E1026" s="2" t="s">
        <v>41</v>
      </c>
      <c r="F1026" s="1">
        <v>26</v>
      </c>
      <c r="G1026" s="2" t="s">
        <v>48</v>
      </c>
      <c r="J1026"/>
      <c r="K1026" s="19"/>
      <c r="L1026" s="21"/>
      <c r="M1026" s="27"/>
      <c r="N1026" s="19"/>
      <c r="O1026" s="21"/>
      <c r="P1026" s="7">
        <v>0.35</v>
      </c>
      <c r="Q1026" s="7">
        <f>Table2[[#This Row],[Elevation
PILE TOP]]-Table2[[#This Row],[LENGTH(m.)
(Actual)]]</f>
        <v>0.35</v>
      </c>
      <c r="R1026" s="2"/>
      <c r="S1026" s="7">
        <f>Table2[[#This Row],[N]]+Table2[[#This Row],[Pile 
Deviation 
N (m)]]</f>
        <v>1511716.8089999999</v>
      </c>
      <c r="T1026" s="7">
        <f>Table2[[#This Row],[E]]+Table2[[#This Row],[Pile 
Deviation 
E (m)]]</f>
        <v>694020.85699999996</v>
      </c>
      <c r="W1026" s="7">
        <v>-0.15</v>
      </c>
      <c r="X1026" s="2" t="s">
        <v>42</v>
      </c>
      <c r="AA1026" s="9">
        <v>46238</v>
      </c>
    </row>
    <row r="1027" spans="1:27" ht="13.95" hidden="1" customHeight="1" x14ac:dyDescent="0.65">
      <c r="A1027">
        <v>1025</v>
      </c>
      <c r="B1027" t="s">
        <v>29</v>
      </c>
      <c r="C1027" s="6">
        <v>1511718.48</v>
      </c>
      <c r="D1027" s="6">
        <v>694023.34299999999</v>
      </c>
      <c r="E1027" s="2" t="s">
        <v>35</v>
      </c>
      <c r="F1027" s="1">
        <v>24</v>
      </c>
      <c r="G1027" s="2" t="s">
        <v>48</v>
      </c>
      <c r="J1027"/>
      <c r="K1027" s="19"/>
      <c r="L1027" s="21"/>
      <c r="M1027" s="27"/>
      <c r="N1027" s="19"/>
      <c r="O1027" s="21"/>
      <c r="P1027" s="7">
        <v>0.28999999999999998</v>
      </c>
      <c r="Q1027" s="7">
        <f>Table2[[#This Row],[Elevation
PILE TOP]]-Table2[[#This Row],[LENGTH(m.)
(Actual)]]</f>
        <v>0.28999999999999998</v>
      </c>
      <c r="R1027" s="2"/>
      <c r="S1027" s="7">
        <f>Table2[[#This Row],[N]]+Table2[[#This Row],[Pile 
Deviation 
N (m)]]</f>
        <v>1511718.48</v>
      </c>
      <c r="T1027" s="7">
        <f>Table2[[#This Row],[E]]+Table2[[#This Row],[Pile 
Deviation 
E (m)]]</f>
        <v>694023.34299999999</v>
      </c>
      <c r="W1027" s="7">
        <v>0.28999999999999998</v>
      </c>
      <c r="X1027" s="2" t="s">
        <v>40</v>
      </c>
      <c r="AA1027" s="9">
        <v>46237</v>
      </c>
    </row>
    <row r="1028" spans="1:27" hidden="1" x14ac:dyDescent="0.65">
      <c r="A1028">
        <v>1026</v>
      </c>
      <c r="B1028" t="s">
        <v>29</v>
      </c>
      <c r="C1028" s="6">
        <v>1511719.1529999999</v>
      </c>
      <c r="D1028" s="6">
        <v>694026.67599999998</v>
      </c>
      <c r="E1028" s="2" t="s">
        <v>35</v>
      </c>
      <c r="F1028" s="1">
        <v>24</v>
      </c>
      <c r="G1028" s="2" t="s">
        <v>48</v>
      </c>
      <c r="J1028"/>
      <c r="K1028" s="19"/>
      <c r="L1028" s="21"/>
      <c r="M1028" s="27"/>
      <c r="N1028" s="19"/>
      <c r="O1028" s="21"/>
      <c r="P1028" s="7">
        <v>0.28999999999999998</v>
      </c>
      <c r="Q1028" s="7">
        <f>Table2[[#This Row],[Elevation
PILE TOP]]-Table2[[#This Row],[LENGTH(m.)
(Actual)]]</f>
        <v>0.28999999999999998</v>
      </c>
      <c r="R1028" s="2"/>
      <c r="S1028" s="7">
        <f>Table2[[#This Row],[N]]+Table2[[#This Row],[Pile 
Deviation 
N (m)]]</f>
        <v>1511719.1529999999</v>
      </c>
      <c r="T1028" s="7">
        <f>Table2[[#This Row],[E]]+Table2[[#This Row],[Pile 
Deviation 
E (m)]]</f>
        <v>694026.67599999998</v>
      </c>
      <c r="W1028" s="7">
        <v>0.28999999999999998</v>
      </c>
      <c r="X1028" s="2" t="s">
        <v>40</v>
      </c>
      <c r="AA1028" s="9">
        <v>46235</v>
      </c>
    </row>
    <row r="1029" spans="1:27" ht="13.95" hidden="1" customHeight="1" x14ac:dyDescent="0.65">
      <c r="A1029">
        <v>1027</v>
      </c>
      <c r="B1029" t="s">
        <v>29</v>
      </c>
      <c r="C1029" s="6">
        <v>1511720.406</v>
      </c>
      <c r="D1029" s="6">
        <v>694027.06599999999</v>
      </c>
      <c r="E1029" s="2" t="s">
        <v>41</v>
      </c>
      <c r="F1029" s="1">
        <v>26</v>
      </c>
      <c r="G1029" s="2" t="s">
        <v>48</v>
      </c>
      <c r="J1029"/>
      <c r="K1029" s="19"/>
      <c r="L1029" s="21"/>
      <c r="M1029" s="27"/>
      <c r="N1029" s="19"/>
      <c r="O1029" s="21"/>
      <c r="P1029" s="7">
        <v>0.35</v>
      </c>
      <c r="Q1029" s="7">
        <f>Table2[[#This Row],[Elevation
PILE TOP]]-Table2[[#This Row],[LENGTH(m.)
(Actual)]]</f>
        <v>0.35</v>
      </c>
      <c r="R1029" s="2"/>
      <c r="S1029" s="7">
        <f>Table2[[#This Row],[N]]+Table2[[#This Row],[Pile 
Deviation 
N (m)]]</f>
        <v>1511720.406</v>
      </c>
      <c r="T1029" s="7">
        <f>Table2[[#This Row],[E]]+Table2[[#This Row],[Pile 
Deviation 
E (m)]]</f>
        <v>694027.06599999999</v>
      </c>
      <c r="W1029" s="7">
        <v>-0.15</v>
      </c>
      <c r="X1029" s="2" t="s">
        <v>42</v>
      </c>
      <c r="AA1029" s="9">
        <v>46233</v>
      </c>
    </row>
    <row r="1030" spans="1:27" hidden="1" x14ac:dyDescent="0.65">
      <c r="A1030">
        <v>1028</v>
      </c>
      <c r="B1030" t="s">
        <v>29</v>
      </c>
      <c r="C1030" s="6">
        <v>1511722.3189999999</v>
      </c>
      <c r="D1030" s="6">
        <v>694028.33600000001</v>
      </c>
      <c r="E1030" s="2" t="s">
        <v>41</v>
      </c>
      <c r="F1030" s="1">
        <v>26</v>
      </c>
      <c r="G1030" s="2" t="s">
        <v>48</v>
      </c>
      <c r="J1030"/>
      <c r="K1030" s="19"/>
      <c r="L1030" s="21"/>
      <c r="M1030" s="27"/>
      <c r="N1030" s="19"/>
      <c r="O1030" s="21"/>
      <c r="P1030" s="7">
        <v>0.35</v>
      </c>
      <c r="Q1030" s="7">
        <f>Table2[[#This Row],[Elevation
PILE TOP]]-Table2[[#This Row],[LENGTH(m.)
(Actual)]]</f>
        <v>0.35</v>
      </c>
      <c r="R1030" s="2"/>
      <c r="S1030" s="7">
        <f>Table2[[#This Row],[N]]+Table2[[#This Row],[Pile 
Deviation 
N (m)]]</f>
        <v>1511722.3189999999</v>
      </c>
      <c r="T1030" s="7">
        <f>Table2[[#This Row],[E]]+Table2[[#This Row],[Pile 
Deviation 
E (m)]]</f>
        <v>694028.33600000001</v>
      </c>
      <c r="W1030" s="7">
        <v>-0.15</v>
      </c>
      <c r="X1030" s="2" t="s">
        <v>42</v>
      </c>
      <c r="AA1030" s="9">
        <v>46233</v>
      </c>
    </row>
    <row r="1031" spans="1:27" ht="13.95" hidden="1" customHeight="1" x14ac:dyDescent="0.65">
      <c r="A1031">
        <v>1029</v>
      </c>
      <c r="B1031" t="s">
        <v>29</v>
      </c>
      <c r="C1031" s="6">
        <v>1511722.773</v>
      </c>
      <c r="D1031" s="6">
        <v>694030.58700000006</v>
      </c>
      <c r="E1031" s="2" t="s">
        <v>41</v>
      </c>
      <c r="F1031" s="1">
        <v>26</v>
      </c>
      <c r="G1031" s="2" t="s">
        <v>48</v>
      </c>
      <c r="J1031"/>
      <c r="K1031" s="19"/>
      <c r="L1031" s="21"/>
      <c r="M1031" s="27"/>
      <c r="N1031" s="19"/>
      <c r="O1031" s="21"/>
      <c r="P1031" s="7">
        <v>0.35</v>
      </c>
      <c r="Q1031" s="7">
        <f>Table2[[#This Row],[Elevation
PILE TOP]]-Table2[[#This Row],[LENGTH(m.)
(Actual)]]</f>
        <v>0.35</v>
      </c>
      <c r="R1031" s="2"/>
      <c r="S1031" s="7">
        <f>Table2[[#This Row],[N]]+Table2[[#This Row],[Pile 
Deviation 
N (m)]]</f>
        <v>1511722.773</v>
      </c>
      <c r="T1031" s="7">
        <f>Table2[[#This Row],[E]]+Table2[[#This Row],[Pile 
Deviation 
E (m)]]</f>
        <v>694030.58700000006</v>
      </c>
      <c r="W1031" s="7">
        <v>-0.15</v>
      </c>
      <c r="X1031" s="2" t="s">
        <v>42</v>
      </c>
      <c r="AA1031" s="9">
        <v>46234</v>
      </c>
    </row>
    <row r="1032" spans="1:27" hidden="1" x14ac:dyDescent="0.65">
      <c r="A1032">
        <v>1030</v>
      </c>
      <c r="B1032" t="s">
        <v>29</v>
      </c>
      <c r="C1032" s="6">
        <v>1511721.503</v>
      </c>
      <c r="D1032" s="6">
        <v>694032.5</v>
      </c>
      <c r="E1032" s="2" t="s">
        <v>41</v>
      </c>
      <c r="F1032" s="1">
        <v>26</v>
      </c>
      <c r="G1032" s="2" t="s">
        <v>48</v>
      </c>
      <c r="J1032"/>
      <c r="K1032" s="19"/>
      <c r="L1032" s="21"/>
      <c r="M1032" s="27"/>
      <c r="N1032" s="19"/>
      <c r="O1032" s="21"/>
      <c r="P1032" s="7">
        <v>0.35</v>
      </c>
      <c r="Q1032" s="7">
        <f>Table2[[#This Row],[Elevation
PILE TOP]]-Table2[[#This Row],[LENGTH(m.)
(Actual)]]</f>
        <v>0.35</v>
      </c>
      <c r="R1032" s="2"/>
      <c r="S1032" s="7">
        <f>Table2[[#This Row],[N]]+Table2[[#This Row],[Pile 
Deviation 
N (m)]]</f>
        <v>1511721.503</v>
      </c>
      <c r="T1032" s="7">
        <f>Table2[[#This Row],[E]]+Table2[[#This Row],[Pile 
Deviation 
E (m)]]</f>
        <v>694032.5</v>
      </c>
      <c r="W1032" s="7">
        <v>-0.15</v>
      </c>
      <c r="X1032" s="2" t="s">
        <v>42</v>
      </c>
      <c r="AA1032" s="9">
        <v>46234</v>
      </c>
    </row>
    <row r="1033" spans="1:27" ht="13.95" hidden="1" customHeight="1" x14ac:dyDescent="0.65">
      <c r="A1033">
        <v>1031</v>
      </c>
      <c r="B1033" t="s">
        <v>29</v>
      </c>
      <c r="C1033" s="6">
        <v>1511720.42</v>
      </c>
      <c r="D1033" s="6">
        <v>694032.94900000002</v>
      </c>
      <c r="E1033" s="2" t="s">
        <v>41</v>
      </c>
      <c r="F1033" s="1">
        <v>26</v>
      </c>
      <c r="G1033" s="2" t="s">
        <v>48</v>
      </c>
      <c r="J1033"/>
      <c r="K1033" s="19"/>
      <c r="L1033" s="21"/>
      <c r="M1033" s="27"/>
      <c r="N1033" s="19"/>
      <c r="O1033" s="21"/>
      <c r="P1033" s="7">
        <v>0.35</v>
      </c>
      <c r="Q1033" s="7">
        <f>Table2[[#This Row],[Elevation
PILE TOP]]-Table2[[#This Row],[LENGTH(m.)
(Actual)]]</f>
        <v>0.35</v>
      </c>
      <c r="R1033" s="2"/>
      <c r="S1033" s="7">
        <f>Table2[[#This Row],[N]]+Table2[[#This Row],[Pile 
Deviation 
N (m)]]</f>
        <v>1511720.42</v>
      </c>
      <c r="T1033" s="7">
        <f>Table2[[#This Row],[E]]+Table2[[#This Row],[Pile 
Deviation 
E (m)]]</f>
        <v>694032.94900000002</v>
      </c>
      <c r="W1033" s="7">
        <v>-0.15</v>
      </c>
      <c r="X1033" s="2" t="s">
        <v>42</v>
      </c>
      <c r="AA1033" s="9">
        <v>46234</v>
      </c>
    </row>
    <row r="1034" spans="1:27" hidden="1" x14ac:dyDescent="0.65">
      <c r="A1034">
        <v>1032</v>
      </c>
      <c r="B1034" t="s">
        <v>29</v>
      </c>
      <c r="C1034" s="6">
        <v>1511719.2520000001</v>
      </c>
      <c r="D1034" s="6">
        <v>694032.95499999996</v>
      </c>
      <c r="E1034" s="2" t="s">
        <v>41</v>
      </c>
      <c r="F1034" s="1">
        <v>26</v>
      </c>
      <c r="G1034" s="2" t="s">
        <v>48</v>
      </c>
      <c r="J1034"/>
      <c r="K1034" s="19"/>
      <c r="L1034" s="21"/>
      <c r="M1034" s="27"/>
      <c r="N1034" s="19"/>
      <c r="O1034" s="21"/>
      <c r="P1034" s="7">
        <v>0.35</v>
      </c>
      <c r="Q1034" s="7">
        <f>Table2[[#This Row],[Elevation
PILE TOP]]-Table2[[#This Row],[LENGTH(m.)
(Actual)]]</f>
        <v>0.35</v>
      </c>
      <c r="R1034" s="2"/>
      <c r="S1034" s="7">
        <f>Table2[[#This Row],[N]]+Table2[[#This Row],[Pile 
Deviation 
N (m)]]</f>
        <v>1511719.2520000001</v>
      </c>
      <c r="T1034" s="7">
        <f>Table2[[#This Row],[E]]+Table2[[#This Row],[Pile 
Deviation 
E (m)]]</f>
        <v>694032.95499999996</v>
      </c>
      <c r="W1034" s="7">
        <v>-0.15</v>
      </c>
      <c r="X1034" s="2" t="s">
        <v>42</v>
      </c>
      <c r="AA1034" s="9">
        <v>46234</v>
      </c>
    </row>
    <row r="1035" spans="1:27" ht="13.95" hidden="1" customHeight="1" x14ac:dyDescent="0.65">
      <c r="A1035">
        <v>1033</v>
      </c>
      <c r="B1035" t="s">
        <v>29</v>
      </c>
      <c r="C1035" s="6">
        <v>1511717.34</v>
      </c>
      <c r="D1035" s="6">
        <v>694031.68400000001</v>
      </c>
      <c r="E1035" s="2" t="s">
        <v>41</v>
      </c>
      <c r="F1035" s="1">
        <v>26</v>
      </c>
      <c r="G1035" s="2" t="s">
        <v>48</v>
      </c>
      <c r="J1035"/>
      <c r="K1035" s="19"/>
      <c r="L1035" s="21"/>
      <c r="M1035" s="27"/>
      <c r="N1035" s="19"/>
      <c r="O1035" s="21"/>
      <c r="P1035" s="7">
        <v>0.35</v>
      </c>
      <c r="Q1035" s="7">
        <f>Table2[[#This Row],[Elevation
PILE TOP]]-Table2[[#This Row],[LENGTH(m.)
(Actual)]]</f>
        <v>0.35</v>
      </c>
      <c r="R1035" s="2"/>
      <c r="S1035" s="7">
        <f>Table2[[#This Row],[N]]+Table2[[#This Row],[Pile 
Deviation 
N (m)]]</f>
        <v>1511717.34</v>
      </c>
      <c r="T1035" s="7">
        <f>Table2[[#This Row],[E]]+Table2[[#This Row],[Pile 
Deviation 
E (m)]]</f>
        <v>694031.68400000001</v>
      </c>
      <c r="W1035" s="7">
        <v>-0.15</v>
      </c>
      <c r="X1035" s="2" t="s">
        <v>42</v>
      </c>
      <c r="AA1035" s="9">
        <v>46234</v>
      </c>
    </row>
    <row r="1036" spans="1:27" hidden="1" x14ac:dyDescent="0.65">
      <c r="A1036">
        <v>1034</v>
      </c>
      <c r="B1036" t="s">
        <v>29</v>
      </c>
      <c r="C1036" s="6">
        <v>1511716.885</v>
      </c>
      <c r="D1036" s="6">
        <v>694029.43400000001</v>
      </c>
      <c r="E1036" s="2" t="s">
        <v>41</v>
      </c>
      <c r="F1036" s="1">
        <v>26</v>
      </c>
      <c r="G1036" s="2" t="s">
        <v>48</v>
      </c>
      <c r="J1036"/>
      <c r="K1036" s="19"/>
      <c r="L1036" s="21"/>
      <c r="M1036" s="27"/>
      <c r="N1036" s="19"/>
      <c r="O1036" s="21"/>
      <c r="P1036" s="7">
        <v>0.35</v>
      </c>
      <c r="Q1036" s="7">
        <f>Table2[[#This Row],[Elevation
PILE TOP]]-Table2[[#This Row],[LENGTH(m.)
(Actual)]]</f>
        <v>0.35</v>
      </c>
      <c r="R1036" s="2"/>
      <c r="S1036" s="7">
        <f>Table2[[#This Row],[N]]+Table2[[#This Row],[Pile 
Deviation 
N (m)]]</f>
        <v>1511716.885</v>
      </c>
      <c r="T1036" s="7">
        <f>Table2[[#This Row],[E]]+Table2[[#This Row],[Pile 
Deviation 
E (m)]]</f>
        <v>694029.43400000001</v>
      </c>
      <c r="W1036" s="7">
        <v>-0.15</v>
      </c>
      <c r="X1036" s="2" t="s">
        <v>42</v>
      </c>
      <c r="AA1036" s="9">
        <v>46233</v>
      </c>
    </row>
    <row r="1037" spans="1:27" ht="13.95" hidden="1" customHeight="1" x14ac:dyDescent="0.65">
      <c r="A1037">
        <v>1035</v>
      </c>
      <c r="B1037" t="s">
        <v>29</v>
      </c>
      <c r="C1037" s="6">
        <v>1511718.155</v>
      </c>
      <c r="D1037" s="6">
        <v>694027.52099999995</v>
      </c>
      <c r="E1037" s="2" t="s">
        <v>35</v>
      </c>
      <c r="F1037" s="1">
        <v>24</v>
      </c>
      <c r="G1037" s="2" t="s">
        <v>48</v>
      </c>
      <c r="J1037"/>
      <c r="K1037" s="19"/>
      <c r="L1037" s="21"/>
      <c r="M1037" s="27"/>
      <c r="N1037" s="19"/>
      <c r="O1037" s="21"/>
      <c r="P1037" s="7">
        <v>0.28999999999999998</v>
      </c>
      <c r="Q1037" s="7">
        <f>Table2[[#This Row],[Elevation
PILE TOP]]-Table2[[#This Row],[LENGTH(m.)
(Actual)]]</f>
        <v>0.28999999999999998</v>
      </c>
      <c r="R1037" s="2"/>
      <c r="S1037" s="7">
        <f>Table2[[#This Row],[N]]+Table2[[#This Row],[Pile 
Deviation 
N (m)]]</f>
        <v>1511718.155</v>
      </c>
      <c r="T1037" s="7">
        <f>Table2[[#This Row],[E]]+Table2[[#This Row],[Pile 
Deviation 
E (m)]]</f>
        <v>694027.52099999995</v>
      </c>
      <c r="W1037" s="7">
        <v>0.28999999999999998</v>
      </c>
      <c r="X1037" s="2" t="s">
        <v>40</v>
      </c>
      <c r="AA1037" s="9">
        <v>46233</v>
      </c>
    </row>
    <row r="1038" spans="1:27" hidden="1" x14ac:dyDescent="0.65">
      <c r="A1038">
        <v>1036</v>
      </c>
      <c r="B1038" t="s">
        <v>29</v>
      </c>
      <c r="C1038" s="6">
        <v>1511719.8259999999</v>
      </c>
      <c r="D1038" s="6">
        <v>694030.00899999996</v>
      </c>
      <c r="E1038" s="2" t="s">
        <v>35</v>
      </c>
      <c r="F1038" s="1">
        <v>24</v>
      </c>
      <c r="G1038" s="2" t="s">
        <v>48</v>
      </c>
      <c r="J1038"/>
      <c r="K1038" s="19"/>
      <c r="L1038" s="21"/>
      <c r="M1038" s="27"/>
      <c r="N1038" s="19"/>
      <c r="O1038" s="21"/>
      <c r="P1038" s="7">
        <v>0.28999999999999998</v>
      </c>
      <c r="Q1038" s="7">
        <f>Table2[[#This Row],[Elevation
PILE TOP]]-Table2[[#This Row],[LENGTH(m.)
(Actual)]]</f>
        <v>0.28999999999999998</v>
      </c>
      <c r="R1038" s="2"/>
      <c r="S1038" s="7">
        <f>Table2[[#This Row],[N]]+Table2[[#This Row],[Pile 
Deviation 
N (m)]]</f>
        <v>1511719.8259999999</v>
      </c>
      <c r="T1038" s="7">
        <f>Table2[[#This Row],[E]]+Table2[[#This Row],[Pile 
Deviation 
E (m)]]</f>
        <v>694030.00899999996</v>
      </c>
      <c r="W1038" s="7">
        <v>0.28999999999999998</v>
      </c>
      <c r="X1038" s="2" t="s">
        <v>40</v>
      </c>
      <c r="AA1038" s="9">
        <v>46233</v>
      </c>
    </row>
    <row r="1039" spans="1:27" ht="13.95" hidden="1" customHeight="1" x14ac:dyDescent="0.65">
      <c r="A1039">
        <v>1037</v>
      </c>
      <c r="B1039" t="s">
        <v>29</v>
      </c>
      <c r="C1039" s="6">
        <v>1511721.014</v>
      </c>
      <c r="D1039" s="6">
        <v>694035.89</v>
      </c>
      <c r="E1039" s="2" t="s">
        <v>35</v>
      </c>
      <c r="F1039" s="1">
        <v>24</v>
      </c>
      <c r="G1039" s="2" t="s">
        <v>48</v>
      </c>
      <c r="J1039"/>
      <c r="K1039" s="19"/>
      <c r="L1039" s="21"/>
      <c r="M1039" s="27"/>
      <c r="N1039" s="19"/>
      <c r="O1039" s="21"/>
      <c r="P1039" s="7">
        <v>0.28999999999999998</v>
      </c>
      <c r="Q1039" s="7">
        <f>Table2[[#This Row],[Elevation
PILE TOP]]-Table2[[#This Row],[LENGTH(m.)
(Actual)]]</f>
        <v>0.28999999999999998</v>
      </c>
      <c r="R1039" s="2"/>
      <c r="S1039" s="7">
        <f>Table2[[#This Row],[N]]+Table2[[#This Row],[Pile 
Deviation 
N (m)]]</f>
        <v>1511721.014</v>
      </c>
      <c r="T1039" s="7">
        <f>Table2[[#This Row],[E]]+Table2[[#This Row],[Pile 
Deviation 
E (m)]]</f>
        <v>694035.89</v>
      </c>
      <c r="W1039" s="7">
        <v>0.28999999999999998</v>
      </c>
      <c r="X1039" s="2" t="s">
        <v>40</v>
      </c>
      <c r="AA1039" s="9">
        <v>46235</v>
      </c>
    </row>
    <row r="1040" spans="1:27" hidden="1" x14ac:dyDescent="0.65">
      <c r="A1040">
        <v>1038</v>
      </c>
      <c r="B1040" t="s">
        <v>29</v>
      </c>
      <c r="C1040" s="6">
        <v>1511722.2069999999</v>
      </c>
      <c r="D1040" s="6">
        <v>694035.98699999996</v>
      </c>
      <c r="E1040" s="2" t="s">
        <v>41</v>
      </c>
      <c r="F1040" s="1">
        <v>26</v>
      </c>
      <c r="G1040" s="2" t="s">
        <v>48</v>
      </c>
      <c r="J1040"/>
      <c r="K1040" s="19"/>
      <c r="L1040" s="21"/>
      <c r="M1040" s="27"/>
      <c r="N1040" s="19"/>
      <c r="O1040" s="21"/>
      <c r="P1040" s="7">
        <v>0.35</v>
      </c>
      <c r="Q1040" s="7">
        <f>Table2[[#This Row],[Elevation
PILE TOP]]-Table2[[#This Row],[LENGTH(m.)
(Actual)]]</f>
        <v>0.35</v>
      </c>
      <c r="R1040" s="2"/>
      <c r="S1040" s="7">
        <f>Table2[[#This Row],[N]]+Table2[[#This Row],[Pile 
Deviation 
N (m)]]</f>
        <v>1511722.2069999999</v>
      </c>
      <c r="T1040" s="7">
        <f>Table2[[#This Row],[E]]+Table2[[#This Row],[Pile 
Deviation 
E (m)]]</f>
        <v>694035.98699999996</v>
      </c>
      <c r="W1040" s="7">
        <v>-0.15</v>
      </c>
      <c r="X1040" s="2" t="s">
        <v>42</v>
      </c>
      <c r="AA1040" s="9">
        <v>46235</v>
      </c>
    </row>
    <row r="1041" spans="1:27" ht="13.95" hidden="1" customHeight="1" x14ac:dyDescent="0.65">
      <c r="A1041">
        <v>1039</v>
      </c>
      <c r="B1041" t="s">
        <v>29</v>
      </c>
      <c r="C1041" s="6">
        <v>1511724.12</v>
      </c>
      <c r="D1041" s="6">
        <v>694037.25699999998</v>
      </c>
      <c r="E1041" s="2" t="s">
        <v>41</v>
      </c>
      <c r="F1041" s="1">
        <v>26</v>
      </c>
      <c r="G1041" s="2" t="s">
        <v>48</v>
      </c>
      <c r="J1041"/>
      <c r="K1041" s="19"/>
      <c r="L1041" s="21"/>
      <c r="M1041" s="27"/>
      <c r="N1041" s="19"/>
      <c r="O1041" s="21"/>
      <c r="P1041" s="7">
        <v>0.35</v>
      </c>
      <c r="Q1041" s="7">
        <f>Table2[[#This Row],[Elevation
PILE TOP]]-Table2[[#This Row],[LENGTH(m.)
(Actual)]]</f>
        <v>0.35</v>
      </c>
      <c r="R1041" s="2"/>
      <c r="S1041" s="7">
        <f>Table2[[#This Row],[N]]+Table2[[#This Row],[Pile 
Deviation 
N (m)]]</f>
        <v>1511724.12</v>
      </c>
      <c r="T1041" s="7">
        <f>Table2[[#This Row],[E]]+Table2[[#This Row],[Pile 
Deviation 
E (m)]]</f>
        <v>694037.25699999998</v>
      </c>
      <c r="W1041" s="7">
        <v>-0.15</v>
      </c>
      <c r="X1041" s="2" t="s">
        <v>42</v>
      </c>
      <c r="AA1041" s="9">
        <v>46235</v>
      </c>
    </row>
    <row r="1042" spans="1:27" hidden="1" x14ac:dyDescent="0.65">
      <c r="A1042">
        <v>1040</v>
      </c>
      <c r="B1042" t="s">
        <v>29</v>
      </c>
      <c r="C1042" s="6">
        <v>1511724.575</v>
      </c>
      <c r="D1042" s="6">
        <v>694039.50800000003</v>
      </c>
      <c r="E1042" s="2" t="s">
        <v>41</v>
      </c>
      <c r="F1042" s="1">
        <v>26</v>
      </c>
      <c r="G1042" s="2" t="s">
        <v>48</v>
      </c>
      <c r="J1042"/>
      <c r="K1042" s="19"/>
      <c r="L1042" s="21"/>
      <c r="M1042" s="27"/>
      <c r="N1042" s="19"/>
      <c r="O1042" s="21"/>
      <c r="P1042" s="7">
        <v>0.35</v>
      </c>
      <c r="Q1042" s="7">
        <f>Table2[[#This Row],[Elevation
PILE TOP]]-Table2[[#This Row],[LENGTH(m.)
(Actual)]]</f>
        <v>0.35</v>
      </c>
      <c r="R1042" s="2"/>
      <c r="S1042" s="7">
        <f>Table2[[#This Row],[N]]+Table2[[#This Row],[Pile 
Deviation 
N (m)]]</f>
        <v>1511724.575</v>
      </c>
      <c r="T1042" s="7">
        <f>Table2[[#This Row],[E]]+Table2[[#This Row],[Pile 
Deviation 
E (m)]]</f>
        <v>694039.50800000003</v>
      </c>
      <c r="W1042" s="7">
        <v>-0.15</v>
      </c>
      <c r="X1042" s="2" t="s">
        <v>42</v>
      </c>
      <c r="AA1042" s="9">
        <v>46237</v>
      </c>
    </row>
    <row r="1043" spans="1:27" ht="13.95" hidden="1" customHeight="1" x14ac:dyDescent="0.65">
      <c r="A1043">
        <v>1041</v>
      </c>
      <c r="B1043" t="s">
        <v>29</v>
      </c>
      <c r="C1043" s="6">
        <v>1511723.3049999999</v>
      </c>
      <c r="D1043" s="6">
        <v>694041.42</v>
      </c>
      <c r="E1043" s="2" t="s">
        <v>41</v>
      </c>
      <c r="F1043" s="1">
        <v>26</v>
      </c>
      <c r="G1043" s="2" t="s">
        <v>48</v>
      </c>
      <c r="J1043"/>
      <c r="K1043" s="19"/>
      <c r="L1043" s="21"/>
      <c r="M1043" s="27"/>
      <c r="N1043" s="19"/>
      <c r="O1043" s="21"/>
      <c r="P1043" s="7">
        <v>0.35</v>
      </c>
      <c r="Q1043" s="7">
        <f>Table2[[#This Row],[Elevation
PILE TOP]]-Table2[[#This Row],[LENGTH(m.)
(Actual)]]</f>
        <v>0.35</v>
      </c>
      <c r="R1043" s="2"/>
      <c r="S1043" s="7">
        <f>Table2[[#This Row],[N]]+Table2[[#This Row],[Pile 
Deviation 
N (m)]]</f>
        <v>1511723.3049999999</v>
      </c>
      <c r="T1043" s="7">
        <f>Table2[[#This Row],[E]]+Table2[[#This Row],[Pile 
Deviation 
E (m)]]</f>
        <v>694041.42</v>
      </c>
      <c r="W1043" s="7">
        <v>-0.15</v>
      </c>
      <c r="X1043" s="2" t="s">
        <v>42</v>
      </c>
      <c r="AA1043" s="9">
        <v>46237</v>
      </c>
    </row>
    <row r="1044" spans="1:27" hidden="1" x14ac:dyDescent="0.65">
      <c r="A1044">
        <v>1042</v>
      </c>
      <c r="B1044" t="s">
        <v>29</v>
      </c>
      <c r="C1044" s="6">
        <v>1511721.054</v>
      </c>
      <c r="D1044" s="6">
        <v>694041.875</v>
      </c>
      <c r="E1044" s="2" t="s">
        <v>41</v>
      </c>
      <c r="F1044" s="1">
        <v>26</v>
      </c>
      <c r="G1044" s="2" t="s">
        <v>48</v>
      </c>
      <c r="J1044"/>
      <c r="K1044" s="19"/>
      <c r="L1044" s="21"/>
      <c r="M1044" s="27"/>
      <c r="N1044" s="19"/>
      <c r="O1044" s="21"/>
      <c r="P1044" s="7">
        <v>0.35</v>
      </c>
      <c r="Q1044" s="7">
        <f>Table2[[#This Row],[Elevation
PILE TOP]]-Table2[[#This Row],[LENGTH(m.)
(Actual)]]</f>
        <v>0.35</v>
      </c>
      <c r="R1044" s="2"/>
      <c r="S1044" s="7">
        <f>Table2[[#This Row],[N]]+Table2[[#This Row],[Pile 
Deviation 
N (m)]]</f>
        <v>1511721.054</v>
      </c>
      <c r="T1044" s="7">
        <f>Table2[[#This Row],[E]]+Table2[[#This Row],[Pile 
Deviation 
E (m)]]</f>
        <v>694041.875</v>
      </c>
      <c r="W1044" s="7">
        <v>-0.15</v>
      </c>
      <c r="X1044" s="2" t="s">
        <v>42</v>
      </c>
      <c r="AA1044" s="9">
        <v>46237</v>
      </c>
    </row>
    <row r="1045" spans="1:27" ht="13.95" hidden="1" customHeight="1" x14ac:dyDescent="0.65">
      <c r="A1045">
        <v>1043</v>
      </c>
      <c r="B1045" t="s">
        <v>29</v>
      </c>
      <c r="C1045" s="6">
        <v>1511719.1410000001</v>
      </c>
      <c r="D1045" s="6">
        <v>694040.60499999998</v>
      </c>
      <c r="E1045" s="2" t="s">
        <v>41</v>
      </c>
      <c r="F1045" s="1">
        <v>26</v>
      </c>
      <c r="G1045" s="2" t="s">
        <v>48</v>
      </c>
      <c r="J1045"/>
      <c r="K1045" s="19"/>
      <c r="L1045" s="21"/>
      <c r="M1045" s="27"/>
      <c r="N1045" s="19"/>
      <c r="O1045" s="21"/>
      <c r="P1045" s="7">
        <v>0.35</v>
      </c>
      <c r="Q1045" s="7">
        <f>Table2[[#This Row],[Elevation
PILE TOP]]-Table2[[#This Row],[LENGTH(m.)
(Actual)]]</f>
        <v>0.35</v>
      </c>
      <c r="R1045" s="2"/>
      <c r="S1045" s="7">
        <f>Table2[[#This Row],[N]]+Table2[[#This Row],[Pile 
Deviation 
N (m)]]</f>
        <v>1511719.1410000001</v>
      </c>
      <c r="T1045" s="7">
        <f>Table2[[#This Row],[E]]+Table2[[#This Row],[Pile 
Deviation 
E (m)]]</f>
        <v>694040.60499999998</v>
      </c>
      <c r="W1045" s="7">
        <v>-0.15</v>
      </c>
      <c r="X1045" s="2" t="s">
        <v>42</v>
      </c>
      <c r="AA1045" s="9">
        <v>46237</v>
      </c>
    </row>
    <row r="1046" spans="1:27" hidden="1" x14ac:dyDescent="0.65">
      <c r="A1046">
        <v>1044</v>
      </c>
      <c r="B1046" t="s">
        <v>29</v>
      </c>
      <c r="C1046" s="6">
        <v>1511718.686</v>
      </c>
      <c r="D1046" s="6">
        <v>694038.35400000005</v>
      </c>
      <c r="E1046" s="2" t="s">
        <v>41</v>
      </c>
      <c r="F1046" s="1">
        <v>26</v>
      </c>
      <c r="G1046" s="2" t="s">
        <v>48</v>
      </c>
      <c r="J1046"/>
      <c r="K1046" s="19"/>
      <c r="L1046" s="21"/>
      <c r="M1046" s="27"/>
      <c r="N1046" s="19"/>
      <c r="O1046" s="21"/>
      <c r="P1046" s="7">
        <v>0.35</v>
      </c>
      <c r="Q1046" s="7">
        <f>Table2[[#This Row],[Elevation
PILE TOP]]-Table2[[#This Row],[LENGTH(m.)
(Actual)]]</f>
        <v>0.35</v>
      </c>
      <c r="R1046" s="2"/>
      <c r="S1046" s="7">
        <f>Table2[[#This Row],[N]]+Table2[[#This Row],[Pile 
Deviation 
N (m)]]</f>
        <v>1511718.686</v>
      </c>
      <c r="T1046" s="7">
        <f>Table2[[#This Row],[E]]+Table2[[#This Row],[Pile 
Deviation 
E (m)]]</f>
        <v>694038.35400000005</v>
      </c>
      <c r="W1046" s="7">
        <v>-0.15</v>
      </c>
      <c r="X1046" s="2" t="s">
        <v>42</v>
      </c>
      <c r="AA1046" s="9">
        <v>46235</v>
      </c>
    </row>
    <row r="1047" spans="1:27" ht="13.95" hidden="1" customHeight="1" x14ac:dyDescent="0.65">
      <c r="A1047">
        <v>1045</v>
      </c>
      <c r="B1047" t="s">
        <v>29</v>
      </c>
      <c r="C1047" s="6">
        <v>1511719.9569999999</v>
      </c>
      <c r="D1047" s="6">
        <v>694036.44099999999</v>
      </c>
      <c r="E1047" s="2" t="s">
        <v>41</v>
      </c>
      <c r="F1047" s="1">
        <v>26</v>
      </c>
      <c r="G1047" s="2" t="s">
        <v>48</v>
      </c>
      <c r="J1047"/>
      <c r="K1047" s="19"/>
      <c r="L1047" s="21"/>
      <c r="M1047" s="27"/>
      <c r="N1047" s="19"/>
      <c r="O1047" s="21"/>
      <c r="P1047" s="7">
        <v>0.35</v>
      </c>
      <c r="Q1047" s="7">
        <f>Table2[[#This Row],[Elevation
PILE TOP]]-Table2[[#This Row],[LENGTH(m.)
(Actual)]]</f>
        <v>0.35</v>
      </c>
      <c r="R1047" s="2"/>
      <c r="S1047" s="7">
        <f>Table2[[#This Row],[N]]+Table2[[#This Row],[Pile 
Deviation 
N (m)]]</f>
        <v>1511719.9569999999</v>
      </c>
      <c r="T1047" s="7">
        <f>Table2[[#This Row],[E]]+Table2[[#This Row],[Pile 
Deviation 
E (m)]]</f>
        <v>694036.44099999999</v>
      </c>
      <c r="W1047" s="7">
        <v>-0.15</v>
      </c>
      <c r="X1047" s="2" t="s">
        <v>42</v>
      </c>
      <c r="AA1047" s="9">
        <v>46235</v>
      </c>
    </row>
    <row r="1048" spans="1:27" hidden="1" x14ac:dyDescent="0.65">
      <c r="A1048">
        <v>1046</v>
      </c>
      <c r="B1048" t="s">
        <v>29</v>
      </c>
      <c r="C1048" s="6">
        <v>1511721.608</v>
      </c>
      <c r="D1048" s="6">
        <v>694038.83100000001</v>
      </c>
      <c r="E1048" s="2" t="s">
        <v>35</v>
      </c>
      <c r="F1048" s="1">
        <v>24</v>
      </c>
      <c r="G1048" s="2" t="s">
        <v>48</v>
      </c>
      <c r="J1048"/>
      <c r="K1048" s="19"/>
      <c r="L1048" s="21"/>
      <c r="M1048" s="27"/>
      <c r="N1048" s="19"/>
      <c r="O1048" s="21"/>
      <c r="P1048" s="7">
        <v>0.28999999999999998</v>
      </c>
      <c r="Q1048" s="7">
        <f>Table2[[#This Row],[Elevation
PILE TOP]]-Table2[[#This Row],[LENGTH(m.)
(Actual)]]</f>
        <v>0.28999999999999998</v>
      </c>
      <c r="R1048" s="2"/>
      <c r="S1048" s="7">
        <f>Table2[[#This Row],[N]]+Table2[[#This Row],[Pile 
Deviation 
N (m)]]</f>
        <v>1511721.608</v>
      </c>
      <c r="T1048" s="7">
        <f>Table2[[#This Row],[E]]+Table2[[#This Row],[Pile 
Deviation 
E (m)]]</f>
        <v>694038.83100000001</v>
      </c>
      <c r="W1048" s="7">
        <v>0.28999999999999998</v>
      </c>
      <c r="X1048" s="2" t="s">
        <v>40</v>
      </c>
      <c r="AA1048" s="9">
        <v>46237</v>
      </c>
    </row>
    <row r="1049" spans="1:27" ht="13.95" hidden="1" customHeight="1" x14ac:dyDescent="0.65">
      <c r="A1049">
        <v>1047</v>
      </c>
      <c r="B1049" t="s">
        <v>29</v>
      </c>
      <c r="C1049" s="6">
        <v>1511722.281</v>
      </c>
      <c r="D1049" s="6">
        <v>694042.16299999994</v>
      </c>
      <c r="E1049" s="2" t="s">
        <v>35</v>
      </c>
      <c r="F1049" s="1">
        <v>24</v>
      </c>
      <c r="G1049" s="2" t="s">
        <v>48</v>
      </c>
      <c r="J1049"/>
      <c r="K1049" s="19"/>
      <c r="L1049" s="21"/>
      <c r="M1049" s="27"/>
      <c r="N1049" s="19"/>
      <c r="O1049" s="21"/>
      <c r="P1049" s="7">
        <v>0.28999999999999998</v>
      </c>
      <c r="Q1049" s="7">
        <f>Table2[[#This Row],[Elevation
PILE TOP]]-Table2[[#This Row],[LENGTH(m.)
(Actual)]]</f>
        <v>0.28999999999999998</v>
      </c>
      <c r="R1049" s="2"/>
      <c r="S1049" s="7">
        <f>Table2[[#This Row],[N]]+Table2[[#This Row],[Pile 
Deviation 
N (m)]]</f>
        <v>1511722.281</v>
      </c>
      <c r="T1049" s="7">
        <f>Table2[[#This Row],[E]]+Table2[[#This Row],[Pile 
Deviation 
E (m)]]</f>
        <v>694042.16299999994</v>
      </c>
      <c r="W1049" s="7">
        <v>0.28999999999999998</v>
      </c>
      <c r="X1049" s="2" t="s">
        <v>40</v>
      </c>
      <c r="AA1049" s="9">
        <v>46237</v>
      </c>
    </row>
    <row r="1050" spans="1:27" hidden="1" x14ac:dyDescent="0.65">
      <c r="A1050">
        <v>1048</v>
      </c>
      <c r="B1050" t="s">
        <v>29</v>
      </c>
      <c r="C1050" s="6">
        <v>1511722.9539999999</v>
      </c>
      <c r="D1050" s="6">
        <v>694045.49600000004</v>
      </c>
      <c r="E1050" s="2" t="s">
        <v>35</v>
      </c>
      <c r="F1050" s="1">
        <v>24</v>
      </c>
      <c r="G1050" s="2" t="s">
        <v>48</v>
      </c>
      <c r="J1050"/>
      <c r="K1050" s="19"/>
      <c r="L1050" s="21"/>
      <c r="M1050" s="27"/>
      <c r="N1050" s="19"/>
      <c r="O1050" s="21"/>
      <c r="P1050" s="7">
        <v>0.28999999999999998</v>
      </c>
      <c r="Q1050" s="7">
        <f>Table2[[#This Row],[Elevation
PILE TOP]]-Table2[[#This Row],[LENGTH(m.)
(Actual)]]</f>
        <v>0.28999999999999998</v>
      </c>
      <c r="R1050" s="2"/>
      <c r="S1050" s="7">
        <f>Table2[[#This Row],[N]]+Table2[[#This Row],[Pile 
Deviation 
N (m)]]</f>
        <v>1511722.9539999999</v>
      </c>
      <c r="T1050" s="7">
        <f>Table2[[#This Row],[E]]+Table2[[#This Row],[Pile 
Deviation 
E (m)]]</f>
        <v>694045.49600000004</v>
      </c>
      <c r="W1050" s="7">
        <v>0.28999999999999998</v>
      </c>
      <c r="X1050" s="2" t="s">
        <v>40</v>
      </c>
      <c r="AA1050" s="9">
        <v>46238</v>
      </c>
    </row>
    <row r="1051" spans="1:27" ht="13.95" hidden="1" customHeight="1" x14ac:dyDescent="0.65">
      <c r="A1051">
        <v>1049</v>
      </c>
      <c r="B1051" t="s">
        <v>29</v>
      </c>
      <c r="C1051" s="6">
        <v>1511722.567</v>
      </c>
      <c r="D1051" s="6">
        <v>694048.63500000001</v>
      </c>
      <c r="E1051" s="2" t="s">
        <v>35</v>
      </c>
      <c r="F1051" s="1">
        <v>24</v>
      </c>
      <c r="G1051" s="2" t="s">
        <v>48</v>
      </c>
      <c r="J1051"/>
      <c r="K1051" s="19"/>
      <c r="L1051" s="21"/>
      <c r="M1051" s="27"/>
      <c r="N1051" s="19"/>
      <c r="O1051" s="21"/>
      <c r="P1051" s="7">
        <v>0.28999999999999998</v>
      </c>
      <c r="Q1051" s="7">
        <f>Table2[[#This Row],[Elevation
PILE TOP]]-Table2[[#This Row],[LENGTH(m.)
(Actual)]]</f>
        <v>0.28999999999999998</v>
      </c>
      <c r="R1051" s="2"/>
      <c r="S1051" s="7">
        <f>Table2[[#This Row],[N]]+Table2[[#This Row],[Pile 
Deviation 
N (m)]]</f>
        <v>1511722.567</v>
      </c>
      <c r="T1051" s="7">
        <f>Table2[[#This Row],[E]]+Table2[[#This Row],[Pile 
Deviation 
E (m)]]</f>
        <v>694048.63500000001</v>
      </c>
      <c r="W1051" s="7">
        <v>0.28999999999999998</v>
      </c>
      <c r="X1051" s="2" t="s">
        <v>40</v>
      </c>
      <c r="AA1051" s="9">
        <v>46238</v>
      </c>
    </row>
    <row r="1052" spans="1:27" hidden="1" x14ac:dyDescent="0.65">
      <c r="A1052">
        <v>1050</v>
      </c>
      <c r="B1052" t="s">
        <v>29</v>
      </c>
      <c r="C1052" s="6">
        <v>1511713.9920000001</v>
      </c>
      <c r="D1052" s="6">
        <v>694014.25199999998</v>
      </c>
      <c r="E1052" s="2" t="s">
        <v>35</v>
      </c>
      <c r="F1052" s="1">
        <v>24</v>
      </c>
      <c r="G1052" s="2" t="s">
        <v>48</v>
      </c>
      <c r="J1052"/>
      <c r="K1052" s="19"/>
      <c r="L1052" s="21"/>
      <c r="M1052" s="27"/>
      <c r="N1052" s="19"/>
      <c r="O1052" s="21"/>
      <c r="P1052" s="7">
        <v>0.28999999999999998</v>
      </c>
      <c r="Q1052" s="7">
        <f>Table2[[#This Row],[Elevation
PILE TOP]]-Table2[[#This Row],[LENGTH(m.)
(Actual)]]</f>
        <v>0.28999999999999998</v>
      </c>
      <c r="R1052" s="2"/>
      <c r="S1052" s="7">
        <f>Table2[[#This Row],[N]]+Table2[[#This Row],[Pile 
Deviation 
N (m)]]</f>
        <v>1511713.9920000001</v>
      </c>
      <c r="T1052" s="7">
        <f>Table2[[#This Row],[E]]+Table2[[#This Row],[Pile 
Deviation 
E (m)]]</f>
        <v>694014.25199999998</v>
      </c>
      <c r="W1052" s="7">
        <v>0.28999999999999998</v>
      </c>
      <c r="X1052" s="2" t="s">
        <v>40</v>
      </c>
      <c r="AA1052" s="9">
        <v>46239</v>
      </c>
    </row>
    <row r="1053" spans="1:27" ht="13.95" hidden="1" customHeight="1" x14ac:dyDescent="0.65">
      <c r="A1053">
        <v>1051</v>
      </c>
      <c r="B1053" t="s">
        <v>29</v>
      </c>
      <c r="C1053" s="6">
        <v>1511714.5859999999</v>
      </c>
      <c r="D1053" s="6">
        <v>694017.19299999997</v>
      </c>
      <c r="E1053" s="2" t="s">
        <v>35</v>
      </c>
      <c r="F1053" s="1">
        <v>24</v>
      </c>
      <c r="G1053" s="2" t="s">
        <v>48</v>
      </c>
      <c r="J1053"/>
      <c r="K1053" s="19"/>
      <c r="L1053" s="21"/>
      <c r="M1053" s="27"/>
      <c r="N1053" s="19"/>
      <c r="O1053" s="21"/>
      <c r="P1053" s="7">
        <v>0.28999999999999998</v>
      </c>
      <c r="Q1053" s="7">
        <f>Table2[[#This Row],[Elevation
PILE TOP]]-Table2[[#This Row],[LENGTH(m.)
(Actual)]]</f>
        <v>0.28999999999999998</v>
      </c>
      <c r="R1053" s="2"/>
      <c r="S1053" s="7">
        <f>Table2[[#This Row],[N]]+Table2[[#This Row],[Pile 
Deviation 
N (m)]]</f>
        <v>1511714.5859999999</v>
      </c>
      <c r="T1053" s="7">
        <f>Table2[[#This Row],[E]]+Table2[[#This Row],[Pile 
Deviation 
E (m)]]</f>
        <v>694017.19299999997</v>
      </c>
      <c r="W1053" s="7">
        <v>0.28999999999999998</v>
      </c>
      <c r="X1053" s="2" t="s">
        <v>40</v>
      </c>
      <c r="AA1053" s="9">
        <v>46239</v>
      </c>
    </row>
    <row r="1054" spans="1:27" hidden="1" x14ac:dyDescent="0.65">
      <c r="A1054">
        <v>1052</v>
      </c>
      <c r="B1054" t="s">
        <v>29</v>
      </c>
      <c r="C1054" s="6">
        <v>1511715.2590000001</v>
      </c>
      <c r="D1054" s="6">
        <v>694020.52500000002</v>
      </c>
      <c r="E1054" s="2" t="s">
        <v>35</v>
      </c>
      <c r="F1054" s="1">
        <v>24</v>
      </c>
      <c r="G1054" s="2" t="s">
        <v>48</v>
      </c>
      <c r="J1054"/>
      <c r="K1054" s="19"/>
      <c r="L1054" s="21"/>
      <c r="M1054" s="27"/>
      <c r="N1054" s="19"/>
      <c r="O1054" s="21"/>
      <c r="P1054" s="7">
        <v>0.28999999999999998</v>
      </c>
      <c r="Q1054" s="7">
        <f>Table2[[#This Row],[Elevation
PILE TOP]]-Table2[[#This Row],[LENGTH(m.)
(Actual)]]</f>
        <v>0.28999999999999998</v>
      </c>
      <c r="R1054" s="2"/>
      <c r="S1054" s="7">
        <f>Table2[[#This Row],[N]]+Table2[[#This Row],[Pile 
Deviation 
N (m)]]</f>
        <v>1511715.2590000001</v>
      </c>
      <c r="T1054" s="7">
        <f>Table2[[#This Row],[E]]+Table2[[#This Row],[Pile 
Deviation 
E (m)]]</f>
        <v>694020.52500000002</v>
      </c>
      <c r="W1054" s="7">
        <v>0.28999999999999998</v>
      </c>
      <c r="X1054" s="2" t="s">
        <v>40</v>
      </c>
      <c r="AA1054" s="9">
        <v>46238</v>
      </c>
    </row>
    <row r="1055" spans="1:27" ht="13.95" hidden="1" customHeight="1" x14ac:dyDescent="0.65">
      <c r="A1055">
        <v>1053</v>
      </c>
      <c r="B1055" t="s">
        <v>29</v>
      </c>
      <c r="C1055" s="6">
        <v>1511715.932</v>
      </c>
      <c r="D1055" s="6">
        <v>694023.85800000001</v>
      </c>
      <c r="E1055" s="2" t="s">
        <v>35</v>
      </c>
      <c r="F1055" s="1">
        <v>24</v>
      </c>
      <c r="G1055" s="2" t="s">
        <v>48</v>
      </c>
      <c r="J1055"/>
      <c r="K1055" s="19"/>
      <c r="L1055" s="21"/>
      <c r="M1055" s="27"/>
      <c r="N1055" s="19"/>
      <c r="O1055" s="21"/>
      <c r="P1055" s="7">
        <v>0.28999999999999998</v>
      </c>
      <c r="Q1055" s="7">
        <f>Table2[[#This Row],[Elevation
PILE TOP]]-Table2[[#This Row],[LENGTH(m.)
(Actual)]]</f>
        <v>0.28999999999999998</v>
      </c>
      <c r="R1055" s="2"/>
      <c r="S1055" s="7">
        <f>Table2[[#This Row],[N]]+Table2[[#This Row],[Pile 
Deviation 
N (m)]]</f>
        <v>1511715.932</v>
      </c>
      <c r="T1055" s="7">
        <f>Table2[[#This Row],[E]]+Table2[[#This Row],[Pile 
Deviation 
E (m)]]</f>
        <v>694023.85800000001</v>
      </c>
      <c r="W1055" s="7">
        <v>0.28999999999999998</v>
      </c>
      <c r="X1055" s="2" t="s">
        <v>40</v>
      </c>
      <c r="AA1055" s="9">
        <v>46237</v>
      </c>
    </row>
    <row r="1056" spans="1:27" hidden="1" x14ac:dyDescent="0.65">
      <c r="A1056">
        <v>1054</v>
      </c>
      <c r="B1056" t="s">
        <v>29</v>
      </c>
      <c r="C1056" s="6">
        <v>1511716.605</v>
      </c>
      <c r="D1056" s="6">
        <v>694027.19099999999</v>
      </c>
      <c r="E1056" s="2" t="s">
        <v>35</v>
      </c>
      <c r="F1056" s="1">
        <v>24</v>
      </c>
      <c r="G1056" s="2" t="s">
        <v>48</v>
      </c>
      <c r="J1056"/>
      <c r="K1056" s="19"/>
      <c r="L1056" s="21"/>
      <c r="M1056" s="27"/>
      <c r="N1056" s="19"/>
      <c r="O1056" s="21"/>
      <c r="P1056" s="7">
        <v>0.28999999999999998</v>
      </c>
      <c r="Q1056" s="7">
        <f>Table2[[#This Row],[Elevation
PILE TOP]]-Table2[[#This Row],[LENGTH(m.)
(Actual)]]</f>
        <v>0.28999999999999998</v>
      </c>
      <c r="R1056" s="2"/>
      <c r="S1056" s="7">
        <f>Table2[[#This Row],[N]]+Table2[[#This Row],[Pile 
Deviation 
N (m)]]</f>
        <v>1511716.605</v>
      </c>
      <c r="T1056" s="7">
        <f>Table2[[#This Row],[E]]+Table2[[#This Row],[Pile 
Deviation 
E (m)]]</f>
        <v>694027.19099999999</v>
      </c>
      <c r="W1056" s="7">
        <v>0.28999999999999998</v>
      </c>
      <c r="X1056" s="2" t="s">
        <v>40</v>
      </c>
      <c r="AA1056" s="9">
        <v>46235</v>
      </c>
    </row>
    <row r="1057" spans="1:27" ht="13.95" hidden="1" customHeight="1" x14ac:dyDescent="0.65">
      <c r="A1057">
        <v>1055</v>
      </c>
      <c r="B1057" t="s">
        <v>29</v>
      </c>
      <c r="C1057" s="6">
        <v>1511717.2779999999</v>
      </c>
      <c r="D1057" s="6">
        <v>694030.52300000004</v>
      </c>
      <c r="E1057" s="2" t="s">
        <v>35</v>
      </c>
      <c r="F1057" s="1">
        <v>24</v>
      </c>
      <c r="G1057" s="2" t="s">
        <v>48</v>
      </c>
      <c r="J1057"/>
      <c r="K1057" s="19"/>
      <c r="L1057" s="21"/>
      <c r="M1057" s="27"/>
      <c r="N1057" s="19"/>
      <c r="O1057" s="21"/>
      <c r="P1057" s="7">
        <v>0.28999999999999998</v>
      </c>
      <c r="Q1057" s="7">
        <f>Table2[[#This Row],[Elevation
PILE TOP]]-Table2[[#This Row],[LENGTH(m.)
(Actual)]]</f>
        <v>0.28999999999999998</v>
      </c>
      <c r="R1057" s="2"/>
      <c r="S1057" s="7">
        <f>Table2[[#This Row],[N]]+Table2[[#This Row],[Pile 
Deviation 
N (m)]]</f>
        <v>1511717.2779999999</v>
      </c>
      <c r="T1057" s="7">
        <f>Table2[[#This Row],[E]]+Table2[[#This Row],[Pile 
Deviation 
E (m)]]</f>
        <v>694030.52300000004</v>
      </c>
      <c r="W1057" s="7">
        <v>0.28999999999999998</v>
      </c>
      <c r="X1057" s="2" t="s">
        <v>40</v>
      </c>
      <c r="AA1057" s="9">
        <v>46233</v>
      </c>
    </row>
    <row r="1058" spans="1:27" hidden="1" x14ac:dyDescent="0.65">
      <c r="A1058">
        <v>1056</v>
      </c>
      <c r="B1058" t="s">
        <v>29</v>
      </c>
      <c r="C1058" s="6">
        <v>1511717.872</v>
      </c>
      <c r="D1058" s="6">
        <v>694033.46400000004</v>
      </c>
      <c r="E1058" s="2" t="s">
        <v>35</v>
      </c>
      <c r="F1058" s="1">
        <v>24</v>
      </c>
      <c r="G1058" s="2" t="s">
        <v>48</v>
      </c>
      <c r="J1058"/>
      <c r="K1058" s="19"/>
      <c r="L1058" s="21"/>
      <c r="M1058" s="27"/>
      <c r="N1058" s="19"/>
      <c r="O1058" s="21"/>
      <c r="P1058" s="7">
        <v>0.28999999999999998</v>
      </c>
      <c r="Q1058" s="7">
        <f>Table2[[#This Row],[Elevation
PILE TOP]]-Table2[[#This Row],[LENGTH(m.)
(Actual)]]</f>
        <v>0.28999999999999998</v>
      </c>
      <c r="R1058" s="2"/>
      <c r="S1058" s="7">
        <f>Table2[[#This Row],[N]]+Table2[[#This Row],[Pile 
Deviation 
N (m)]]</f>
        <v>1511717.872</v>
      </c>
      <c r="T1058" s="7">
        <f>Table2[[#This Row],[E]]+Table2[[#This Row],[Pile 
Deviation 
E (m)]]</f>
        <v>694033.46400000004</v>
      </c>
      <c r="W1058" s="7">
        <v>0.28999999999999998</v>
      </c>
      <c r="X1058" s="2" t="s">
        <v>40</v>
      </c>
      <c r="AA1058" s="9">
        <v>46234</v>
      </c>
    </row>
    <row r="1059" spans="1:27" ht="13.95" hidden="1" customHeight="1" x14ac:dyDescent="0.65">
      <c r="A1059">
        <v>1057</v>
      </c>
      <c r="B1059" t="s">
        <v>29</v>
      </c>
      <c r="C1059" s="6">
        <v>1511718.466</v>
      </c>
      <c r="D1059" s="6">
        <v>694036.40500000003</v>
      </c>
      <c r="E1059" s="2" t="s">
        <v>35</v>
      </c>
      <c r="F1059" s="1">
        <v>24</v>
      </c>
      <c r="G1059" s="2" t="s">
        <v>48</v>
      </c>
      <c r="J1059"/>
      <c r="K1059" s="19"/>
      <c r="L1059" s="21"/>
      <c r="M1059" s="27"/>
      <c r="N1059" s="19"/>
      <c r="O1059" s="21"/>
      <c r="P1059" s="7">
        <v>0.28999999999999998</v>
      </c>
      <c r="Q1059" s="7">
        <f>Table2[[#This Row],[Elevation
PILE TOP]]-Table2[[#This Row],[LENGTH(m.)
(Actual)]]</f>
        <v>0.28999999999999998</v>
      </c>
      <c r="R1059" s="2"/>
      <c r="S1059" s="7">
        <f>Table2[[#This Row],[N]]+Table2[[#This Row],[Pile 
Deviation 
N (m)]]</f>
        <v>1511718.466</v>
      </c>
      <c r="T1059" s="7">
        <f>Table2[[#This Row],[E]]+Table2[[#This Row],[Pile 
Deviation 
E (m)]]</f>
        <v>694036.40500000003</v>
      </c>
      <c r="W1059" s="7">
        <v>0.28999999999999998</v>
      </c>
      <c r="X1059" s="2" t="s">
        <v>40</v>
      </c>
      <c r="AA1059" s="9">
        <v>46235</v>
      </c>
    </row>
    <row r="1060" spans="1:27" hidden="1" x14ac:dyDescent="0.65">
      <c r="A1060">
        <v>1058</v>
      </c>
      <c r="B1060" t="s">
        <v>29</v>
      </c>
      <c r="C1060" s="6">
        <v>1511719.0589999999</v>
      </c>
      <c r="D1060" s="6">
        <v>694039.34499999997</v>
      </c>
      <c r="E1060" s="2" t="s">
        <v>35</v>
      </c>
      <c r="F1060" s="1">
        <v>24</v>
      </c>
      <c r="G1060" s="2" t="s">
        <v>48</v>
      </c>
      <c r="J1060"/>
      <c r="K1060" s="19"/>
      <c r="L1060" s="21"/>
      <c r="M1060" s="27"/>
      <c r="N1060" s="19"/>
      <c r="O1060" s="21"/>
      <c r="P1060" s="7">
        <v>0.28999999999999998</v>
      </c>
      <c r="Q1060" s="7">
        <f>Table2[[#This Row],[Elevation
PILE TOP]]-Table2[[#This Row],[LENGTH(m.)
(Actual)]]</f>
        <v>0.28999999999999998</v>
      </c>
      <c r="R1060" s="2"/>
      <c r="S1060" s="7">
        <f>Table2[[#This Row],[N]]+Table2[[#This Row],[Pile 
Deviation 
N (m)]]</f>
        <v>1511719.0589999999</v>
      </c>
      <c r="T1060" s="7">
        <f>Table2[[#This Row],[E]]+Table2[[#This Row],[Pile 
Deviation 
E (m)]]</f>
        <v>694039.34499999997</v>
      </c>
      <c r="W1060" s="7">
        <v>0.28999999999999998</v>
      </c>
      <c r="X1060" s="2" t="s">
        <v>40</v>
      </c>
      <c r="AA1060" s="9">
        <v>46237</v>
      </c>
    </row>
    <row r="1061" spans="1:27" ht="13.95" hidden="1" customHeight="1" x14ac:dyDescent="0.65">
      <c r="A1061">
        <v>1059</v>
      </c>
      <c r="B1061" t="s">
        <v>29</v>
      </c>
      <c r="C1061" s="6">
        <v>1511719.7320000001</v>
      </c>
      <c r="D1061" s="6">
        <v>694042.67799999996</v>
      </c>
      <c r="E1061" s="2" t="s">
        <v>35</v>
      </c>
      <c r="F1061" s="1">
        <v>24</v>
      </c>
      <c r="G1061" s="2" t="s">
        <v>48</v>
      </c>
      <c r="J1061"/>
      <c r="K1061" s="19"/>
      <c r="L1061" s="21"/>
      <c r="M1061" s="27"/>
      <c r="N1061" s="19"/>
      <c r="O1061" s="21"/>
      <c r="P1061" s="7">
        <v>0.28999999999999998</v>
      </c>
      <c r="Q1061" s="7">
        <f>Table2[[#This Row],[Elevation
PILE TOP]]-Table2[[#This Row],[LENGTH(m.)
(Actual)]]</f>
        <v>0.28999999999999998</v>
      </c>
      <c r="R1061" s="2"/>
      <c r="S1061" s="7">
        <f>Table2[[#This Row],[N]]+Table2[[#This Row],[Pile 
Deviation 
N (m)]]</f>
        <v>1511719.7320000001</v>
      </c>
      <c r="T1061" s="7">
        <f>Table2[[#This Row],[E]]+Table2[[#This Row],[Pile 
Deviation 
E (m)]]</f>
        <v>694042.67799999996</v>
      </c>
      <c r="W1061" s="7">
        <v>0.28999999999999998</v>
      </c>
      <c r="X1061" s="2" t="s">
        <v>40</v>
      </c>
      <c r="AA1061" s="9">
        <v>46237</v>
      </c>
    </row>
    <row r="1062" spans="1:27" hidden="1" x14ac:dyDescent="0.65">
      <c r="A1062">
        <v>1060</v>
      </c>
      <c r="B1062" t="s">
        <v>29</v>
      </c>
      <c r="C1062" s="6">
        <v>1511720.405</v>
      </c>
      <c r="D1062" s="6">
        <v>694046.01100000006</v>
      </c>
      <c r="E1062" s="2" t="s">
        <v>35</v>
      </c>
      <c r="F1062" s="1">
        <v>24</v>
      </c>
      <c r="G1062" s="2" t="s">
        <v>48</v>
      </c>
      <c r="J1062"/>
      <c r="K1062" s="19"/>
      <c r="L1062" s="21"/>
      <c r="M1062" s="27"/>
      <c r="N1062" s="19"/>
      <c r="O1062" s="21"/>
      <c r="P1062" s="7">
        <v>0.28999999999999998</v>
      </c>
      <c r="Q1062" s="7">
        <f>Table2[[#This Row],[Elevation
PILE TOP]]-Table2[[#This Row],[LENGTH(m.)
(Actual)]]</f>
        <v>0.28999999999999998</v>
      </c>
      <c r="R1062" s="2"/>
      <c r="S1062" s="7">
        <f>Table2[[#This Row],[N]]+Table2[[#This Row],[Pile 
Deviation 
N (m)]]</f>
        <v>1511720.405</v>
      </c>
      <c r="T1062" s="7">
        <f>Table2[[#This Row],[E]]+Table2[[#This Row],[Pile 
Deviation 
E (m)]]</f>
        <v>694046.01100000006</v>
      </c>
      <c r="W1062" s="7">
        <v>0.28999999999999998</v>
      </c>
      <c r="X1062" s="2" t="s">
        <v>40</v>
      </c>
      <c r="AA1062" s="9">
        <v>46238</v>
      </c>
    </row>
    <row r="1063" spans="1:27" ht="13.95" hidden="1" customHeight="1" x14ac:dyDescent="0.65">
      <c r="A1063">
        <v>1061</v>
      </c>
      <c r="B1063" t="s">
        <v>29</v>
      </c>
      <c r="C1063" s="6">
        <v>1511720.9990000001</v>
      </c>
      <c r="D1063" s="6">
        <v>694048.951</v>
      </c>
      <c r="E1063" s="2" t="s">
        <v>35</v>
      </c>
      <c r="F1063" s="1">
        <v>24</v>
      </c>
      <c r="G1063" s="2" t="s">
        <v>48</v>
      </c>
      <c r="J1063"/>
      <c r="K1063" s="19"/>
      <c r="L1063" s="21"/>
      <c r="M1063" s="27"/>
      <c r="N1063" s="19"/>
      <c r="O1063" s="21"/>
      <c r="P1063" s="7">
        <v>0.28999999999999998</v>
      </c>
      <c r="Q1063" s="7">
        <f>Table2[[#This Row],[Elevation
PILE TOP]]-Table2[[#This Row],[LENGTH(m.)
(Actual)]]</f>
        <v>0.28999999999999998</v>
      </c>
      <c r="R1063" s="2"/>
      <c r="S1063" s="7">
        <f>Table2[[#This Row],[N]]+Table2[[#This Row],[Pile 
Deviation 
N (m)]]</f>
        <v>1511720.9990000001</v>
      </c>
      <c r="T1063" s="7">
        <f>Table2[[#This Row],[E]]+Table2[[#This Row],[Pile 
Deviation 
E (m)]]</f>
        <v>694048.951</v>
      </c>
      <c r="W1063" s="7">
        <v>0.28999999999999998</v>
      </c>
      <c r="X1063" s="2" t="s">
        <v>40</v>
      </c>
      <c r="AA1063" s="9">
        <v>46238</v>
      </c>
    </row>
    <row r="1064" spans="1:27" hidden="1" x14ac:dyDescent="0.65">
      <c r="A1064">
        <v>1062</v>
      </c>
      <c r="B1064" t="s">
        <v>29</v>
      </c>
      <c r="C1064" s="6">
        <v>1511712.6310000001</v>
      </c>
      <c r="D1064" s="6">
        <v>694012.03200000001</v>
      </c>
      <c r="E1064" s="2" t="s">
        <v>30</v>
      </c>
      <c r="F1064" s="1">
        <v>24</v>
      </c>
      <c r="G1064" s="2" t="s">
        <v>48</v>
      </c>
      <c r="J1064"/>
      <c r="K1064" s="19"/>
      <c r="L1064" s="21"/>
      <c r="M1064" s="27"/>
      <c r="N1064" s="19"/>
      <c r="O1064" s="21"/>
      <c r="P1064" s="7">
        <v>-0.17499999999999999</v>
      </c>
      <c r="Q1064" s="7">
        <f>Table2[[#This Row],[Elevation
PILE TOP]]-Table2[[#This Row],[LENGTH(m.)
(Actual)]]</f>
        <v>-0.17499999999999999</v>
      </c>
      <c r="R1064" s="2"/>
      <c r="S1064" s="7">
        <f>Table2[[#This Row],[N]]+Table2[[#This Row],[Pile 
Deviation 
N (m)]]</f>
        <v>1511712.6310000001</v>
      </c>
      <c r="T1064" s="7">
        <f>Table2[[#This Row],[E]]+Table2[[#This Row],[Pile 
Deviation 
E (m)]]</f>
        <v>694012.03200000001</v>
      </c>
      <c r="W1064" s="7">
        <v>-0.67500000000000004</v>
      </c>
      <c r="X1064" s="2" t="s">
        <v>33</v>
      </c>
      <c r="AA1064" s="9">
        <v>46217</v>
      </c>
    </row>
    <row r="1065" spans="1:27" ht="13.95" hidden="1" customHeight="1" x14ac:dyDescent="0.65">
      <c r="A1065">
        <v>1063</v>
      </c>
      <c r="B1065" t="s">
        <v>29</v>
      </c>
      <c r="C1065" s="6">
        <v>1511712.7890000001</v>
      </c>
      <c r="D1065" s="6">
        <v>694012.81599999999</v>
      </c>
      <c r="E1065" s="2" t="s">
        <v>30</v>
      </c>
      <c r="F1065" s="1">
        <v>24</v>
      </c>
      <c r="G1065" s="2" t="s">
        <v>48</v>
      </c>
      <c r="J1065"/>
      <c r="K1065" s="19"/>
      <c r="L1065" s="21"/>
      <c r="M1065" s="27"/>
      <c r="N1065" s="19"/>
      <c r="O1065" s="21"/>
      <c r="P1065" s="7">
        <v>-0.17499999999999999</v>
      </c>
      <c r="Q1065" s="7">
        <f>Table2[[#This Row],[Elevation
PILE TOP]]-Table2[[#This Row],[LENGTH(m.)
(Actual)]]</f>
        <v>-0.17499999999999999</v>
      </c>
      <c r="R1065" s="2"/>
      <c r="S1065" s="7">
        <f>Table2[[#This Row],[N]]+Table2[[#This Row],[Pile 
Deviation 
N (m)]]</f>
        <v>1511712.7890000001</v>
      </c>
      <c r="T1065" s="7">
        <f>Table2[[#This Row],[E]]+Table2[[#This Row],[Pile 
Deviation 
E (m)]]</f>
        <v>694012.81599999999</v>
      </c>
      <c r="W1065" s="7">
        <v>-0.67500000000000004</v>
      </c>
      <c r="X1065" s="2" t="s">
        <v>33</v>
      </c>
      <c r="AA1065" s="9">
        <v>46217</v>
      </c>
    </row>
    <row r="1066" spans="1:27" hidden="1" x14ac:dyDescent="0.65">
      <c r="A1066">
        <v>1064</v>
      </c>
      <c r="B1066" t="s">
        <v>29</v>
      </c>
      <c r="C1066" s="6">
        <v>1511711.7490000001</v>
      </c>
      <c r="D1066" s="6">
        <v>694012.21</v>
      </c>
      <c r="E1066" s="2" t="s">
        <v>30</v>
      </c>
      <c r="F1066" s="1">
        <v>24</v>
      </c>
      <c r="G1066" s="2" t="s">
        <v>48</v>
      </c>
      <c r="J1066"/>
      <c r="K1066" s="19"/>
      <c r="L1066" s="21"/>
      <c r="M1066" s="27"/>
      <c r="N1066" s="19"/>
      <c r="O1066" s="21"/>
      <c r="P1066" s="7">
        <v>-0.17499999999999999</v>
      </c>
      <c r="Q1066" s="7">
        <f>Table2[[#This Row],[Elevation
PILE TOP]]-Table2[[#This Row],[LENGTH(m.)
(Actual)]]</f>
        <v>-0.17499999999999999</v>
      </c>
      <c r="R1066" s="2"/>
      <c r="S1066" s="7">
        <f>Table2[[#This Row],[N]]+Table2[[#This Row],[Pile 
Deviation 
N (m)]]</f>
        <v>1511711.7490000001</v>
      </c>
      <c r="T1066" s="7">
        <f>Table2[[#This Row],[E]]+Table2[[#This Row],[Pile 
Deviation 
E (m)]]</f>
        <v>694012.21</v>
      </c>
      <c r="W1066" s="7">
        <v>-0.67500000000000004</v>
      </c>
      <c r="X1066" s="2" t="s">
        <v>33</v>
      </c>
      <c r="AA1066" s="9">
        <v>46217</v>
      </c>
    </row>
    <row r="1067" spans="1:27" ht="13.95" hidden="1" customHeight="1" x14ac:dyDescent="0.65">
      <c r="A1067">
        <v>1065</v>
      </c>
      <c r="B1067" t="s">
        <v>29</v>
      </c>
      <c r="C1067" s="6">
        <v>1511711.9069999999</v>
      </c>
      <c r="D1067" s="6">
        <v>694012.99399999995</v>
      </c>
      <c r="E1067" s="2" t="s">
        <v>30</v>
      </c>
      <c r="F1067" s="1">
        <v>24</v>
      </c>
      <c r="G1067" s="2" t="s">
        <v>48</v>
      </c>
      <c r="J1067"/>
      <c r="K1067" s="19"/>
      <c r="L1067" s="21"/>
      <c r="M1067" s="27"/>
      <c r="N1067" s="19"/>
      <c r="O1067" s="21"/>
      <c r="P1067" s="7">
        <v>-0.17499999999999999</v>
      </c>
      <c r="Q1067" s="7">
        <f>Table2[[#This Row],[Elevation
PILE TOP]]-Table2[[#This Row],[LENGTH(m.)
(Actual)]]</f>
        <v>-0.17499999999999999</v>
      </c>
      <c r="R1067" s="2"/>
      <c r="S1067" s="7">
        <f>Table2[[#This Row],[N]]+Table2[[#This Row],[Pile 
Deviation 
N (m)]]</f>
        <v>1511711.9069999999</v>
      </c>
      <c r="T1067" s="7">
        <f>Table2[[#This Row],[E]]+Table2[[#This Row],[Pile 
Deviation 
E (m)]]</f>
        <v>694012.99399999995</v>
      </c>
      <c r="W1067" s="7">
        <v>-0.67500000000000004</v>
      </c>
      <c r="X1067" s="2" t="s">
        <v>33</v>
      </c>
      <c r="AA1067" s="9">
        <v>46217</v>
      </c>
    </row>
    <row r="1068" spans="1:27" hidden="1" x14ac:dyDescent="0.65">
      <c r="A1068">
        <v>1066</v>
      </c>
      <c r="B1068" t="s">
        <v>29</v>
      </c>
      <c r="C1068" s="6">
        <v>1511713.838</v>
      </c>
      <c r="D1068" s="6">
        <v>694018.01100000006</v>
      </c>
      <c r="E1068" s="2" t="s">
        <v>30</v>
      </c>
      <c r="F1068" s="1">
        <v>24</v>
      </c>
      <c r="G1068" s="2" t="s">
        <v>48</v>
      </c>
      <c r="J1068"/>
      <c r="K1068" s="19"/>
      <c r="L1068" s="21"/>
      <c r="M1068" s="27"/>
      <c r="N1068" s="19"/>
      <c r="O1068" s="21"/>
      <c r="P1068" s="7">
        <v>-0.17499999999999999</v>
      </c>
      <c r="Q1068" s="7">
        <f>Table2[[#This Row],[Elevation
PILE TOP]]-Table2[[#This Row],[LENGTH(m.)
(Actual)]]</f>
        <v>-0.17499999999999999</v>
      </c>
      <c r="R1068" s="2"/>
      <c r="S1068" s="7">
        <f>Table2[[#This Row],[N]]+Table2[[#This Row],[Pile 
Deviation 
N (m)]]</f>
        <v>1511713.838</v>
      </c>
      <c r="T1068" s="7">
        <f>Table2[[#This Row],[E]]+Table2[[#This Row],[Pile 
Deviation 
E (m)]]</f>
        <v>694018.01100000006</v>
      </c>
      <c r="W1068" s="7">
        <v>-0.67500000000000004</v>
      </c>
      <c r="X1068" s="2" t="s">
        <v>33</v>
      </c>
      <c r="AA1068" s="9">
        <v>46218</v>
      </c>
    </row>
    <row r="1069" spans="1:27" ht="13.95" hidden="1" customHeight="1" x14ac:dyDescent="0.65">
      <c r="A1069">
        <v>1067</v>
      </c>
      <c r="B1069" t="s">
        <v>29</v>
      </c>
      <c r="C1069" s="6">
        <v>1511713.997</v>
      </c>
      <c r="D1069" s="6">
        <v>694018.79500000004</v>
      </c>
      <c r="E1069" s="2" t="s">
        <v>30</v>
      </c>
      <c r="F1069" s="1">
        <v>24</v>
      </c>
      <c r="G1069" s="2" t="s">
        <v>48</v>
      </c>
      <c r="J1069"/>
      <c r="K1069" s="19"/>
      <c r="L1069" s="21"/>
      <c r="M1069" s="27"/>
      <c r="N1069" s="19"/>
      <c r="O1069" s="21"/>
      <c r="P1069" s="7">
        <v>-0.17499999999999999</v>
      </c>
      <c r="Q1069" s="7">
        <f>Table2[[#This Row],[Elevation
PILE TOP]]-Table2[[#This Row],[LENGTH(m.)
(Actual)]]</f>
        <v>-0.17499999999999999</v>
      </c>
      <c r="R1069" s="2"/>
      <c r="S1069" s="7">
        <f>Table2[[#This Row],[N]]+Table2[[#This Row],[Pile 
Deviation 
N (m)]]</f>
        <v>1511713.997</v>
      </c>
      <c r="T1069" s="7">
        <f>Table2[[#This Row],[E]]+Table2[[#This Row],[Pile 
Deviation 
E (m)]]</f>
        <v>694018.79500000004</v>
      </c>
      <c r="W1069" s="7">
        <v>-0.67500000000000004</v>
      </c>
      <c r="X1069" s="2" t="s">
        <v>33</v>
      </c>
      <c r="AA1069" s="9">
        <v>46218</v>
      </c>
    </row>
    <row r="1070" spans="1:27" hidden="1" x14ac:dyDescent="0.65">
      <c r="A1070">
        <v>1068</v>
      </c>
      <c r="B1070" t="s">
        <v>29</v>
      </c>
      <c r="C1070" s="6">
        <v>1511712.956</v>
      </c>
      <c r="D1070" s="6">
        <v>694018.18900000001</v>
      </c>
      <c r="E1070" s="2" t="s">
        <v>30</v>
      </c>
      <c r="F1070" s="1">
        <v>24</v>
      </c>
      <c r="G1070" s="2" t="s">
        <v>48</v>
      </c>
      <c r="J1070"/>
      <c r="K1070" s="19"/>
      <c r="L1070" s="21"/>
      <c r="M1070" s="27"/>
      <c r="N1070" s="19"/>
      <c r="O1070" s="21"/>
      <c r="P1070" s="7">
        <v>-0.17499999999999999</v>
      </c>
      <c r="Q1070" s="7">
        <f>Table2[[#This Row],[Elevation
PILE TOP]]-Table2[[#This Row],[LENGTH(m.)
(Actual)]]</f>
        <v>-0.17499999999999999</v>
      </c>
      <c r="R1070" s="2"/>
      <c r="S1070" s="7">
        <f>Table2[[#This Row],[N]]+Table2[[#This Row],[Pile 
Deviation 
N (m)]]</f>
        <v>1511712.956</v>
      </c>
      <c r="T1070" s="7">
        <f>Table2[[#This Row],[E]]+Table2[[#This Row],[Pile 
Deviation 
E (m)]]</f>
        <v>694018.18900000001</v>
      </c>
      <c r="W1070" s="7">
        <v>-0.67500000000000004</v>
      </c>
      <c r="X1070" s="2" t="s">
        <v>33</v>
      </c>
      <c r="AA1070" s="9">
        <v>46218</v>
      </c>
    </row>
    <row r="1071" spans="1:27" ht="13.95" hidden="1" customHeight="1" x14ac:dyDescent="0.65">
      <c r="A1071">
        <v>1069</v>
      </c>
      <c r="B1071" t="s">
        <v>29</v>
      </c>
      <c r="C1071" s="6">
        <v>1511713.115</v>
      </c>
      <c r="D1071" s="6">
        <v>694018.973</v>
      </c>
      <c r="E1071" s="2" t="s">
        <v>30</v>
      </c>
      <c r="F1071" s="1">
        <v>24</v>
      </c>
      <c r="G1071" s="2" t="s">
        <v>48</v>
      </c>
      <c r="J1071"/>
      <c r="K1071" s="19"/>
      <c r="L1071" s="21"/>
      <c r="M1071" s="27"/>
      <c r="N1071" s="19"/>
      <c r="O1071" s="21"/>
      <c r="P1071" s="7">
        <v>-0.17499999999999999</v>
      </c>
      <c r="Q1071" s="7">
        <f>Table2[[#This Row],[Elevation
PILE TOP]]-Table2[[#This Row],[LENGTH(m.)
(Actual)]]</f>
        <v>-0.17499999999999999</v>
      </c>
      <c r="R1071" s="2"/>
      <c r="S1071" s="7">
        <f>Table2[[#This Row],[N]]+Table2[[#This Row],[Pile 
Deviation 
N (m)]]</f>
        <v>1511713.115</v>
      </c>
      <c r="T1071" s="7">
        <f>Table2[[#This Row],[E]]+Table2[[#This Row],[Pile 
Deviation 
E (m)]]</f>
        <v>694018.973</v>
      </c>
      <c r="W1071" s="7">
        <v>-0.67500000000000004</v>
      </c>
      <c r="X1071" s="2" t="s">
        <v>33</v>
      </c>
      <c r="AA1071" s="9">
        <v>46218</v>
      </c>
    </row>
    <row r="1072" spans="1:27" hidden="1" x14ac:dyDescent="0.65">
      <c r="A1072">
        <v>1070</v>
      </c>
      <c r="B1072" t="s">
        <v>29</v>
      </c>
      <c r="C1072" s="6">
        <v>1511714.9569999999</v>
      </c>
      <c r="D1072" s="6">
        <v>694023.549</v>
      </c>
      <c r="E1072" s="2" t="s">
        <v>30</v>
      </c>
      <c r="F1072" s="1">
        <v>24</v>
      </c>
      <c r="G1072" s="2" t="s">
        <v>48</v>
      </c>
      <c r="J1072"/>
      <c r="K1072" s="19"/>
      <c r="L1072" s="21"/>
      <c r="M1072" s="27"/>
      <c r="N1072" s="19"/>
      <c r="O1072" s="21"/>
      <c r="P1072" s="7">
        <v>-0.17499999999999999</v>
      </c>
      <c r="Q1072" s="7">
        <f>Table2[[#This Row],[Elevation
PILE TOP]]-Table2[[#This Row],[LENGTH(m.)
(Actual)]]</f>
        <v>-0.17499999999999999</v>
      </c>
      <c r="R1072" s="2"/>
      <c r="S1072" s="7">
        <f>Table2[[#This Row],[N]]+Table2[[#This Row],[Pile 
Deviation 
N (m)]]</f>
        <v>1511714.9569999999</v>
      </c>
      <c r="T1072" s="7">
        <f>Table2[[#This Row],[E]]+Table2[[#This Row],[Pile 
Deviation 
E (m)]]</f>
        <v>694023.549</v>
      </c>
      <c r="W1072" s="7">
        <v>-0.67500000000000004</v>
      </c>
      <c r="X1072" s="2" t="s">
        <v>33</v>
      </c>
      <c r="AA1072" s="9">
        <v>46218</v>
      </c>
    </row>
    <row r="1073" spans="1:27" ht="13.95" hidden="1" customHeight="1" x14ac:dyDescent="0.65">
      <c r="A1073">
        <v>1071</v>
      </c>
      <c r="B1073" t="s">
        <v>29</v>
      </c>
      <c r="C1073" s="6">
        <v>1511715.115</v>
      </c>
      <c r="D1073" s="6">
        <v>694024.33299999998</v>
      </c>
      <c r="E1073" s="2" t="s">
        <v>30</v>
      </c>
      <c r="F1073" s="1">
        <v>24</v>
      </c>
      <c r="G1073" s="2" t="s">
        <v>48</v>
      </c>
      <c r="J1073"/>
      <c r="K1073" s="19"/>
      <c r="L1073" s="21"/>
      <c r="M1073" s="27"/>
      <c r="N1073" s="19"/>
      <c r="O1073" s="21"/>
      <c r="P1073" s="7">
        <v>-0.17499999999999999</v>
      </c>
      <c r="Q1073" s="7">
        <f>Table2[[#This Row],[Elevation
PILE TOP]]-Table2[[#This Row],[LENGTH(m.)
(Actual)]]</f>
        <v>-0.17499999999999999</v>
      </c>
      <c r="R1073" s="2"/>
      <c r="S1073" s="7">
        <f>Table2[[#This Row],[N]]+Table2[[#This Row],[Pile 
Deviation 
N (m)]]</f>
        <v>1511715.115</v>
      </c>
      <c r="T1073" s="7">
        <f>Table2[[#This Row],[E]]+Table2[[#This Row],[Pile 
Deviation 
E (m)]]</f>
        <v>694024.33299999998</v>
      </c>
      <c r="W1073" s="7">
        <v>-0.67500000000000004</v>
      </c>
      <c r="X1073" s="2" t="s">
        <v>33</v>
      </c>
      <c r="AA1073" s="9">
        <v>46218</v>
      </c>
    </row>
    <row r="1074" spans="1:27" hidden="1" x14ac:dyDescent="0.65">
      <c r="A1074">
        <v>1072</v>
      </c>
      <c r="B1074" t="s">
        <v>29</v>
      </c>
      <c r="C1074" s="6">
        <v>1511714.075</v>
      </c>
      <c r="D1074" s="6">
        <v>694023.72699999996</v>
      </c>
      <c r="E1074" s="2" t="s">
        <v>30</v>
      </c>
      <c r="F1074" s="1">
        <v>24</v>
      </c>
      <c r="G1074" s="2" t="s">
        <v>48</v>
      </c>
      <c r="J1074"/>
      <c r="K1074" s="19"/>
      <c r="L1074" s="21"/>
      <c r="M1074" s="27"/>
      <c r="N1074" s="19"/>
      <c r="O1074" s="21"/>
      <c r="P1074" s="7">
        <v>-0.17499999999999999</v>
      </c>
      <c r="Q1074" s="7">
        <f>Table2[[#This Row],[Elevation
PILE TOP]]-Table2[[#This Row],[LENGTH(m.)
(Actual)]]</f>
        <v>-0.17499999999999999</v>
      </c>
      <c r="R1074" s="2"/>
      <c r="S1074" s="7">
        <f>Table2[[#This Row],[N]]+Table2[[#This Row],[Pile 
Deviation 
N (m)]]</f>
        <v>1511714.075</v>
      </c>
      <c r="T1074" s="7">
        <f>Table2[[#This Row],[E]]+Table2[[#This Row],[Pile 
Deviation 
E (m)]]</f>
        <v>694023.72699999996</v>
      </c>
      <c r="W1074" s="7">
        <v>-0.67500000000000004</v>
      </c>
      <c r="X1074" s="2" t="s">
        <v>33</v>
      </c>
      <c r="AA1074" s="9">
        <v>46218</v>
      </c>
    </row>
    <row r="1075" spans="1:27" ht="13.95" hidden="1" customHeight="1" x14ac:dyDescent="0.65">
      <c r="A1075">
        <v>1073</v>
      </c>
      <c r="B1075" t="s">
        <v>29</v>
      </c>
      <c r="C1075" s="6">
        <v>1511714.233</v>
      </c>
      <c r="D1075" s="6">
        <v>694024.51199999999</v>
      </c>
      <c r="E1075" s="2" t="s">
        <v>30</v>
      </c>
      <c r="F1075" s="1">
        <v>24</v>
      </c>
      <c r="G1075" s="2" t="s">
        <v>48</v>
      </c>
      <c r="J1075"/>
      <c r="K1075" s="19"/>
      <c r="L1075" s="21"/>
      <c r="M1075" s="27"/>
      <c r="N1075" s="19"/>
      <c r="O1075" s="21"/>
      <c r="P1075" s="7">
        <v>-0.17499999999999999</v>
      </c>
      <c r="Q1075" s="7">
        <f>Table2[[#This Row],[Elevation
PILE TOP]]-Table2[[#This Row],[LENGTH(m.)
(Actual)]]</f>
        <v>-0.17499999999999999</v>
      </c>
      <c r="R1075" s="2"/>
      <c r="S1075" s="7">
        <f>Table2[[#This Row],[N]]+Table2[[#This Row],[Pile 
Deviation 
N (m)]]</f>
        <v>1511714.233</v>
      </c>
      <c r="T1075" s="7">
        <f>Table2[[#This Row],[E]]+Table2[[#This Row],[Pile 
Deviation 
E (m)]]</f>
        <v>694024.51199999999</v>
      </c>
      <c r="W1075" s="7">
        <v>-0.67500000000000004</v>
      </c>
      <c r="X1075" s="2" t="s">
        <v>33</v>
      </c>
      <c r="AA1075" s="9">
        <v>46218</v>
      </c>
    </row>
    <row r="1076" spans="1:27" hidden="1" x14ac:dyDescent="0.65">
      <c r="A1076">
        <v>1074</v>
      </c>
      <c r="B1076" t="s">
        <v>29</v>
      </c>
      <c r="C1076" s="6">
        <v>1511716.075</v>
      </c>
      <c r="D1076" s="6">
        <v>694029.08700000006</v>
      </c>
      <c r="E1076" s="2" t="s">
        <v>30</v>
      </c>
      <c r="F1076" s="1">
        <v>24</v>
      </c>
      <c r="G1076" s="2" t="s">
        <v>48</v>
      </c>
      <c r="J1076"/>
      <c r="K1076" s="19"/>
      <c r="L1076" s="21"/>
      <c r="M1076" s="27"/>
      <c r="N1076" s="19"/>
      <c r="O1076" s="21"/>
      <c r="P1076" s="7">
        <v>-0.17499999999999999</v>
      </c>
      <c r="Q1076" s="7">
        <f>Table2[[#This Row],[Elevation
PILE TOP]]-Table2[[#This Row],[LENGTH(m.)
(Actual)]]</f>
        <v>-0.17499999999999999</v>
      </c>
      <c r="R1076" s="2"/>
      <c r="S1076" s="7">
        <f>Table2[[#This Row],[N]]+Table2[[#This Row],[Pile 
Deviation 
N (m)]]</f>
        <v>1511716.075</v>
      </c>
      <c r="T1076" s="7">
        <f>Table2[[#This Row],[E]]+Table2[[#This Row],[Pile 
Deviation 
E (m)]]</f>
        <v>694029.08700000006</v>
      </c>
      <c r="W1076" s="7">
        <v>-0.67500000000000004</v>
      </c>
      <c r="X1076" s="2" t="s">
        <v>33</v>
      </c>
      <c r="AA1076" s="9">
        <v>46219</v>
      </c>
    </row>
    <row r="1077" spans="1:27" ht="13.95" hidden="1" customHeight="1" x14ac:dyDescent="0.65">
      <c r="A1077">
        <v>1075</v>
      </c>
      <c r="B1077" t="s">
        <v>29</v>
      </c>
      <c r="C1077" s="6">
        <v>1511716.2339999999</v>
      </c>
      <c r="D1077" s="6">
        <v>694029.87199999997</v>
      </c>
      <c r="E1077" s="2" t="s">
        <v>30</v>
      </c>
      <c r="F1077" s="1">
        <v>24</v>
      </c>
      <c r="G1077" s="2" t="s">
        <v>48</v>
      </c>
      <c r="J1077"/>
      <c r="K1077" s="19"/>
      <c r="L1077" s="21"/>
      <c r="M1077" s="27"/>
      <c r="N1077" s="19"/>
      <c r="O1077" s="21"/>
      <c r="P1077" s="7">
        <v>-0.17499999999999999</v>
      </c>
      <c r="Q1077" s="7">
        <f>Table2[[#This Row],[Elevation
PILE TOP]]-Table2[[#This Row],[LENGTH(m.)
(Actual)]]</f>
        <v>-0.17499999999999999</v>
      </c>
      <c r="R1077" s="2"/>
      <c r="S1077" s="7">
        <f>Table2[[#This Row],[N]]+Table2[[#This Row],[Pile 
Deviation 
N (m)]]</f>
        <v>1511716.2339999999</v>
      </c>
      <c r="T1077" s="7">
        <f>Table2[[#This Row],[E]]+Table2[[#This Row],[Pile 
Deviation 
E (m)]]</f>
        <v>694029.87199999997</v>
      </c>
      <c r="W1077" s="7">
        <v>-0.67500000000000004</v>
      </c>
      <c r="X1077" s="2" t="s">
        <v>33</v>
      </c>
      <c r="AA1077" s="9">
        <v>46219</v>
      </c>
    </row>
    <row r="1078" spans="1:27" hidden="1" x14ac:dyDescent="0.65">
      <c r="A1078">
        <v>1076</v>
      </c>
      <c r="B1078" t="s">
        <v>29</v>
      </c>
      <c r="C1078" s="6">
        <v>1511715.193</v>
      </c>
      <c r="D1078" s="6">
        <v>694029.26599999995</v>
      </c>
      <c r="E1078" s="2" t="s">
        <v>30</v>
      </c>
      <c r="F1078" s="1">
        <v>24</v>
      </c>
      <c r="G1078" s="2" t="s">
        <v>48</v>
      </c>
      <c r="J1078"/>
      <c r="K1078" s="19"/>
      <c r="L1078" s="21"/>
      <c r="M1078" s="27"/>
      <c r="N1078" s="19"/>
      <c r="O1078" s="21"/>
      <c r="P1078" s="7">
        <v>-0.17499999999999999</v>
      </c>
      <c r="Q1078" s="7">
        <f>Table2[[#This Row],[Elevation
PILE TOP]]-Table2[[#This Row],[LENGTH(m.)
(Actual)]]</f>
        <v>-0.17499999999999999</v>
      </c>
      <c r="R1078" s="2"/>
      <c r="S1078" s="7">
        <f>Table2[[#This Row],[N]]+Table2[[#This Row],[Pile 
Deviation 
N (m)]]</f>
        <v>1511715.193</v>
      </c>
      <c r="T1078" s="7">
        <f>Table2[[#This Row],[E]]+Table2[[#This Row],[Pile 
Deviation 
E (m)]]</f>
        <v>694029.26599999995</v>
      </c>
      <c r="W1078" s="7">
        <v>-0.67500000000000004</v>
      </c>
      <c r="X1078" s="2" t="s">
        <v>33</v>
      </c>
      <c r="AA1078" s="9">
        <v>46219</v>
      </c>
    </row>
    <row r="1079" spans="1:27" ht="13.95" hidden="1" customHeight="1" x14ac:dyDescent="0.65">
      <c r="A1079">
        <v>1077</v>
      </c>
      <c r="B1079" t="s">
        <v>29</v>
      </c>
      <c r="C1079" s="6">
        <v>1511715.351</v>
      </c>
      <c r="D1079" s="6">
        <v>694030.05</v>
      </c>
      <c r="E1079" s="2" t="s">
        <v>30</v>
      </c>
      <c r="F1079" s="1">
        <v>24</v>
      </c>
      <c r="G1079" s="2" t="s">
        <v>48</v>
      </c>
      <c r="J1079"/>
      <c r="K1079" s="19"/>
      <c r="L1079" s="21"/>
      <c r="M1079" s="27"/>
      <c r="N1079" s="19"/>
      <c r="O1079" s="21"/>
      <c r="P1079" s="7">
        <v>-0.17499999999999999</v>
      </c>
      <c r="Q1079" s="7">
        <f>Table2[[#This Row],[Elevation
PILE TOP]]-Table2[[#This Row],[LENGTH(m.)
(Actual)]]</f>
        <v>-0.17499999999999999</v>
      </c>
      <c r="R1079" s="2"/>
      <c r="S1079" s="7">
        <f>Table2[[#This Row],[N]]+Table2[[#This Row],[Pile 
Deviation 
N (m)]]</f>
        <v>1511715.351</v>
      </c>
      <c r="T1079" s="7">
        <f>Table2[[#This Row],[E]]+Table2[[#This Row],[Pile 
Deviation 
E (m)]]</f>
        <v>694030.05</v>
      </c>
      <c r="W1079" s="7">
        <v>-0.67500000000000004</v>
      </c>
      <c r="X1079" s="2" t="s">
        <v>33</v>
      </c>
      <c r="AA1079" s="9">
        <v>46219</v>
      </c>
    </row>
    <row r="1080" spans="1:27" hidden="1" x14ac:dyDescent="0.65">
      <c r="A1080">
        <v>1078</v>
      </c>
      <c r="B1080" t="s">
        <v>29</v>
      </c>
      <c r="C1080" s="6">
        <v>1511717.1939999999</v>
      </c>
      <c r="D1080" s="6">
        <v>694034.62600000005</v>
      </c>
      <c r="E1080" s="2" t="s">
        <v>30</v>
      </c>
      <c r="F1080" s="1">
        <v>24</v>
      </c>
      <c r="G1080" s="2" t="s">
        <v>48</v>
      </c>
      <c r="J1080"/>
      <c r="K1080" s="19"/>
      <c r="L1080" s="21"/>
      <c r="M1080" s="27"/>
      <c r="N1080" s="19"/>
      <c r="O1080" s="21"/>
      <c r="P1080" s="7">
        <v>-0.17499999999999999</v>
      </c>
      <c r="Q1080" s="7">
        <f>Table2[[#This Row],[Elevation
PILE TOP]]-Table2[[#This Row],[LENGTH(m.)
(Actual)]]</f>
        <v>-0.17499999999999999</v>
      </c>
      <c r="R1080" s="2"/>
      <c r="S1080" s="7">
        <f>Table2[[#This Row],[N]]+Table2[[#This Row],[Pile 
Deviation 
N (m)]]</f>
        <v>1511717.1939999999</v>
      </c>
      <c r="T1080" s="7">
        <f>Table2[[#This Row],[E]]+Table2[[#This Row],[Pile 
Deviation 
E (m)]]</f>
        <v>694034.62600000005</v>
      </c>
      <c r="W1080" s="7">
        <v>-0.67500000000000004</v>
      </c>
      <c r="X1080" s="2" t="s">
        <v>33</v>
      </c>
      <c r="AA1080" s="9">
        <v>46219</v>
      </c>
    </row>
    <row r="1081" spans="1:27" ht="13.95" hidden="1" customHeight="1" x14ac:dyDescent="0.65">
      <c r="A1081">
        <v>1079</v>
      </c>
      <c r="B1081" t="s">
        <v>29</v>
      </c>
      <c r="C1081" s="6">
        <v>1511717.352</v>
      </c>
      <c r="D1081" s="6">
        <v>694035.41</v>
      </c>
      <c r="E1081" s="2" t="s">
        <v>30</v>
      </c>
      <c r="F1081" s="1">
        <v>24</v>
      </c>
      <c r="G1081" s="2" t="s">
        <v>48</v>
      </c>
      <c r="J1081"/>
      <c r="K1081" s="19"/>
      <c r="L1081" s="21"/>
      <c r="M1081" s="27"/>
      <c r="N1081" s="19"/>
      <c r="O1081" s="21"/>
      <c r="P1081" s="7">
        <v>-0.17499999999999999</v>
      </c>
      <c r="Q1081" s="7">
        <f>Table2[[#This Row],[Elevation
PILE TOP]]-Table2[[#This Row],[LENGTH(m.)
(Actual)]]</f>
        <v>-0.17499999999999999</v>
      </c>
      <c r="R1081" s="2"/>
      <c r="S1081" s="7">
        <f>Table2[[#This Row],[N]]+Table2[[#This Row],[Pile 
Deviation 
N (m)]]</f>
        <v>1511717.352</v>
      </c>
      <c r="T1081" s="7">
        <f>Table2[[#This Row],[E]]+Table2[[#This Row],[Pile 
Deviation 
E (m)]]</f>
        <v>694035.41</v>
      </c>
      <c r="W1081" s="7">
        <v>-0.67500000000000004</v>
      </c>
      <c r="X1081" s="2" t="s">
        <v>33</v>
      </c>
      <c r="AA1081" s="9">
        <v>46219</v>
      </c>
    </row>
    <row r="1082" spans="1:27" hidden="1" x14ac:dyDescent="0.65">
      <c r="A1082">
        <v>1080</v>
      </c>
      <c r="B1082" t="s">
        <v>29</v>
      </c>
      <c r="C1082" s="6">
        <v>1511716.311</v>
      </c>
      <c r="D1082" s="6">
        <v>694034.804</v>
      </c>
      <c r="E1082" s="2" t="s">
        <v>30</v>
      </c>
      <c r="F1082" s="1">
        <v>24</v>
      </c>
      <c r="G1082" s="2" t="s">
        <v>48</v>
      </c>
      <c r="J1082"/>
      <c r="K1082" s="19"/>
      <c r="L1082" s="21"/>
      <c r="M1082" s="27"/>
      <c r="N1082" s="19"/>
      <c r="O1082" s="21"/>
      <c r="P1082" s="7">
        <v>-0.17499999999999999</v>
      </c>
      <c r="Q1082" s="7">
        <f>Table2[[#This Row],[Elevation
PILE TOP]]-Table2[[#This Row],[LENGTH(m.)
(Actual)]]</f>
        <v>-0.17499999999999999</v>
      </c>
      <c r="R1082" s="2"/>
      <c r="S1082" s="7">
        <f>Table2[[#This Row],[N]]+Table2[[#This Row],[Pile 
Deviation 
N (m)]]</f>
        <v>1511716.311</v>
      </c>
      <c r="T1082" s="7">
        <f>Table2[[#This Row],[E]]+Table2[[#This Row],[Pile 
Deviation 
E (m)]]</f>
        <v>694034.804</v>
      </c>
      <c r="W1082" s="7">
        <v>-0.67500000000000004</v>
      </c>
      <c r="X1082" s="2" t="s">
        <v>33</v>
      </c>
      <c r="AA1082" s="9">
        <v>46219</v>
      </c>
    </row>
    <row r="1083" spans="1:27" ht="13.95" hidden="1" customHeight="1" x14ac:dyDescent="0.65">
      <c r="A1083">
        <v>1081</v>
      </c>
      <c r="B1083" t="s">
        <v>29</v>
      </c>
      <c r="C1083" s="6">
        <v>1511716.47</v>
      </c>
      <c r="D1083" s="6">
        <v>694035.58799999999</v>
      </c>
      <c r="E1083" s="2" t="s">
        <v>30</v>
      </c>
      <c r="F1083" s="1">
        <v>24</v>
      </c>
      <c r="G1083" s="2" t="s">
        <v>48</v>
      </c>
      <c r="J1083"/>
      <c r="K1083" s="19"/>
      <c r="L1083" s="21"/>
      <c r="M1083" s="27"/>
      <c r="N1083" s="19"/>
      <c r="O1083" s="21"/>
      <c r="P1083" s="7">
        <v>-0.17499999999999999</v>
      </c>
      <c r="Q1083" s="7">
        <f>Table2[[#This Row],[Elevation
PILE TOP]]-Table2[[#This Row],[LENGTH(m.)
(Actual)]]</f>
        <v>-0.17499999999999999</v>
      </c>
      <c r="R1083" s="2"/>
      <c r="S1083" s="7">
        <f>Table2[[#This Row],[N]]+Table2[[#This Row],[Pile 
Deviation 
N (m)]]</f>
        <v>1511716.47</v>
      </c>
      <c r="T1083" s="7">
        <f>Table2[[#This Row],[E]]+Table2[[#This Row],[Pile 
Deviation 
E (m)]]</f>
        <v>694035.58799999999</v>
      </c>
      <c r="W1083" s="7">
        <v>-0.67500000000000004</v>
      </c>
      <c r="X1083" s="2" t="s">
        <v>33</v>
      </c>
      <c r="AA1083" s="9">
        <v>46219</v>
      </c>
    </row>
    <row r="1084" spans="1:27" hidden="1" x14ac:dyDescent="0.65">
      <c r="A1084">
        <v>1082</v>
      </c>
      <c r="B1084" t="s">
        <v>29</v>
      </c>
      <c r="C1084" s="6">
        <v>1511718.253</v>
      </c>
      <c r="D1084" s="6">
        <v>694039.87</v>
      </c>
      <c r="E1084" s="2" t="s">
        <v>30</v>
      </c>
      <c r="F1084" s="1">
        <v>24</v>
      </c>
      <c r="G1084" s="2" t="s">
        <v>48</v>
      </c>
      <c r="J1084"/>
      <c r="K1084" s="19"/>
      <c r="L1084" s="21"/>
      <c r="M1084" s="27"/>
      <c r="N1084" s="19"/>
      <c r="O1084" s="21"/>
      <c r="P1084" s="7">
        <v>-0.17499999999999999</v>
      </c>
      <c r="Q1084" s="7">
        <f>Table2[[#This Row],[Elevation
PILE TOP]]-Table2[[#This Row],[LENGTH(m.)
(Actual)]]</f>
        <v>-0.17499999999999999</v>
      </c>
      <c r="R1084" s="2"/>
      <c r="S1084" s="7">
        <f>Table2[[#This Row],[N]]+Table2[[#This Row],[Pile 
Deviation 
N (m)]]</f>
        <v>1511718.253</v>
      </c>
      <c r="T1084" s="7">
        <f>Table2[[#This Row],[E]]+Table2[[#This Row],[Pile 
Deviation 
E (m)]]</f>
        <v>694039.87</v>
      </c>
      <c r="W1084" s="7">
        <v>-0.67500000000000004</v>
      </c>
      <c r="X1084" s="2" t="s">
        <v>33</v>
      </c>
      <c r="AA1084" s="9">
        <v>46220</v>
      </c>
    </row>
    <row r="1085" spans="1:27" ht="13.95" hidden="1" customHeight="1" x14ac:dyDescent="0.65">
      <c r="A1085">
        <v>1083</v>
      </c>
      <c r="B1085" t="s">
        <v>29</v>
      </c>
      <c r="C1085" s="6">
        <v>1511718.4110000001</v>
      </c>
      <c r="D1085" s="6">
        <v>694040.65399999998</v>
      </c>
      <c r="E1085" s="2" t="s">
        <v>30</v>
      </c>
      <c r="F1085" s="1">
        <v>24</v>
      </c>
      <c r="G1085" s="2" t="s">
        <v>48</v>
      </c>
      <c r="J1085"/>
      <c r="K1085" s="19"/>
      <c r="L1085" s="21"/>
      <c r="M1085" s="27"/>
      <c r="N1085" s="19"/>
      <c r="O1085" s="21"/>
      <c r="P1085" s="7">
        <v>-0.17499999999999999</v>
      </c>
      <c r="Q1085" s="7">
        <f>Table2[[#This Row],[Elevation
PILE TOP]]-Table2[[#This Row],[LENGTH(m.)
(Actual)]]</f>
        <v>-0.17499999999999999</v>
      </c>
      <c r="R1085" s="2"/>
      <c r="S1085" s="7">
        <f>Table2[[#This Row],[N]]+Table2[[#This Row],[Pile 
Deviation 
N (m)]]</f>
        <v>1511718.4110000001</v>
      </c>
      <c r="T1085" s="7">
        <f>Table2[[#This Row],[E]]+Table2[[#This Row],[Pile 
Deviation 
E (m)]]</f>
        <v>694040.65399999998</v>
      </c>
      <c r="W1085" s="7">
        <v>-0.67500000000000004</v>
      </c>
      <c r="X1085" s="2" t="s">
        <v>33</v>
      </c>
      <c r="AA1085" s="9">
        <v>46220</v>
      </c>
    </row>
    <row r="1086" spans="1:27" hidden="1" x14ac:dyDescent="0.65">
      <c r="A1086">
        <v>1084</v>
      </c>
      <c r="B1086" t="s">
        <v>29</v>
      </c>
      <c r="C1086" s="6">
        <v>1511717.371</v>
      </c>
      <c r="D1086" s="6">
        <v>694040.04799999995</v>
      </c>
      <c r="E1086" s="2" t="s">
        <v>30</v>
      </c>
      <c r="F1086" s="1">
        <v>24</v>
      </c>
      <c r="G1086" s="2" t="s">
        <v>48</v>
      </c>
      <c r="J1086"/>
      <c r="K1086" s="19"/>
      <c r="L1086" s="21"/>
      <c r="M1086" s="27"/>
      <c r="N1086" s="19"/>
      <c r="O1086" s="21"/>
      <c r="P1086" s="7">
        <v>-0.17499999999999999</v>
      </c>
      <c r="Q1086" s="7">
        <f>Table2[[#This Row],[Elevation
PILE TOP]]-Table2[[#This Row],[LENGTH(m.)
(Actual)]]</f>
        <v>-0.17499999999999999</v>
      </c>
      <c r="R1086" s="2"/>
      <c r="S1086" s="7">
        <f>Table2[[#This Row],[N]]+Table2[[#This Row],[Pile 
Deviation 
N (m)]]</f>
        <v>1511717.371</v>
      </c>
      <c r="T1086" s="7">
        <f>Table2[[#This Row],[E]]+Table2[[#This Row],[Pile 
Deviation 
E (m)]]</f>
        <v>694040.04799999995</v>
      </c>
      <c r="W1086" s="7">
        <v>-0.67500000000000004</v>
      </c>
      <c r="X1086" s="2" t="s">
        <v>33</v>
      </c>
      <c r="AA1086" s="9">
        <v>46220</v>
      </c>
    </row>
    <row r="1087" spans="1:27" ht="13.95" hidden="1" customHeight="1" x14ac:dyDescent="0.65">
      <c r="A1087">
        <v>1085</v>
      </c>
      <c r="B1087" t="s">
        <v>29</v>
      </c>
      <c r="C1087" s="6">
        <v>1511717.5290000001</v>
      </c>
      <c r="D1087" s="6">
        <v>694040.83200000005</v>
      </c>
      <c r="E1087" s="2" t="s">
        <v>30</v>
      </c>
      <c r="F1087" s="1">
        <v>24</v>
      </c>
      <c r="G1087" s="2" t="s">
        <v>48</v>
      </c>
      <c r="J1087"/>
      <c r="K1087" s="19"/>
      <c r="L1087" s="21"/>
      <c r="M1087" s="27"/>
      <c r="N1087" s="19"/>
      <c r="O1087" s="21"/>
      <c r="P1087" s="7">
        <v>-0.17499999999999999</v>
      </c>
      <c r="Q1087" s="7">
        <f>Table2[[#This Row],[Elevation
PILE TOP]]-Table2[[#This Row],[LENGTH(m.)
(Actual)]]</f>
        <v>-0.17499999999999999</v>
      </c>
      <c r="R1087" s="2"/>
      <c r="S1087" s="7">
        <f>Table2[[#This Row],[N]]+Table2[[#This Row],[Pile 
Deviation 
N (m)]]</f>
        <v>1511717.5290000001</v>
      </c>
      <c r="T1087" s="7">
        <f>Table2[[#This Row],[E]]+Table2[[#This Row],[Pile 
Deviation 
E (m)]]</f>
        <v>694040.83200000005</v>
      </c>
      <c r="W1087" s="7">
        <v>-0.67500000000000004</v>
      </c>
      <c r="X1087" s="2" t="s">
        <v>33</v>
      </c>
      <c r="AA1087" s="9">
        <v>46220</v>
      </c>
    </row>
    <row r="1088" spans="1:27" hidden="1" x14ac:dyDescent="0.65">
      <c r="A1088">
        <v>1086</v>
      </c>
      <c r="B1088" t="s">
        <v>29</v>
      </c>
      <c r="C1088" s="6">
        <v>1511719.1610000001</v>
      </c>
      <c r="D1088" s="6">
        <v>694045.50100000005</v>
      </c>
      <c r="E1088" s="2" t="s">
        <v>30</v>
      </c>
      <c r="F1088" s="1">
        <v>24</v>
      </c>
      <c r="G1088" s="2" t="s">
        <v>48</v>
      </c>
      <c r="J1088"/>
      <c r="K1088" s="19"/>
      <c r="L1088" s="21"/>
      <c r="M1088" s="27"/>
      <c r="N1088" s="19"/>
      <c r="O1088" s="21"/>
      <c r="P1088" s="7">
        <v>-0.17499999999999999</v>
      </c>
      <c r="Q1088" s="7">
        <f>Table2[[#This Row],[Elevation
PILE TOP]]-Table2[[#This Row],[LENGTH(m.)
(Actual)]]</f>
        <v>-0.17499999999999999</v>
      </c>
      <c r="R1088" s="2"/>
      <c r="S1088" s="7">
        <f>Table2[[#This Row],[N]]+Table2[[#This Row],[Pile 
Deviation 
N (m)]]</f>
        <v>1511719.1610000001</v>
      </c>
      <c r="T1088" s="7">
        <f>Table2[[#This Row],[E]]+Table2[[#This Row],[Pile 
Deviation 
E (m)]]</f>
        <v>694045.50100000005</v>
      </c>
      <c r="W1088" s="7">
        <v>-0.67500000000000004</v>
      </c>
      <c r="X1088" s="2" t="s">
        <v>37</v>
      </c>
      <c r="AA1088" s="9">
        <v>46220</v>
      </c>
    </row>
    <row r="1089" spans="1:27" ht="13.95" hidden="1" customHeight="1" x14ac:dyDescent="0.65">
      <c r="A1089">
        <v>1087</v>
      </c>
      <c r="B1089" t="s">
        <v>29</v>
      </c>
      <c r="C1089" s="6">
        <v>1511718.3759999999</v>
      </c>
      <c r="D1089" s="6">
        <v>694045.66</v>
      </c>
      <c r="E1089" s="2" t="s">
        <v>30</v>
      </c>
      <c r="F1089" s="1">
        <v>24</v>
      </c>
      <c r="G1089" s="2" t="s">
        <v>48</v>
      </c>
      <c r="J1089"/>
      <c r="K1089" s="19"/>
      <c r="L1089" s="21"/>
      <c r="M1089" s="27"/>
      <c r="N1089" s="19"/>
      <c r="O1089" s="21"/>
      <c r="P1089" s="7">
        <v>-0.17499999999999999</v>
      </c>
      <c r="Q1089" s="7">
        <f>Table2[[#This Row],[Elevation
PILE TOP]]-Table2[[#This Row],[LENGTH(m.)
(Actual)]]</f>
        <v>-0.17499999999999999</v>
      </c>
      <c r="R1089" s="2"/>
      <c r="S1089" s="7">
        <f>Table2[[#This Row],[N]]+Table2[[#This Row],[Pile 
Deviation 
N (m)]]</f>
        <v>1511718.3759999999</v>
      </c>
      <c r="T1089" s="7">
        <f>Table2[[#This Row],[E]]+Table2[[#This Row],[Pile 
Deviation 
E (m)]]</f>
        <v>694045.66</v>
      </c>
      <c r="W1089" s="7">
        <v>-0.67500000000000004</v>
      </c>
      <c r="X1089" s="2" t="s">
        <v>37</v>
      </c>
      <c r="AA1089" s="9">
        <v>46220</v>
      </c>
    </row>
    <row r="1090" spans="1:27" x14ac:dyDescent="0.65">
      <c r="A1090">
        <v>1088</v>
      </c>
      <c r="B1090" t="s">
        <v>29</v>
      </c>
      <c r="C1090" s="6">
        <v>1511720.45</v>
      </c>
      <c r="D1090" s="6">
        <v>694050.75</v>
      </c>
      <c r="E1090" s="2" t="s">
        <v>30</v>
      </c>
      <c r="F1090" s="1">
        <v>24</v>
      </c>
      <c r="G1090" s="2" t="s">
        <v>48</v>
      </c>
      <c r="J1090"/>
      <c r="K1090" s="19"/>
      <c r="L1090" s="21"/>
      <c r="M1090" s="27"/>
      <c r="N1090" s="19"/>
      <c r="O1090" s="21"/>
      <c r="P1090" s="7">
        <v>-0.17499999999999999</v>
      </c>
      <c r="Q1090" s="7">
        <f>Table2[[#This Row],[Elevation
PILE TOP]]-Table2[[#This Row],[LENGTH(m.)
(Actual)]]</f>
        <v>-0.17499999999999999</v>
      </c>
      <c r="R1090" s="2"/>
      <c r="S1090" s="7">
        <f>Table2[[#This Row],[N]]+Table2[[#This Row],[Pile 
Deviation 
N (m)]]</f>
        <v>1511720.45</v>
      </c>
      <c r="T1090" s="7">
        <f>Table2[[#This Row],[E]]+Table2[[#This Row],[Pile 
Deviation 
E (m)]]</f>
        <v>694050.75</v>
      </c>
      <c r="W1090" s="7">
        <v>-0.67500000000000004</v>
      </c>
      <c r="X1090" s="2" t="s">
        <v>33</v>
      </c>
      <c r="AA1090" s="9">
        <v>46203</v>
      </c>
    </row>
    <row r="1091" spans="1:27" ht="13.95" customHeight="1" x14ac:dyDescent="0.65">
      <c r="A1091">
        <v>1089</v>
      </c>
      <c r="B1091" t="s">
        <v>29</v>
      </c>
      <c r="C1091" s="6">
        <v>1511720.608</v>
      </c>
      <c r="D1091" s="6">
        <v>694051.53399999999</v>
      </c>
      <c r="E1091" s="2" t="s">
        <v>30</v>
      </c>
      <c r="F1091" s="1">
        <v>24</v>
      </c>
      <c r="G1091" s="2" t="s">
        <v>48</v>
      </c>
      <c r="J1091"/>
      <c r="K1091" s="19"/>
      <c r="L1091" s="21"/>
      <c r="M1091" s="27"/>
      <c r="N1091" s="19"/>
      <c r="O1091" s="21"/>
      <c r="P1091" s="7">
        <v>-0.17499999999999999</v>
      </c>
      <c r="Q1091" s="7">
        <f>Table2[[#This Row],[Elevation
PILE TOP]]-Table2[[#This Row],[LENGTH(m.)
(Actual)]]</f>
        <v>-0.17499999999999999</v>
      </c>
      <c r="R1091" s="2"/>
      <c r="S1091" s="7">
        <f>Table2[[#This Row],[N]]+Table2[[#This Row],[Pile 
Deviation 
N (m)]]</f>
        <v>1511720.608</v>
      </c>
      <c r="T1091" s="7">
        <f>Table2[[#This Row],[E]]+Table2[[#This Row],[Pile 
Deviation 
E (m)]]</f>
        <v>694051.53399999999</v>
      </c>
      <c r="W1091" s="7">
        <v>-0.67500000000000004</v>
      </c>
      <c r="X1091" s="2" t="s">
        <v>33</v>
      </c>
      <c r="AA1091" s="9">
        <v>46203</v>
      </c>
    </row>
    <row r="1092" spans="1:27" x14ac:dyDescent="0.65">
      <c r="A1092">
        <v>1090</v>
      </c>
      <c r="B1092" t="s">
        <v>29</v>
      </c>
      <c r="C1092" s="6">
        <v>1511719.568</v>
      </c>
      <c r="D1092" s="6">
        <v>694050.92799999996</v>
      </c>
      <c r="E1092" s="2" t="s">
        <v>30</v>
      </c>
      <c r="F1092" s="1">
        <v>24</v>
      </c>
      <c r="G1092" s="2" t="s">
        <v>48</v>
      </c>
      <c r="J1092"/>
      <c r="K1092" s="19"/>
      <c r="L1092" s="21"/>
      <c r="M1092" s="27"/>
      <c r="N1092" s="19"/>
      <c r="O1092" s="21"/>
      <c r="P1092" s="7">
        <v>-0.17499999999999999</v>
      </c>
      <c r="Q1092" s="7">
        <f>Table2[[#This Row],[Elevation
PILE TOP]]-Table2[[#This Row],[LENGTH(m.)
(Actual)]]</f>
        <v>-0.17499999999999999</v>
      </c>
      <c r="R1092" s="2"/>
      <c r="S1092" s="7">
        <f>Table2[[#This Row],[N]]+Table2[[#This Row],[Pile 
Deviation 
N (m)]]</f>
        <v>1511719.568</v>
      </c>
      <c r="T1092" s="7">
        <f>Table2[[#This Row],[E]]+Table2[[#This Row],[Pile 
Deviation 
E (m)]]</f>
        <v>694050.92799999996</v>
      </c>
      <c r="W1092" s="7">
        <v>-0.67500000000000004</v>
      </c>
      <c r="X1092" s="2" t="s">
        <v>33</v>
      </c>
      <c r="AA1092" s="9">
        <v>46203</v>
      </c>
    </row>
    <row r="1093" spans="1:27" ht="13.95" customHeight="1" x14ac:dyDescent="0.65">
      <c r="A1093">
        <v>1091</v>
      </c>
      <c r="B1093" t="s">
        <v>29</v>
      </c>
      <c r="C1093" s="6">
        <v>1511719.726</v>
      </c>
      <c r="D1093" s="6">
        <v>694051.71200000006</v>
      </c>
      <c r="E1093" s="2" t="s">
        <v>30</v>
      </c>
      <c r="F1093" s="1">
        <v>24</v>
      </c>
      <c r="G1093" s="2" t="s">
        <v>48</v>
      </c>
      <c r="J1093"/>
      <c r="K1093" s="19"/>
      <c r="L1093" s="21"/>
      <c r="M1093" s="27"/>
      <c r="N1093" s="19"/>
      <c r="O1093" s="21"/>
      <c r="P1093" s="7">
        <v>-0.17499999999999999</v>
      </c>
      <c r="Q1093" s="7">
        <f>Table2[[#This Row],[Elevation
PILE TOP]]-Table2[[#This Row],[LENGTH(m.)
(Actual)]]</f>
        <v>-0.17499999999999999</v>
      </c>
      <c r="R1093" s="2"/>
      <c r="S1093" s="7">
        <f>Table2[[#This Row],[N]]+Table2[[#This Row],[Pile 
Deviation 
N (m)]]</f>
        <v>1511719.726</v>
      </c>
      <c r="T1093" s="7">
        <f>Table2[[#This Row],[E]]+Table2[[#This Row],[Pile 
Deviation 
E (m)]]</f>
        <v>694051.71200000006</v>
      </c>
      <c r="W1093" s="7">
        <v>-0.67500000000000004</v>
      </c>
      <c r="X1093" s="2" t="s">
        <v>33</v>
      </c>
      <c r="AA1093" s="9">
        <v>46203</v>
      </c>
    </row>
    <row r="1094" spans="1:27" hidden="1" x14ac:dyDescent="0.65">
      <c r="A1094">
        <v>1092</v>
      </c>
      <c r="B1094" t="s">
        <v>29</v>
      </c>
      <c r="C1094" s="6">
        <v>1511781.047</v>
      </c>
      <c r="D1094" s="6">
        <v>694077.51699999999</v>
      </c>
      <c r="E1094" s="2" t="s">
        <v>35</v>
      </c>
      <c r="F1094" s="1">
        <v>24</v>
      </c>
      <c r="G1094" s="2" t="s">
        <v>50</v>
      </c>
      <c r="J1094"/>
      <c r="K1094" s="19"/>
      <c r="L1094" s="21"/>
      <c r="M1094" s="27"/>
      <c r="N1094" s="19"/>
      <c r="O1094" s="21"/>
      <c r="Q1094" s="7">
        <f>Table2[[#This Row],[Elevation
PILE TOP]]-Table2[[#This Row],[LENGTH(m.)
(Actual)]]</f>
        <v>0</v>
      </c>
      <c r="R1094" s="2"/>
      <c r="S1094" s="7">
        <f>Table2[[#This Row],[N]]+Table2[[#This Row],[Pile 
Deviation 
N (m)]]</f>
        <v>1511781.047</v>
      </c>
      <c r="T1094" s="7">
        <f>Table2[[#This Row],[E]]+Table2[[#This Row],[Pile 
Deviation 
E (m)]]</f>
        <v>694077.51699999999</v>
      </c>
      <c r="W1094" s="7">
        <v>0.24</v>
      </c>
      <c r="X1094" s="2" t="s">
        <v>51</v>
      </c>
    </row>
    <row r="1095" spans="1:27" ht="13.95" hidden="1" customHeight="1" x14ac:dyDescent="0.65">
      <c r="A1095">
        <v>1093</v>
      </c>
      <c r="B1095" t="s">
        <v>29</v>
      </c>
      <c r="C1095" s="6">
        <v>1511780.743</v>
      </c>
      <c r="D1095" s="6">
        <v>694076.01</v>
      </c>
      <c r="E1095" s="2" t="s">
        <v>35</v>
      </c>
      <c r="F1095" s="1">
        <v>24</v>
      </c>
      <c r="G1095" s="2" t="s">
        <v>50</v>
      </c>
      <c r="J1095"/>
      <c r="K1095" s="19"/>
      <c r="L1095" s="21"/>
      <c r="M1095" s="27"/>
      <c r="N1095" s="19"/>
      <c r="O1095" s="21"/>
      <c r="Q1095" s="7">
        <f>Table2[[#This Row],[Elevation
PILE TOP]]-Table2[[#This Row],[LENGTH(m.)
(Actual)]]</f>
        <v>0</v>
      </c>
      <c r="R1095" s="2"/>
      <c r="S1095" s="7">
        <f>Table2[[#This Row],[N]]+Table2[[#This Row],[Pile 
Deviation 
N (m)]]</f>
        <v>1511780.743</v>
      </c>
      <c r="T1095" s="7">
        <f>Table2[[#This Row],[E]]+Table2[[#This Row],[Pile 
Deviation 
E (m)]]</f>
        <v>694076.01</v>
      </c>
      <c r="W1095" s="7">
        <v>0.24</v>
      </c>
      <c r="X1095" s="2" t="s">
        <v>51</v>
      </c>
    </row>
    <row r="1096" spans="1:27" hidden="1" x14ac:dyDescent="0.65">
      <c r="A1096">
        <v>1094</v>
      </c>
      <c r="B1096" t="s">
        <v>29</v>
      </c>
      <c r="C1096" s="6">
        <v>1511780.05</v>
      </c>
      <c r="D1096" s="6">
        <v>694072.57900000003</v>
      </c>
      <c r="E1096" s="2" t="s">
        <v>35</v>
      </c>
      <c r="F1096" s="1">
        <v>24</v>
      </c>
      <c r="G1096" s="2" t="s">
        <v>50</v>
      </c>
      <c r="J1096"/>
      <c r="K1096" s="19"/>
      <c r="L1096" s="21"/>
      <c r="M1096" s="27"/>
      <c r="N1096" s="19"/>
      <c r="O1096" s="21"/>
      <c r="Q1096" s="7">
        <f>Table2[[#This Row],[Elevation
PILE TOP]]-Table2[[#This Row],[LENGTH(m.)
(Actual)]]</f>
        <v>0</v>
      </c>
      <c r="R1096" s="2"/>
      <c r="S1096" s="7">
        <f>Table2[[#This Row],[N]]+Table2[[#This Row],[Pile 
Deviation 
N (m)]]</f>
        <v>1511780.05</v>
      </c>
      <c r="T1096" s="7">
        <f>Table2[[#This Row],[E]]+Table2[[#This Row],[Pile 
Deviation 
E (m)]]</f>
        <v>694072.57900000003</v>
      </c>
      <c r="W1096" s="7">
        <v>0.24</v>
      </c>
      <c r="X1096" s="2" t="s">
        <v>51</v>
      </c>
    </row>
    <row r="1097" spans="1:27" ht="13.95" hidden="1" customHeight="1" x14ac:dyDescent="0.65">
      <c r="A1097">
        <v>1095</v>
      </c>
      <c r="B1097" t="s">
        <v>29</v>
      </c>
      <c r="C1097" s="6">
        <v>1511779.358</v>
      </c>
      <c r="D1097" s="6">
        <v>694069.14800000004</v>
      </c>
      <c r="E1097" s="2" t="s">
        <v>35</v>
      </c>
      <c r="F1097" s="1">
        <v>24</v>
      </c>
      <c r="G1097" s="2" t="s">
        <v>50</v>
      </c>
      <c r="J1097"/>
      <c r="K1097" s="19"/>
      <c r="L1097" s="21"/>
      <c r="M1097" s="27"/>
      <c r="N1097" s="19"/>
      <c r="O1097" s="21"/>
      <c r="Q1097" s="7">
        <f>Table2[[#This Row],[Elevation
PILE TOP]]-Table2[[#This Row],[LENGTH(m.)
(Actual)]]</f>
        <v>0</v>
      </c>
      <c r="R1097" s="2"/>
      <c r="S1097" s="7">
        <f>Table2[[#This Row],[N]]+Table2[[#This Row],[Pile 
Deviation 
N (m)]]</f>
        <v>1511779.358</v>
      </c>
      <c r="T1097" s="7">
        <f>Table2[[#This Row],[E]]+Table2[[#This Row],[Pile 
Deviation 
E (m)]]</f>
        <v>694069.14800000004</v>
      </c>
      <c r="W1097" s="7">
        <v>0.24</v>
      </c>
      <c r="X1097" s="2" t="s">
        <v>51</v>
      </c>
    </row>
    <row r="1098" spans="1:27" hidden="1" x14ac:dyDescent="0.65">
      <c r="A1098">
        <v>1096</v>
      </c>
      <c r="B1098" t="s">
        <v>29</v>
      </c>
      <c r="C1098" s="6">
        <v>1511778.665</v>
      </c>
      <c r="D1098" s="6">
        <v>694065.71699999995</v>
      </c>
      <c r="E1098" s="2" t="s">
        <v>35</v>
      </c>
      <c r="F1098" s="1">
        <v>24</v>
      </c>
      <c r="G1098" s="2" t="s">
        <v>50</v>
      </c>
      <c r="J1098"/>
      <c r="K1098" s="19"/>
      <c r="L1098" s="21"/>
      <c r="M1098" s="27"/>
      <c r="N1098" s="19"/>
      <c r="O1098" s="21"/>
      <c r="Q1098" s="7">
        <f>Table2[[#This Row],[Elevation
PILE TOP]]-Table2[[#This Row],[LENGTH(m.)
(Actual)]]</f>
        <v>0</v>
      </c>
      <c r="R1098" s="2"/>
      <c r="S1098" s="7">
        <f>Table2[[#This Row],[N]]+Table2[[#This Row],[Pile 
Deviation 
N (m)]]</f>
        <v>1511778.665</v>
      </c>
      <c r="T1098" s="7">
        <f>Table2[[#This Row],[E]]+Table2[[#This Row],[Pile 
Deviation 
E (m)]]</f>
        <v>694065.71699999995</v>
      </c>
      <c r="W1098" s="7">
        <v>0.24</v>
      </c>
      <c r="X1098" s="2" t="s">
        <v>51</v>
      </c>
    </row>
    <row r="1099" spans="1:27" ht="13.95" hidden="1" customHeight="1" x14ac:dyDescent="0.65">
      <c r="A1099">
        <v>1097</v>
      </c>
      <c r="B1099" t="s">
        <v>29</v>
      </c>
      <c r="C1099" s="6">
        <v>1511777.9720000001</v>
      </c>
      <c r="D1099" s="6">
        <v>694062.28700000001</v>
      </c>
      <c r="E1099" s="2" t="s">
        <v>35</v>
      </c>
      <c r="F1099" s="1">
        <v>24</v>
      </c>
      <c r="G1099" s="2" t="s">
        <v>50</v>
      </c>
      <c r="J1099"/>
      <c r="K1099" s="19"/>
      <c r="L1099" s="21"/>
      <c r="M1099" s="27"/>
      <c r="N1099" s="19"/>
      <c r="O1099" s="21"/>
      <c r="Q1099" s="7">
        <f>Table2[[#This Row],[Elevation
PILE TOP]]-Table2[[#This Row],[LENGTH(m.)
(Actual)]]</f>
        <v>0</v>
      </c>
      <c r="R1099" s="2"/>
      <c r="S1099" s="7">
        <f>Table2[[#This Row],[N]]+Table2[[#This Row],[Pile 
Deviation 
N (m)]]</f>
        <v>1511777.9720000001</v>
      </c>
      <c r="T1099" s="7">
        <f>Table2[[#This Row],[E]]+Table2[[#This Row],[Pile 
Deviation 
E (m)]]</f>
        <v>694062.28700000001</v>
      </c>
      <c r="W1099" s="7">
        <v>0.24</v>
      </c>
      <c r="X1099" s="2" t="s">
        <v>51</v>
      </c>
    </row>
    <row r="1100" spans="1:27" hidden="1" x14ac:dyDescent="0.65">
      <c r="A1100">
        <v>1098</v>
      </c>
      <c r="B1100" t="s">
        <v>29</v>
      </c>
      <c r="C1100" s="6">
        <v>1511777.2790000001</v>
      </c>
      <c r="D1100" s="6">
        <v>694058.85600000003</v>
      </c>
      <c r="E1100" s="2" t="s">
        <v>35</v>
      </c>
      <c r="F1100" s="1">
        <v>24</v>
      </c>
      <c r="G1100" s="2" t="s">
        <v>50</v>
      </c>
      <c r="J1100"/>
      <c r="K1100" s="19"/>
      <c r="L1100" s="21"/>
      <c r="M1100" s="27"/>
      <c r="N1100" s="19"/>
      <c r="O1100" s="21"/>
      <c r="Q1100" s="7">
        <f>Table2[[#This Row],[Elevation
PILE TOP]]-Table2[[#This Row],[LENGTH(m.)
(Actual)]]</f>
        <v>0</v>
      </c>
      <c r="R1100" s="2"/>
      <c r="S1100" s="7">
        <f>Table2[[#This Row],[N]]+Table2[[#This Row],[Pile 
Deviation 
N (m)]]</f>
        <v>1511777.2790000001</v>
      </c>
      <c r="T1100" s="7">
        <f>Table2[[#This Row],[E]]+Table2[[#This Row],[Pile 
Deviation 
E (m)]]</f>
        <v>694058.85600000003</v>
      </c>
      <c r="W1100" s="7">
        <v>0.24</v>
      </c>
      <c r="X1100" s="2" t="s">
        <v>51</v>
      </c>
    </row>
    <row r="1101" spans="1:27" ht="13.95" hidden="1" customHeight="1" x14ac:dyDescent="0.65">
      <c r="A1101">
        <v>1099</v>
      </c>
      <c r="B1101" t="s">
        <v>29</v>
      </c>
      <c r="C1101" s="6">
        <v>1511777.209</v>
      </c>
      <c r="D1101" s="6">
        <v>694076.18799999997</v>
      </c>
      <c r="E1101" s="2" t="s">
        <v>35</v>
      </c>
      <c r="F1101" s="1">
        <v>24</v>
      </c>
      <c r="G1101" s="2" t="s">
        <v>50</v>
      </c>
      <c r="J1101"/>
      <c r="K1101" s="19"/>
      <c r="L1101" s="21"/>
      <c r="M1101" s="27"/>
      <c r="N1101" s="19"/>
      <c r="O1101" s="21"/>
      <c r="Q1101" s="7">
        <f>Table2[[#This Row],[Elevation
PILE TOP]]-Table2[[#This Row],[LENGTH(m.)
(Actual)]]</f>
        <v>0</v>
      </c>
      <c r="R1101" s="2"/>
      <c r="S1101" s="7">
        <f>Table2[[#This Row],[N]]+Table2[[#This Row],[Pile 
Deviation 
N (m)]]</f>
        <v>1511777.209</v>
      </c>
      <c r="T1101" s="7">
        <f>Table2[[#This Row],[E]]+Table2[[#This Row],[Pile 
Deviation 
E (m)]]</f>
        <v>694076.18799999997</v>
      </c>
      <c r="W1101" s="7">
        <v>0.24</v>
      </c>
      <c r="X1101" s="2" t="s">
        <v>51</v>
      </c>
    </row>
    <row r="1102" spans="1:27" hidden="1" x14ac:dyDescent="0.65">
      <c r="A1102">
        <v>1100</v>
      </c>
      <c r="B1102" t="s">
        <v>29</v>
      </c>
      <c r="C1102" s="6">
        <v>1511776.62</v>
      </c>
      <c r="D1102" s="6">
        <v>694073.272</v>
      </c>
      <c r="E1102" s="2" t="s">
        <v>35</v>
      </c>
      <c r="F1102" s="1">
        <v>24</v>
      </c>
      <c r="G1102" s="2" t="s">
        <v>50</v>
      </c>
      <c r="J1102"/>
      <c r="K1102" s="19"/>
      <c r="L1102" s="21"/>
      <c r="M1102" s="27"/>
      <c r="N1102" s="19"/>
      <c r="O1102" s="21"/>
      <c r="Q1102" s="7">
        <f>Table2[[#This Row],[Elevation
PILE TOP]]-Table2[[#This Row],[LENGTH(m.)
(Actual)]]</f>
        <v>0</v>
      </c>
      <c r="R1102" s="2"/>
      <c r="S1102" s="7">
        <f>Table2[[#This Row],[N]]+Table2[[#This Row],[Pile 
Deviation 
N (m)]]</f>
        <v>1511776.62</v>
      </c>
      <c r="T1102" s="7">
        <f>Table2[[#This Row],[E]]+Table2[[#This Row],[Pile 
Deviation 
E (m)]]</f>
        <v>694073.272</v>
      </c>
      <c r="W1102" s="7">
        <v>0.24</v>
      </c>
      <c r="X1102" s="2" t="s">
        <v>51</v>
      </c>
    </row>
    <row r="1103" spans="1:27" ht="13.95" hidden="1" customHeight="1" x14ac:dyDescent="0.65">
      <c r="A1103">
        <v>1101</v>
      </c>
      <c r="B1103" t="s">
        <v>29</v>
      </c>
      <c r="C1103" s="6">
        <v>1511776.5859999999</v>
      </c>
      <c r="D1103" s="6">
        <v>694055.42500000005</v>
      </c>
      <c r="E1103" s="2" t="s">
        <v>35</v>
      </c>
      <c r="F1103" s="1">
        <v>24</v>
      </c>
      <c r="G1103" s="2" t="s">
        <v>50</v>
      </c>
      <c r="J1103"/>
      <c r="K1103" s="19"/>
      <c r="L1103" s="21"/>
      <c r="M1103" s="27"/>
      <c r="N1103" s="19"/>
      <c r="O1103" s="21"/>
      <c r="Q1103" s="7">
        <f>Table2[[#This Row],[Elevation
PILE TOP]]-Table2[[#This Row],[LENGTH(m.)
(Actual)]]</f>
        <v>0</v>
      </c>
      <c r="R1103" s="2"/>
      <c r="S1103" s="7">
        <f>Table2[[#This Row],[N]]+Table2[[#This Row],[Pile 
Deviation 
N (m)]]</f>
        <v>1511776.5859999999</v>
      </c>
      <c r="T1103" s="7">
        <f>Table2[[#This Row],[E]]+Table2[[#This Row],[Pile 
Deviation 
E (m)]]</f>
        <v>694055.42500000005</v>
      </c>
      <c r="W1103" s="7">
        <v>0.24</v>
      </c>
      <c r="X1103" s="2" t="s">
        <v>51</v>
      </c>
    </row>
    <row r="1104" spans="1:27" hidden="1" x14ac:dyDescent="0.65">
      <c r="A1104">
        <v>1102</v>
      </c>
      <c r="B1104" t="s">
        <v>29</v>
      </c>
      <c r="C1104" s="6">
        <v>1511775.9269999999</v>
      </c>
      <c r="D1104" s="6">
        <v>694069.84100000001</v>
      </c>
      <c r="E1104" s="2" t="s">
        <v>35</v>
      </c>
      <c r="F1104" s="1">
        <v>24</v>
      </c>
      <c r="G1104" s="2" t="s">
        <v>50</v>
      </c>
      <c r="J1104"/>
      <c r="K1104" s="19"/>
      <c r="L1104" s="21"/>
      <c r="M1104" s="27"/>
      <c r="N1104" s="19"/>
      <c r="O1104" s="21"/>
      <c r="Q1104" s="7">
        <f>Table2[[#This Row],[Elevation
PILE TOP]]-Table2[[#This Row],[LENGTH(m.)
(Actual)]]</f>
        <v>0</v>
      </c>
      <c r="R1104" s="2"/>
      <c r="S1104" s="7">
        <f>Table2[[#This Row],[N]]+Table2[[#This Row],[Pile 
Deviation 
N (m)]]</f>
        <v>1511775.9269999999</v>
      </c>
      <c r="T1104" s="7">
        <f>Table2[[#This Row],[E]]+Table2[[#This Row],[Pile 
Deviation 
E (m)]]</f>
        <v>694069.84100000001</v>
      </c>
      <c r="W1104" s="7">
        <v>0.24</v>
      </c>
      <c r="X1104" s="2" t="s">
        <v>51</v>
      </c>
    </row>
    <row r="1105" spans="1:27" ht="13.95" hidden="1" customHeight="1" x14ac:dyDescent="0.65">
      <c r="A1105">
        <v>1103</v>
      </c>
      <c r="B1105" t="s">
        <v>29</v>
      </c>
      <c r="C1105" s="6">
        <v>1511775.8929999999</v>
      </c>
      <c r="D1105" s="6">
        <v>694051.99399999995</v>
      </c>
      <c r="E1105" s="2" t="s">
        <v>35</v>
      </c>
      <c r="F1105" s="1">
        <v>24</v>
      </c>
      <c r="G1105" s="2" t="s">
        <v>50</v>
      </c>
      <c r="J1105"/>
      <c r="K1105" s="19"/>
      <c r="L1105" s="21"/>
      <c r="M1105" s="27"/>
      <c r="N1105" s="19"/>
      <c r="O1105" s="21"/>
      <c r="Q1105" s="7">
        <f>Table2[[#This Row],[Elevation
PILE TOP]]-Table2[[#This Row],[LENGTH(m.)
(Actual)]]</f>
        <v>0</v>
      </c>
      <c r="R1105" s="2"/>
      <c r="S1105" s="7">
        <f>Table2[[#This Row],[N]]+Table2[[#This Row],[Pile 
Deviation 
N (m)]]</f>
        <v>1511775.8929999999</v>
      </c>
      <c r="T1105" s="7">
        <f>Table2[[#This Row],[E]]+Table2[[#This Row],[Pile 
Deviation 
E (m)]]</f>
        <v>694051.99399999995</v>
      </c>
      <c r="W1105" s="7">
        <v>0.24</v>
      </c>
      <c r="X1105" s="2" t="s">
        <v>51</v>
      </c>
    </row>
    <row r="1106" spans="1:27" hidden="1" x14ac:dyDescent="0.65">
      <c r="A1106">
        <v>1104</v>
      </c>
      <c r="B1106" t="s">
        <v>29</v>
      </c>
      <c r="C1106" s="6">
        <v>1511775.2339999999</v>
      </c>
      <c r="D1106" s="6">
        <v>694066.41</v>
      </c>
      <c r="E1106" s="2" t="s">
        <v>35</v>
      </c>
      <c r="F1106" s="1">
        <v>24</v>
      </c>
      <c r="G1106" s="2" t="s">
        <v>50</v>
      </c>
      <c r="J1106"/>
      <c r="K1106" s="19"/>
      <c r="L1106" s="21"/>
      <c r="M1106" s="27"/>
      <c r="N1106" s="19"/>
      <c r="O1106" s="21"/>
      <c r="Q1106" s="7">
        <f>Table2[[#This Row],[Elevation
PILE TOP]]-Table2[[#This Row],[LENGTH(m.)
(Actual)]]</f>
        <v>0</v>
      </c>
      <c r="R1106" s="2"/>
      <c r="S1106" s="7">
        <f>Table2[[#This Row],[N]]+Table2[[#This Row],[Pile 
Deviation 
N (m)]]</f>
        <v>1511775.2339999999</v>
      </c>
      <c r="T1106" s="7">
        <f>Table2[[#This Row],[E]]+Table2[[#This Row],[Pile 
Deviation 
E (m)]]</f>
        <v>694066.41</v>
      </c>
      <c r="W1106" s="7">
        <v>0.24</v>
      </c>
      <c r="X1106" s="2" t="s">
        <v>51</v>
      </c>
    </row>
    <row r="1107" spans="1:27" ht="13.95" hidden="1" customHeight="1" x14ac:dyDescent="0.65">
      <c r="A1107">
        <v>1105</v>
      </c>
      <c r="B1107" t="s">
        <v>29</v>
      </c>
      <c r="C1107" s="6">
        <v>1511775.2009999999</v>
      </c>
      <c r="D1107" s="6">
        <v>694048.56400000001</v>
      </c>
      <c r="E1107" s="2" t="s">
        <v>35</v>
      </c>
      <c r="F1107" s="1">
        <v>24</v>
      </c>
      <c r="G1107" s="2" t="s">
        <v>50</v>
      </c>
      <c r="J1107"/>
      <c r="K1107" s="19"/>
      <c r="L1107" s="21"/>
      <c r="M1107" s="27"/>
      <c r="N1107" s="19"/>
      <c r="O1107" s="21"/>
      <c r="Q1107" s="7">
        <f>Table2[[#This Row],[Elevation
PILE TOP]]-Table2[[#This Row],[LENGTH(m.)
(Actual)]]</f>
        <v>0</v>
      </c>
      <c r="R1107" s="2"/>
      <c r="S1107" s="7">
        <f>Table2[[#This Row],[N]]+Table2[[#This Row],[Pile 
Deviation 
N (m)]]</f>
        <v>1511775.2009999999</v>
      </c>
      <c r="T1107" s="7">
        <f>Table2[[#This Row],[E]]+Table2[[#This Row],[Pile 
Deviation 
E (m)]]</f>
        <v>694048.56400000001</v>
      </c>
      <c r="W1107" s="7">
        <v>0.24</v>
      </c>
      <c r="X1107" s="2" t="s">
        <v>51</v>
      </c>
    </row>
    <row r="1108" spans="1:27" hidden="1" x14ac:dyDescent="0.65">
      <c r="A1108">
        <v>1106</v>
      </c>
      <c r="B1108" t="s">
        <v>29</v>
      </c>
      <c r="C1108" s="6">
        <v>1511774.541</v>
      </c>
      <c r="D1108" s="6">
        <v>694062.98</v>
      </c>
      <c r="E1108" s="2" t="s">
        <v>35</v>
      </c>
      <c r="F1108" s="1">
        <v>24</v>
      </c>
      <c r="G1108" s="2" t="s">
        <v>50</v>
      </c>
      <c r="J1108"/>
      <c r="K1108" s="19"/>
      <c r="L1108" s="21"/>
      <c r="M1108" s="27"/>
      <c r="N1108" s="19"/>
      <c r="O1108" s="21"/>
      <c r="Q1108" s="7">
        <f>Table2[[#This Row],[Elevation
PILE TOP]]-Table2[[#This Row],[LENGTH(m.)
(Actual)]]</f>
        <v>0</v>
      </c>
      <c r="R1108" s="2"/>
      <c r="S1108" s="7">
        <f>Table2[[#This Row],[N]]+Table2[[#This Row],[Pile 
Deviation 
N (m)]]</f>
        <v>1511774.541</v>
      </c>
      <c r="T1108" s="7">
        <f>Table2[[#This Row],[E]]+Table2[[#This Row],[Pile 
Deviation 
E (m)]]</f>
        <v>694062.98</v>
      </c>
      <c r="W1108" s="7">
        <v>0.24</v>
      </c>
      <c r="X1108" s="2" t="s">
        <v>51</v>
      </c>
    </row>
    <row r="1109" spans="1:27" ht="13.95" hidden="1" customHeight="1" x14ac:dyDescent="0.65">
      <c r="A1109">
        <v>1107</v>
      </c>
      <c r="B1109" t="s">
        <v>29</v>
      </c>
      <c r="C1109" s="6">
        <v>1511774.5079999999</v>
      </c>
      <c r="D1109" s="6">
        <v>694045.13300000003</v>
      </c>
      <c r="E1109" s="2" t="s">
        <v>35</v>
      </c>
      <c r="F1109" s="1">
        <v>24</v>
      </c>
      <c r="G1109" s="2" t="s">
        <v>50</v>
      </c>
      <c r="J1109"/>
      <c r="K1109" s="19"/>
      <c r="L1109" s="21"/>
      <c r="M1109" s="27"/>
      <c r="N1109" s="19"/>
      <c r="O1109" s="21"/>
      <c r="Q1109" s="7">
        <f>Table2[[#This Row],[Elevation
PILE TOP]]-Table2[[#This Row],[LENGTH(m.)
(Actual)]]</f>
        <v>0</v>
      </c>
      <c r="R1109" s="2"/>
      <c r="S1109" s="7">
        <f>Table2[[#This Row],[N]]+Table2[[#This Row],[Pile 
Deviation 
N (m)]]</f>
        <v>1511774.5079999999</v>
      </c>
      <c r="T1109" s="7">
        <f>Table2[[#This Row],[E]]+Table2[[#This Row],[Pile 
Deviation 
E (m)]]</f>
        <v>694045.13300000003</v>
      </c>
      <c r="W1109" s="7">
        <v>0.24</v>
      </c>
      <c r="X1109" s="2" t="s">
        <v>51</v>
      </c>
    </row>
    <row r="1110" spans="1:27" hidden="1" x14ac:dyDescent="0.65">
      <c r="A1110">
        <v>1108</v>
      </c>
      <c r="B1110" t="s">
        <v>29</v>
      </c>
      <c r="C1110" s="6">
        <v>1511773.848</v>
      </c>
      <c r="D1110" s="6">
        <v>694059.549</v>
      </c>
      <c r="E1110" s="2" t="s">
        <v>35</v>
      </c>
      <c r="F1110" s="1">
        <v>24</v>
      </c>
      <c r="G1110" s="2" t="s">
        <v>50</v>
      </c>
      <c r="J1110"/>
      <c r="K1110" s="19"/>
      <c r="L1110" s="21"/>
      <c r="M1110" s="27"/>
      <c r="N1110" s="19"/>
      <c r="O1110" s="21"/>
      <c r="Q1110" s="7">
        <f>Table2[[#This Row],[Elevation
PILE TOP]]-Table2[[#This Row],[LENGTH(m.)
(Actual)]]</f>
        <v>0</v>
      </c>
      <c r="R1110" s="2"/>
      <c r="S1110" s="7">
        <f>Table2[[#This Row],[N]]+Table2[[#This Row],[Pile 
Deviation 
N (m)]]</f>
        <v>1511773.848</v>
      </c>
      <c r="T1110" s="7">
        <f>Table2[[#This Row],[E]]+Table2[[#This Row],[Pile 
Deviation 
E (m)]]</f>
        <v>694059.549</v>
      </c>
      <c r="W1110" s="7">
        <v>0.24</v>
      </c>
      <c r="X1110" s="2" t="s">
        <v>51</v>
      </c>
    </row>
    <row r="1111" spans="1:27" ht="13.95" hidden="1" customHeight="1" x14ac:dyDescent="0.65">
      <c r="A1111">
        <v>1109</v>
      </c>
      <c r="B1111" t="s">
        <v>29</v>
      </c>
      <c r="C1111" s="6">
        <v>1511773.716</v>
      </c>
      <c r="D1111" s="6">
        <v>694041.21200000006</v>
      </c>
      <c r="E1111" s="2" t="s">
        <v>35</v>
      </c>
      <c r="F1111" s="1">
        <v>24</v>
      </c>
      <c r="G1111" s="2" t="s">
        <v>50</v>
      </c>
      <c r="J1111"/>
      <c r="K1111" s="19"/>
      <c r="L1111" s="21"/>
      <c r="M1111" s="27"/>
      <c r="N1111" s="19"/>
      <c r="O1111" s="21"/>
      <c r="Q1111" s="7">
        <f>Table2[[#This Row],[Elevation
PILE TOP]]-Table2[[#This Row],[LENGTH(m.)
(Actual)]]</f>
        <v>0</v>
      </c>
      <c r="R1111" s="2"/>
      <c r="S1111" s="7">
        <f>Table2[[#This Row],[N]]+Table2[[#This Row],[Pile 
Deviation 
N (m)]]</f>
        <v>1511773.716</v>
      </c>
      <c r="T1111" s="7">
        <f>Table2[[#This Row],[E]]+Table2[[#This Row],[Pile 
Deviation 
E (m)]]</f>
        <v>694041.21200000006</v>
      </c>
      <c r="W1111" s="7">
        <v>0.24</v>
      </c>
      <c r="X1111" s="2" t="s">
        <v>51</v>
      </c>
    </row>
    <row r="1112" spans="1:27" hidden="1" x14ac:dyDescent="0.65">
      <c r="A1112">
        <v>1110</v>
      </c>
      <c r="B1112" t="s">
        <v>29</v>
      </c>
      <c r="C1112" s="6">
        <v>1511773.189</v>
      </c>
      <c r="D1112" s="6">
        <v>694073.96499999997</v>
      </c>
      <c r="E1112" s="2" t="s">
        <v>35</v>
      </c>
      <c r="F1112" s="1">
        <v>24</v>
      </c>
      <c r="G1112" s="2" t="s">
        <v>50</v>
      </c>
      <c r="J1112"/>
      <c r="K1112" s="19"/>
      <c r="L1112" s="21"/>
      <c r="M1112" s="27"/>
      <c r="N1112" s="19"/>
      <c r="O1112" s="21"/>
      <c r="Q1112" s="7">
        <f>Table2[[#This Row],[Elevation
PILE TOP]]-Table2[[#This Row],[LENGTH(m.)
(Actual)]]</f>
        <v>0</v>
      </c>
      <c r="R1112" s="2"/>
      <c r="S1112" s="7">
        <f>Table2[[#This Row],[N]]+Table2[[#This Row],[Pile 
Deviation 
N (m)]]</f>
        <v>1511773.189</v>
      </c>
      <c r="T1112" s="7">
        <f>Table2[[#This Row],[E]]+Table2[[#This Row],[Pile 
Deviation 
E (m)]]</f>
        <v>694073.96499999997</v>
      </c>
      <c r="W1112" s="7">
        <v>0.24</v>
      </c>
      <c r="X1112" s="2" t="s">
        <v>51</v>
      </c>
    </row>
    <row r="1113" spans="1:27" ht="13.95" hidden="1" customHeight="1" x14ac:dyDescent="0.65">
      <c r="A1113">
        <v>1111</v>
      </c>
      <c r="B1113" t="s">
        <v>29</v>
      </c>
      <c r="C1113" s="6">
        <v>1511773.156</v>
      </c>
      <c r="D1113" s="6">
        <v>694056.11800000002</v>
      </c>
      <c r="E1113" s="2" t="s">
        <v>35</v>
      </c>
      <c r="F1113" s="1">
        <v>24</v>
      </c>
      <c r="G1113" s="2" t="s">
        <v>50</v>
      </c>
      <c r="J1113"/>
      <c r="K1113" s="19"/>
      <c r="L1113" s="21"/>
      <c r="M1113" s="27"/>
      <c r="N1113" s="19"/>
      <c r="O1113" s="21"/>
      <c r="Q1113" s="7">
        <f>Table2[[#This Row],[Elevation
PILE TOP]]-Table2[[#This Row],[LENGTH(m.)
(Actual)]]</f>
        <v>0</v>
      </c>
      <c r="R1113" s="2"/>
      <c r="S1113" s="7">
        <f>Table2[[#This Row],[N]]+Table2[[#This Row],[Pile 
Deviation 
N (m)]]</f>
        <v>1511773.156</v>
      </c>
      <c r="T1113" s="7">
        <f>Table2[[#This Row],[E]]+Table2[[#This Row],[Pile 
Deviation 
E (m)]]</f>
        <v>694056.11800000002</v>
      </c>
      <c r="W1113" s="7">
        <v>0.24</v>
      </c>
      <c r="X1113" s="2" t="s">
        <v>51</v>
      </c>
    </row>
    <row r="1114" spans="1:27" hidden="1" x14ac:dyDescent="0.65">
      <c r="A1114">
        <v>1112</v>
      </c>
      <c r="B1114" t="s">
        <v>29</v>
      </c>
      <c r="C1114" s="6">
        <v>1511773.023</v>
      </c>
      <c r="D1114" s="6">
        <v>694037.78099999996</v>
      </c>
      <c r="E1114" s="2" t="s">
        <v>35</v>
      </c>
      <c r="F1114" s="1">
        <v>24</v>
      </c>
      <c r="G1114" s="2" t="s">
        <v>50</v>
      </c>
      <c r="J1114"/>
      <c r="K1114" s="19"/>
      <c r="L1114" s="21"/>
      <c r="M1114" s="27"/>
      <c r="N1114" s="19"/>
      <c r="O1114" s="21"/>
      <c r="Q1114" s="7">
        <f>Table2[[#This Row],[Elevation
PILE TOP]]-Table2[[#This Row],[LENGTH(m.)
(Actual)]]</f>
        <v>0</v>
      </c>
      <c r="R1114" s="2"/>
      <c r="S1114" s="7">
        <f>Table2[[#This Row],[N]]+Table2[[#This Row],[Pile 
Deviation 
N (m)]]</f>
        <v>1511773.023</v>
      </c>
      <c r="T1114" s="7">
        <f>Table2[[#This Row],[E]]+Table2[[#This Row],[Pile 
Deviation 
E (m)]]</f>
        <v>694037.78099999996</v>
      </c>
      <c r="W1114" s="7">
        <v>0.24</v>
      </c>
      <c r="X1114" s="2" t="s">
        <v>51</v>
      </c>
    </row>
    <row r="1115" spans="1:27" ht="13.95" hidden="1" customHeight="1" x14ac:dyDescent="0.65">
      <c r="A1115">
        <v>1113</v>
      </c>
      <c r="B1115" t="s">
        <v>29</v>
      </c>
      <c r="C1115" s="6">
        <v>1511772.8130000001</v>
      </c>
      <c r="D1115" s="6">
        <v>693822.72199999995</v>
      </c>
      <c r="E1115" s="2" t="s">
        <v>35</v>
      </c>
      <c r="F1115" s="1">
        <v>24</v>
      </c>
      <c r="G1115" s="2" t="s">
        <v>50</v>
      </c>
      <c r="J1115"/>
      <c r="K1115" s="19"/>
      <c r="L1115" s="21"/>
      <c r="M1115" s="27"/>
      <c r="N1115" s="19"/>
      <c r="O1115" s="21"/>
      <c r="Q1115" s="7">
        <f>Table2[[#This Row],[Elevation
PILE TOP]]-Table2[[#This Row],[LENGTH(m.)
(Actual)]]</f>
        <v>0</v>
      </c>
      <c r="R1115" s="2"/>
      <c r="S1115" s="7">
        <f>Table2[[#This Row],[N]]+Table2[[#This Row],[Pile 
Deviation 
N (m)]]</f>
        <v>1511772.8130000001</v>
      </c>
      <c r="T1115" s="7">
        <f>Table2[[#This Row],[E]]+Table2[[#This Row],[Pile 
Deviation 
E (m)]]</f>
        <v>693822.72199999995</v>
      </c>
      <c r="W1115" s="7">
        <v>0.24</v>
      </c>
      <c r="X1115" s="2" t="s">
        <v>51</v>
      </c>
      <c r="AA1115" s="9">
        <v>46221</v>
      </c>
    </row>
    <row r="1116" spans="1:27" hidden="1" x14ac:dyDescent="0.65">
      <c r="A1116">
        <v>1114</v>
      </c>
      <c r="B1116" t="s">
        <v>29</v>
      </c>
      <c r="C1116" s="6">
        <v>1511772.496</v>
      </c>
      <c r="D1116" s="6">
        <v>694070.53399999999</v>
      </c>
      <c r="E1116" s="2" t="s">
        <v>35</v>
      </c>
      <c r="F1116" s="1">
        <v>24</v>
      </c>
      <c r="G1116" s="2" t="s">
        <v>50</v>
      </c>
      <c r="J1116"/>
      <c r="K1116" s="19"/>
      <c r="L1116" s="21"/>
      <c r="M1116" s="27"/>
      <c r="N1116" s="19"/>
      <c r="O1116" s="21"/>
      <c r="Q1116" s="7">
        <f>Table2[[#This Row],[Elevation
PILE TOP]]-Table2[[#This Row],[LENGTH(m.)
(Actual)]]</f>
        <v>0</v>
      </c>
      <c r="R1116" s="2"/>
      <c r="S1116" s="7">
        <f>Table2[[#This Row],[N]]+Table2[[#This Row],[Pile 
Deviation 
N (m)]]</f>
        <v>1511772.496</v>
      </c>
      <c r="T1116" s="7">
        <f>Table2[[#This Row],[E]]+Table2[[#This Row],[Pile 
Deviation 
E (m)]]</f>
        <v>694070.53399999999</v>
      </c>
      <c r="W1116" s="7">
        <v>0.24</v>
      </c>
      <c r="X1116" s="2" t="s">
        <v>51</v>
      </c>
    </row>
    <row r="1117" spans="1:27" ht="13.95" hidden="1" customHeight="1" x14ac:dyDescent="0.65">
      <c r="A1117">
        <v>1115</v>
      </c>
      <c r="B1117" t="s">
        <v>29</v>
      </c>
      <c r="C1117" s="6">
        <v>1511772.463</v>
      </c>
      <c r="D1117" s="6">
        <v>694052.68700000003</v>
      </c>
      <c r="E1117" s="2" t="s">
        <v>35</v>
      </c>
      <c r="F1117" s="1">
        <v>24</v>
      </c>
      <c r="G1117" s="2" t="s">
        <v>50</v>
      </c>
      <c r="J1117"/>
      <c r="K1117" s="19"/>
      <c r="L1117" s="21"/>
      <c r="M1117" s="27"/>
      <c r="N1117" s="19"/>
      <c r="O1117" s="21"/>
      <c r="Q1117" s="7">
        <f>Table2[[#This Row],[Elevation
PILE TOP]]-Table2[[#This Row],[LENGTH(m.)
(Actual)]]</f>
        <v>0</v>
      </c>
      <c r="R1117" s="2"/>
      <c r="S1117" s="7">
        <f>Table2[[#This Row],[N]]+Table2[[#This Row],[Pile 
Deviation 
N (m)]]</f>
        <v>1511772.463</v>
      </c>
      <c r="T1117" s="7">
        <f>Table2[[#This Row],[E]]+Table2[[#This Row],[Pile 
Deviation 
E (m)]]</f>
        <v>694052.68700000003</v>
      </c>
      <c r="W1117" s="7">
        <v>0.24</v>
      </c>
      <c r="X1117" s="2" t="s">
        <v>51</v>
      </c>
    </row>
    <row r="1118" spans="1:27" hidden="1" x14ac:dyDescent="0.65">
      <c r="A1118">
        <v>1116</v>
      </c>
      <c r="B1118" t="s">
        <v>29</v>
      </c>
      <c r="C1118" s="6">
        <v>1511772.33</v>
      </c>
      <c r="D1118" s="6">
        <v>694034.35100000002</v>
      </c>
      <c r="E1118" s="2" t="s">
        <v>35</v>
      </c>
      <c r="F1118" s="1">
        <v>24</v>
      </c>
      <c r="G1118" s="2" t="s">
        <v>50</v>
      </c>
      <c r="J1118"/>
      <c r="K1118" s="19"/>
      <c r="L1118" s="21"/>
      <c r="M1118" s="27"/>
      <c r="N1118" s="19"/>
      <c r="O1118" s="21"/>
      <c r="Q1118" s="7">
        <f>Table2[[#This Row],[Elevation
PILE TOP]]-Table2[[#This Row],[LENGTH(m.)
(Actual)]]</f>
        <v>0</v>
      </c>
      <c r="R1118" s="2"/>
      <c r="S1118" s="7">
        <f>Table2[[#This Row],[N]]+Table2[[#This Row],[Pile 
Deviation 
N (m)]]</f>
        <v>1511772.33</v>
      </c>
      <c r="T1118" s="7">
        <f>Table2[[#This Row],[E]]+Table2[[#This Row],[Pile 
Deviation 
E (m)]]</f>
        <v>694034.35100000002</v>
      </c>
      <c r="W1118" s="7">
        <v>0.24</v>
      </c>
      <c r="X1118" s="2" t="s">
        <v>51</v>
      </c>
    </row>
    <row r="1119" spans="1:27" ht="13.95" hidden="1" customHeight="1" x14ac:dyDescent="0.65">
      <c r="A1119">
        <v>1117</v>
      </c>
      <c r="B1119" t="s">
        <v>29</v>
      </c>
      <c r="C1119" s="6">
        <v>1511771.8419999999</v>
      </c>
      <c r="D1119" s="6">
        <v>693826.49</v>
      </c>
      <c r="E1119" s="2" t="s">
        <v>35</v>
      </c>
      <c r="F1119" s="1">
        <v>24</v>
      </c>
      <c r="G1119" s="2" t="s">
        <v>50</v>
      </c>
      <c r="J1119"/>
      <c r="K1119" s="19"/>
      <c r="L1119" s="21"/>
      <c r="M1119" s="27"/>
      <c r="N1119" s="19"/>
      <c r="O1119" s="21"/>
      <c r="Q1119" s="7">
        <f>Table2[[#This Row],[Elevation
PILE TOP]]-Table2[[#This Row],[LENGTH(m.)
(Actual)]]</f>
        <v>0</v>
      </c>
      <c r="R1119" s="2"/>
      <c r="S1119" s="7">
        <f>Table2[[#This Row],[N]]+Table2[[#This Row],[Pile 
Deviation 
N (m)]]</f>
        <v>1511771.8419999999</v>
      </c>
      <c r="T1119" s="7">
        <f>Table2[[#This Row],[E]]+Table2[[#This Row],[Pile 
Deviation 
E (m)]]</f>
        <v>693826.49</v>
      </c>
      <c r="W1119" s="7">
        <v>0.24</v>
      </c>
      <c r="X1119" s="2" t="s">
        <v>51</v>
      </c>
      <c r="AA1119" s="9">
        <v>46221</v>
      </c>
    </row>
    <row r="1120" spans="1:27" hidden="1" x14ac:dyDescent="0.65">
      <c r="A1120">
        <v>1118</v>
      </c>
      <c r="B1120" t="s">
        <v>29</v>
      </c>
      <c r="C1120" s="6">
        <v>1511771.8030000001</v>
      </c>
      <c r="D1120" s="6">
        <v>694067.103</v>
      </c>
      <c r="E1120" s="2" t="s">
        <v>35</v>
      </c>
      <c r="F1120" s="1">
        <v>24</v>
      </c>
      <c r="G1120" s="2" t="s">
        <v>50</v>
      </c>
      <c r="J1120"/>
      <c r="K1120" s="19"/>
      <c r="L1120" s="21"/>
      <c r="M1120" s="27"/>
      <c r="N1120" s="19"/>
      <c r="O1120" s="21"/>
      <c r="Q1120" s="7">
        <f>Table2[[#This Row],[Elevation
PILE TOP]]-Table2[[#This Row],[LENGTH(m.)
(Actual)]]</f>
        <v>0</v>
      </c>
      <c r="R1120" s="2"/>
      <c r="S1120" s="7">
        <f>Table2[[#This Row],[N]]+Table2[[#This Row],[Pile 
Deviation 
N (m)]]</f>
        <v>1511771.8030000001</v>
      </c>
      <c r="T1120" s="7">
        <f>Table2[[#This Row],[E]]+Table2[[#This Row],[Pile 
Deviation 
E (m)]]</f>
        <v>694067.103</v>
      </c>
      <c r="W1120" s="7">
        <v>0.24</v>
      </c>
      <c r="X1120" s="2" t="s">
        <v>51</v>
      </c>
    </row>
    <row r="1121" spans="1:28" ht="13.95" hidden="1" customHeight="1" x14ac:dyDescent="0.65">
      <c r="A1121">
        <v>1119</v>
      </c>
      <c r="B1121" t="s">
        <v>29</v>
      </c>
      <c r="C1121" s="6">
        <v>1511771.77</v>
      </c>
      <c r="D1121" s="6">
        <v>694049.25699999998</v>
      </c>
      <c r="E1121" s="2" t="s">
        <v>35</v>
      </c>
      <c r="F1121" s="1">
        <v>24</v>
      </c>
      <c r="G1121" s="2" t="s">
        <v>50</v>
      </c>
      <c r="J1121"/>
      <c r="K1121" s="19"/>
      <c r="L1121" s="21"/>
      <c r="M1121" s="27"/>
      <c r="N1121" s="19"/>
      <c r="O1121" s="21"/>
      <c r="Q1121" s="7">
        <f>Table2[[#This Row],[Elevation
PILE TOP]]-Table2[[#This Row],[LENGTH(m.)
(Actual)]]</f>
        <v>0</v>
      </c>
      <c r="R1121" s="2"/>
      <c r="S1121" s="7">
        <f>Table2[[#This Row],[N]]+Table2[[#This Row],[Pile 
Deviation 
N (m)]]</f>
        <v>1511771.77</v>
      </c>
      <c r="T1121" s="7">
        <f>Table2[[#This Row],[E]]+Table2[[#This Row],[Pile 
Deviation 
E (m)]]</f>
        <v>694049.25699999998</v>
      </c>
      <c r="W1121" s="7">
        <v>0.24</v>
      </c>
      <c r="X1121" s="2" t="s">
        <v>51</v>
      </c>
    </row>
    <row r="1122" spans="1:28" hidden="1" x14ac:dyDescent="0.65">
      <c r="A1122">
        <v>1120</v>
      </c>
      <c r="B1122" t="s">
        <v>29</v>
      </c>
      <c r="C1122" s="6">
        <v>1511771.6370000001</v>
      </c>
      <c r="D1122" s="6">
        <v>694030.92</v>
      </c>
      <c r="E1122" s="2" t="s">
        <v>35</v>
      </c>
      <c r="F1122" s="1">
        <v>24</v>
      </c>
      <c r="G1122" s="2" t="s">
        <v>50</v>
      </c>
      <c r="J1122">
        <v>6</v>
      </c>
      <c r="K1122" s="19"/>
      <c r="L1122" s="21">
        <v>0.69097222222222221</v>
      </c>
      <c r="M1122" s="27" t="s">
        <v>32</v>
      </c>
      <c r="N1122" s="19"/>
      <c r="O1122" s="21">
        <v>0.71805555555555556</v>
      </c>
      <c r="P1122" s="7">
        <v>0</v>
      </c>
      <c r="Q1122" s="7">
        <f>Table2[[#This Row],[Elevation
PILE TOP]]-Table2[[#This Row],[LENGTH(m.)
(Actual)]]</f>
        <v>-26</v>
      </c>
      <c r="R1122" s="2">
        <v>26</v>
      </c>
      <c r="S1122" s="7">
        <f>Table2[[#This Row],[N]]+Table2[[#This Row],[Pile 
Deviation 
N (m)]]</f>
        <v>1511771.6070000001</v>
      </c>
      <c r="T1122" s="7">
        <f>Table2[[#This Row],[E]]+Table2[[#This Row],[Pile 
Deviation 
E (m)]]</f>
        <v>694030.93</v>
      </c>
      <c r="U1122" s="7">
        <v>-0.03</v>
      </c>
      <c r="V1122" s="7">
        <v>0.01</v>
      </c>
      <c r="W1122" s="7">
        <v>0.24</v>
      </c>
      <c r="X1122" s="2" t="s">
        <v>51</v>
      </c>
      <c r="Y1122" t="s">
        <v>52</v>
      </c>
      <c r="Z1122" s="9">
        <v>46195</v>
      </c>
      <c r="AB1122">
        <v>29</v>
      </c>
    </row>
    <row r="1123" spans="1:28" ht="13.95" hidden="1" customHeight="1" x14ac:dyDescent="0.65">
      <c r="A1123">
        <v>1121</v>
      </c>
      <c r="B1123" t="s">
        <v>29</v>
      </c>
      <c r="C1123" s="6">
        <v>1511771.11</v>
      </c>
      <c r="D1123" s="6">
        <v>694063.67200000002</v>
      </c>
      <c r="E1123" s="2" t="s">
        <v>35</v>
      </c>
      <c r="F1123" s="1">
        <v>24</v>
      </c>
      <c r="G1123" s="2" t="s">
        <v>50</v>
      </c>
      <c r="J1123"/>
      <c r="K1123" s="19"/>
      <c r="L1123" s="21"/>
      <c r="M1123" s="27"/>
      <c r="N1123" s="19"/>
      <c r="O1123" s="21"/>
      <c r="Q1123" s="7">
        <f>Table2[[#This Row],[Elevation
PILE TOP]]-Table2[[#This Row],[LENGTH(m.)
(Actual)]]</f>
        <v>0</v>
      </c>
      <c r="R1123" s="2"/>
      <c r="S1123" s="7">
        <f>Table2[[#This Row],[N]]+Table2[[#This Row],[Pile 
Deviation 
N (m)]]</f>
        <v>1511771.11</v>
      </c>
      <c r="T1123" s="7">
        <f>Table2[[#This Row],[E]]+Table2[[#This Row],[Pile 
Deviation 
E (m)]]</f>
        <v>694063.67200000002</v>
      </c>
      <c r="W1123" s="7">
        <v>0.24</v>
      </c>
      <c r="X1123" s="2" t="s">
        <v>51</v>
      </c>
    </row>
    <row r="1124" spans="1:28" hidden="1" x14ac:dyDescent="0.65">
      <c r="A1124">
        <v>1122</v>
      </c>
      <c r="B1124" t="s">
        <v>29</v>
      </c>
      <c r="C1124" s="6">
        <v>1511771.077</v>
      </c>
      <c r="D1124" s="6">
        <v>694045.826</v>
      </c>
      <c r="E1124" s="2" t="s">
        <v>35</v>
      </c>
      <c r="F1124" s="1">
        <v>24</v>
      </c>
      <c r="G1124" s="2" t="s">
        <v>50</v>
      </c>
      <c r="J1124"/>
      <c r="K1124" s="19"/>
      <c r="L1124" s="21"/>
      <c r="M1124" s="27"/>
      <c r="N1124" s="19"/>
      <c r="O1124" s="21"/>
      <c r="Q1124" s="7">
        <f>Table2[[#This Row],[Elevation
PILE TOP]]-Table2[[#This Row],[LENGTH(m.)
(Actual)]]</f>
        <v>0</v>
      </c>
      <c r="R1124" s="2"/>
      <c r="S1124" s="7">
        <f>Table2[[#This Row],[N]]+Table2[[#This Row],[Pile 
Deviation 
N (m)]]</f>
        <v>1511771.077</v>
      </c>
      <c r="T1124" s="7">
        <f>Table2[[#This Row],[E]]+Table2[[#This Row],[Pile 
Deviation 
E (m)]]</f>
        <v>694045.826</v>
      </c>
      <c r="W1124" s="7">
        <v>0.24</v>
      </c>
      <c r="X1124" s="2" t="s">
        <v>51</v>
      </c>
    </row>
    <row r="1125" spans="1:28" ht="13.95" hidden="1" customHeight="1" x14ac:dyDescent="0.65">
      <c r="A1125">
        <v>1123</v>
      </c>
      <c r="B1125" t="s">
        <v>29</v>
      </c>
      <c r="C1125" s="6">
        <v>1511770.9750000001</v>
      </c>
      <c r="D1125" s="6">
        <v>693829.88100000005</v>
      </c>
      <c r="E1125" s="2" t="s">
        <v>35</v>
      </c>
      <c r="F1125" s="1">
        <v>24</v>
      </c>
      <c r="G1125" s="2" t="s">
        <v>50</v>
      </c>
      <c r="J1125"/>
      <c r="K1125" s="19"/>
      <c r="L1125" s="21"/>
      <c r="M1125" s="27"/>
      <c r="N1125" s="19"/>
      <c r="O1125" s="21"/>
      <c r="Q1125" s="7">
        <f>Table2[[#This Row],[Elevation
PILE TOP]]-Table2[[#This Row],[LENGTH(m.)
(Actual)]]</f>
        <v>0</v>
      </c>
      <c r="R1125" s="2"/>
      <c r="S1125" s="7">
        <f>Table2[[#This Row],[N]]+Table2[[#This Row],[Pile 
Deviation 
N (m)]]</f>
        <v>1511770.9750000001</v>
      </c>
      <c r="T1125" s="7">
        <f>Table2[[#This Row],[E]]+Table2[[#This Row],[Pile 
Deviation 
E (m)]]</f>
        <v>693829.88100000005</v>
      </c>
      <c r="W1125" s="7">
        <v>0.24</v>
      </c>
      <c r="X1125" s="2" t="s">
        <v>51</v>
      </c>
      <c r="AA1125" s="9">
        <v>46221</v>
      </c>
    </row>
    <row r="1126" spans="1:28" hidden="1" x14ac:dyDescent="0.65">
      <c r="A1126">
        <v>1124</v>
      </c>
      <c r="B1126" t="s">
        <v>29</v>
      </c>
      <c r="C1126" s="6">
        <v>1511770.9450000001</v>
      </c>
      <c r="D1126" s="6">
        <v>694027.48899999994</v>
      </c>
      <c r="E1126" s="2" t="s">
        <v>35</v>
      </c>
      <c r="F1126" s="1">
        <v>24</v>
      </c>
      <c r="G1126" s="2" t="s">
        <v>50</v>
      </c>
      <c r="J1126">
        <v>6</v>
      </c>
      <c r="K1126" s="19"/>
      <c r="L1126" s="21">
        <v>0.66319444444444442</v>
      </c>
      <c r="M1126" s="27" t="s">
        <v>32</v>
      </c>
      <c r="N1126" s="19"/>
      <c r="O1126" s="21">
        <v>0.68541666666666667</v>
      </c>
      <c r="P1126" s="7">
        <v>-0.34399999999999997</v>
      </c>
      <c r="Q1126" s="7">
        <f>Table2[[#This Row],[Elevation
PILE TOP]]-Table2[[#This Row],[LENGTH(m.)
(Actual)]]</f>
        <v>-26.344000000000001</v>
      </c>
      <c r="R1126" s="2">
        <v>26</v>
      </c>
      <c r="S1126" s="7">
        <f>Table2[[#This Row],[N]]+Table2[[#This Row],[Pile 
Deviation 
N (m)]]</f>
        <v>1511770.925</v>
      </c>
      <c r="T1126" s="7">
        <f>Table2[[#This Row],[E]]+Table2[[#This Row],[Pile 
Deviation 
E (m)]]</f>
        <v>694027.46899999992</v>
      </c>
      <c r="U1126" s="7">
        <v>-0.02</v>
      </c>
      <c r="V1126" s="7">
        <v>-0.02</v>
      </c>
      <c r="W1126" s="7">
        <v>0.24</v>
      </c>
      <c r="X1126" s="2" t="s">
        <v>51</v>
      </c>
      <c r="Y1126" t="s">
        <v>52</v>
      </c>
      <c r="Z1126" s="9">
        <v>46195</v>
      </c>
      <c r="AB1126">
        <v>28</v>
      </c>
    </row>
    <row r="1127" spans="1:28" ht="13.95" hidden="1" customHeight="1" x14ac:dyDescent="0.65">
      <c r="A1127">
        <v>1125</v>
      </c>
      <c r="B1127" t="s">
        <v>29</v>
      </c>
      <c r="C1127" s="6">
        <v>1511770.4180000001</v>
      </c>
      <c r="D1127" s="6">
        <v>694060.24199999997</v>
      </c>
      <c r="E1127" s="2" t="s">
        <v>35</v>
      </c>
      <c r="F1127" s="1">
        <v>24</v>
      </c>
      <c r="G1127" s="2" t="s">
        <v>50</v>
      </c>
      <c r="J1127"/>
      <c r="K1127" s="19"/>
      <c r="L1127" s="21"/>
      <c r="M1127" s="27"/>
      <c r="N1127" s="19"/>
      <c r="O1127" s="21"/>
      <c r="Q1127" s="7">
        <f>Table2[[#This Row],[Elevation
PILE TOP]]-Table2[[#This Row],[LENGTH(m.)
(Actual)]]</f>
        <v>0</v>
      </c>
      <c r="R1127" s="2"/>
      <c r="S1127" s="7">
        <f>Table2[[#This Row],[N]]+Table2[[#This Row],[Pile 
Deviation 
N (m)]]</f>
        <v>1511770.4180000001</v>
      </c>
      <c r="T1127" s="7">
        <f>Table2[[#This Row],[E]]+Table2[[#This Row],[Pile 
Deviation 
E (m)]]</f>
        <v>694060.24199999997</v>
      </c>
      <c r="W1127" s="7">
        <v>0.24</v>
      </c>
      <c r="X1127" s="2" t="s">
        <v>51</v>
      </c>
    </row>
    <row r="1128" spans="1:28" hidden="1" x14ac:dyDescent="0.65">
      <c r="A1128">
        <v>1126</v>
      </c>
      <c r="B1128" t="s">
        <v>29</v>
      </c>
      <c r="C1128" s="6">
        <v>1511770.2849999999</v>
      </c>
      <c r="D1128" s="6">
        <v>694041.90500000003</v>
      </c>
      <c r="E1128" s="2" t="s">
        <v>35</v>
      </c>
      <c r="F1128" s="1">
        <v>24</v>
      </c>
      <c r="G1128" s="2" t="s">
        <v>50</v>
      </c>
      <c r="J1128"/>
      <c r="K1128" s="19"/>
      <c r="L1128" s="21"/>
      <c r="M1128" s="27"/>
      <c r="N1128" s="19"/>
      <c r="O1128" s="21"/>
      <c r="Q1128" s="7">
        <f>Table2[[#This Row],[Elevation
PILE TOP]]-Table2[[#This Row],[LENGTH(m.)
(Actual)]]</f>
        <v>0</v>
      </c>
      <c r="R1128" s="2"/>
      <c r="S1128" s="7">
        <f>Table2[[#This Row],[N]]+Table2[[#This Row],[Pile 
Deviation 
N (m)]]</f>
        <v>1511770.2849999999</v>
      </c>
      <c r="T1128" s="7">
        <f>Table2[[#This Row],[E]]+Table2[[#This Row],[Pile 
Deviation 
E (m)]]</f>
        <v>694041.90500000003</v>
      </c>
      <c r="W1128" s="7">
        <v>0.24</v>
      </c>
      <c r="X1128" s="2" t="s">
        <v>51</v>
      </c>
    </row>
    <row r="1129" spans="1:28" ht="13.95" hidden="1" customHeight="1" x14ac:dyDescent="0.65">
      <c r="A1129">
        <v>1127</v>
      </c>
      <c r="B1129" t="s">
        <v>29</v>
      </c>
      <c r="C1129" s="6">
        <v>1511770.2520000001</v>
      </c>
      <c r="D1129" s="6">
        <v>694024.05799999996</v>
      </c>
      <c r="E1129" s="2" t="s">
        <v>35</v>
      </c>
      <c r="F1129" s="1">
        <v>24</v>
      </c>
      <c r="G1129" s="2" t="s">
        <v>50</v>
      </c>
      <c r="J1129">
        <v>6</v>
      </c>
      <c r="K1129" s="19"/>
      <c r="L1129" s="21">
        <v>0.57638888888888895</v>
      </c>
      <c r="M1129" s="27" t="s">
        <v>32</v>
      </c>
      <c r="N1129" s="19"/>
      <c r="O1129" s="21">
        <v>0.60972222222222217</v>
      </c>
      <c r="P1129" s="7">
        <v>-0.32900000000000001</v>
      </c>
      <c r="Q1129" s="7">
        <f>Table2[[#This Row],[Elevation
PILE TOP]]-Table2[[#This Row],[LENGTH(m.)
(Actual)]]</f>
        <v>-26.329000000000001</v>
      </c>
      <c r="R1129" s="2">
        <v>26</v>
      </c>
      <c r="S1129" s="7">
        <f>Table2[[#This Row],[N]]+Table2[[#This Row],[Pile 
Deviation 
N (m)]]</f>
        <v>1511770.2320000001</v>
      </c>
      <c r="T1129" s="7">
        <f>Table2[[#This Row],[E]]+Table2[[#This Row],[Pile 
Deviation 
E (m)]]</f>
        <v>694024.098</v>
      </c>
      <c r="U1129" s="7">
        <v>-0.02</v>
      </c>
      <c r="V1129" s="7">
        <v>0.04</v>
      </c>
      <c r="W1129" s="7">
        <v>0.24</v>
      </c>
      <c r="X1129" s="2" t="s">
        <v>51</v>
      </c>
      <c r="Y1129" t="s">
        <v>52</v>
      </c>
      <c r="Z1129" s="9">
        <v>46195</v>
      </c>
      <c r="AB1129">
        <v>27</v>
      </c>
    </row>
    <row r="1130" spans="1:28" hidden="1" x14ac:dyDescent="0.65">
      <c r="A1130">
        <v>1128</v>
      </c>
      <c r="B1130" t="s">
        <v>29</v>
      </c>
      <c r="C1130" s="6">
        <v>1511770.1089999999</v>
      </c>
      <c r="D1130" s="6">
        <v>693833.272</v>
      </c>
      <c r="E1130" s="2" t="s">
        <v>35</v>
      </c>
      <c r="F1130" s="1">
        <v>24</v>
      </c>
      <c r="G1130" s="2" t="s">
        <v>50</v>
      </c>
      <c r="J1130"/>
      <c r="K1130" s="19"/>
      <c r="L1130" s="21"/>
      <c r="M1130" s="27"/>
      <c r="N1130" s="19"/>
      <c r="O1130" s="21"/>
      <c r="Q1130" s="7">
        <f>Table2[[#This Row],[Elevation
PILE TOP]]-Table2[[#This Row],[LENGTH(m.)
(Actual)]]</f>
        <v>0</v>
      </c>
      <c r="R1130" s="2"/>
      <c r="S1130" s="7">
        <f>Table2[[#This Row],[N]]+Table2[[#This Row],[Pile 
Deviation 
N (m)]]</f>
        <v>1511770.1089999999</v>
      </c>
      <c r="T1130" s="7">
        <f>Table2[[#This Row],[E]]+Table2[[#This Row],[Pile 
Deviation 
E (m)]]</f>
        <v>693833.272</v>
      </c>
      <c r="W1130" s="7">
        <v>0.24</v>
      </c>
      <c r="X1130" s="2" t="s">
        <v>51</v>
      </c>
      <c r="AA1130" s="9">
        <v>46223</v>
      </c>
    </row>
    <row r="1131" spans="1:28" ht="13.95" hidden="1" customHeight="1" x14ac:dyDescent="0.65">
      <c r="A1131">
        <v>1129</v>
      </c>
      <c r="B1131" t="s">
        <v>29</v>
      </c>
      <c r="C1131" s="6">
        <v>1511769.7250000001</v>
      </c>
      <c r="D1131" s="6">
        <v>694056.81099999999</v>
      </c>
      <c r="E1131" s="2" t="s">
        <v>35</v>
      </c>
      <c r="F1131" s="1">
        <v>24</v>
      </c>
      <c r="G1131" s="2" t="s">
        <v>50</v>
      </c>
      <c r="J1131"/>
      <c r="K1131" s="19"/>
      <c r="L1131" s="21"/>
      <c r="M1131" s="27"/>
      <c r="N1131" s="19"/>
      <c r="O1131" s="21"/>
      <c r="Q1131" s="7">
        <f>Table2[[#This Row],[Elevation
PILE TOP]]-Table2[[#This Row],[LENGTH(m.)
(Actual)]]</f>
        <v>0</v>
      </c>
      <c r="R1131" s="2"/>
      <c r="S1131" s="7">
        <f>Table2[[#This Row],[N]]+Table2[[#This Row],[Pile 
Deviation 
N (m)]]</f>
        <v>1511769.7250000001</v>
      </c>
      <c r="T1131" s="7">
        <f>Table2[[#This Row],[E]]+Table2[[#This Row],[Pile 
Deviation 
E (m)]]</f>
        <v>694056.81099999999</v>
      </c>
      <c r="W1131" s="7">
        <v>0.24</v>
      </c>
      <c r="X1131" s="2" t="s">
        <v>51</v>
      </c>
    </row>
    <row r="1132" spans="1:28" hidden="1" x14ac:dyDescent="0.65">
      <c r="A1132">
        <v>1130</v>
      </c>
      <c r="B1132" t="s">
        <v>29</v>
      </c>
      <c r="C1132" s="6">
        <v>1511769.5919999999</v>
      </c>
      <c r="D1132" s="6">
        <v>694038.47400000005</v>
      </c>
      <c r="E1132" s="2" t="s">
        <v>35</v>
      </c>
      <c r="F1132" s="1">
        <v>24</v>
      </c>
      <c r="G1132" s="2" t="s">
        <v>50</v>
      </c>
      <c r="J1132"/>
      <c r="K1132" s="19"/>
      <c r="L1132" s="21"/>
      <c r="M1132" s="27"/>
      <c r="N1132" s="19"/>
      <c r="O1132" s="21"/>
      <c r="Q1132" s="7">
        <f>Table2[[#This Row],[Elevation
PILE TOP]]-Table2[[#This Row],[LENGTH(m.)
(Actual)]]</f>
        <v>0</v>
      </c>
      <c r="R1132" s="2"/>
      <c r="S1132" s="7">
        <f>Table2[[#This Row],[N]]+Table2[[#This Row],[Pile 
Deviation 
N (m)]]</f>
        <v>1511769.5919999999</v>
      </c>
      <c r="T1132" s="7">
        <f>Table2[[#This Row],[E]]+Table2[[#This Row],[Pile 
Deviation 
E (m)]]</f>
        <v>694038.47400000005</v>
      </c>
      <c r="W1132" s="7">
        <v>0.24</v>
      </c>
      <c r="X1132" s="2" t="s">
        <v>51</v>
      </c>
    </row>
    <row r="1133" spans="1:28" ht="13.95" hidden="1" customHeight="1" x14ac:dyDescent="0.65">
      <c r="A1133">
        <v>1131</v>
      </c>
      <c r="B1133" t="s">
        <v>29</v>
      </c>
      <c r="C1133" s="6">
        <v>1511769.5589999999</v>
      </c>
      <c r="D1133" s="6">
        <v>694020.62800000003</v>
      </c>
      <c r="E1133" s="2" t="s">
        <v>35</v>
      </c>
      <c r="F1133" s="1">
        <v>24</v>
      </c>
      <c r="G1133" s="2" t="s">
        <v>50</v>
      </c>
      <c r="J1133">
        <v>6</v>
      </c>
      <c r="K1133" s="19"/>
      <c r="L1133" s="21">
        <v>0.47152777777777777</v>
      </c>
      <c r="M1133" s="27" t="s">
        <v>32</v>
      </c>
      <c r="N1133" s="19"/>
      <c r="O1133" s="21">
        <v>0.56666666666666665</v>
      </c>
      <c r="P1133" s="7">
        <v>-0.64200000000000002</v>
      </c>
      <c r="Q1133" s="7">
        <f>Table2[[#This Row],[Elevation
PILE TOP]]-Table2[[#This Row],[LENGTH(m.)
(Actual)]]</f>
        <v>-26.641999999999999</v>
      </c>
      <c r="R1133" s="2">
        <v>26</v>
      </c>
      <c r="S1133" s="7">
        <f>Table2[[#This Row],[N]]+Table2[[#This Row],[Pile 
Deviation 
N (m)]]</f>
        <v>1511769.5789999999</v>
      </c>
      <c r="T1133" s="7">
        <f>Table2[[#This Row],[E]]+Table2[[#This Row],[Pile 
Deviation 
E (m)]]</f>
        <v>694020.61800000002</v>
      </c>
      <c r="U1133" s="7">
        <v>0.02</v>
      </c>
      <c r="V1133" s="7">
        <v>-0.01</v>
      </c>
      <c r="W1133" s="7">
        <v>0.24</v>
      </c>
      <c r="X1133" s="2" t="s">
        <v>51</v>
      </c>
      <c r="Y1133" t="s">
        <v>52</v>
      </c>
      <c r="Z1133" s="9">
        <v>46195</v>
      </c>
      <c r="AB1133">
        <v>26</v>
      </c>
    </row>
    <row r="1134" spans="1:28" hidden="1" x14ac:dyDescent="0.65">
      <c r="A1134">
        <v>1132</v>
      </c>
      <c r="B1134" t="s">
        <v>29</v>
      </c>
      <c r="C1134" s="6">
        <v>1511769.531</v>
      </c>
      <c r="D1134" s="6">
        <v>694073.53099999996</v>
      </c>
      <c r="E1134" s="2" t="s">
        <v>35</v>
      </c>
      <c r="F1134" s="1">
        <v>24</v>
      </c>
      <c r="G1134" s="2" t="s">
        <v>50</v>
      </c>
      <c r="J1134"/>
      <c r="K1134" s="19"/>
      <c r="L1134" s="21"/>
      <c r="M1134" s="27"/>
      <c r="N1134" s="19"/>
      <c r="O1134" s="21"/>
      <c r="Q1134" s="7">
        <f>Table2[[#This Row],[Elevation
PILE TOP]]-Table2[[#This Row],[LENGTH(m.)
(Actual)]]</f>
        <v>0</v>
      </c>
      <c r="R1134" s="2"/>
      <c r="S1134" s="7">
        <f>Table2[[#This Row],[N]]+Table2[[#This Row],[Pile 
Deviation 
N (m)]]</f>
        <v>1511769.531</v>
      </c>
      <c r="T1134" s="7">
        <f>Table2[[#This Row],[E]]+Table2[[#This Row],[Pile 
Deviation 
E (m)]]</f>
        <v>694073.53099999996</v>
      </c>
      <c r="W1134" s="7">
        <v>0.24</v>
      </c>
      <c r="X1134" s="2" t="s">
        <v>51</v>
      </c>
    </row>
    <row r="1135" spans="1:28" ht="13.95" hidden="1" customHeight="1" x14ac:dyDescent="0.65">
      <c r="A1135">
        <v>1133</v>
      </c>
      <c r="B1135" t="s">
        <v>29</v>
      </c>
      <c r="C1135" s="6">
        <v>1511769.243</v>
      </c>
      <c r="D1135" s="6">
        <v>693836.66299999994</v>
      </c>
      <c r="E1135" s="2" t="s">
        <v>35</v>
      </c>
      <c r="F1135" s="1">
        <v>24</v>
      </c>
      <c r="G1135" s="2" t="s">
        <v>50</v>
      </c>
      <c r="J1135"/>
      <c r="K1135" s="19"/>
      <c r="L1135" s="21"/>
      <c r="M1135" s="27"/>
      <c r="N1135" s="19"/>
      <c r="O1135" s="21"/>
      <c r="Q1135" s="7">
        <f>Table2[[#This Row],[Elevation
PILE TOP]]-Table2[[#This Row],[LENGTH(m.)
(Actual)]]</f>
        <v>0</v>
      </c>
      <c r="R1135" s="2"/>
      <c r="S1135" s="7">
        <f>Table2[[#This Row],[N]]+Table2[[#This Row],[Pile 
Deviation 
N (m)]]</f>
        <v>1511769.243</v>
      </c>
      <c r="T1135" s="7">
        <f>Table2[[#This Row],[E]]+Table2[[#This Row],[Pile 
Deviation 
E (m)]]</f>
        <v>693836.66299999994</v>
      </c>
      <c r="W1135" s="7">
        <v>0.24</v>
      </c>
      <c r="X1135" s="2" t="s">
        <v>51</v>
      </c>
      <c r="AA1135" s="9">
        <v>46223</v>
      </c>
    </row>
    <row r="1136" spans="1:28" hidden="1" x14ac:dyDescent="0.65">
      <c r="A1136">
        <v>1134</v>
      </c>
      <c r="B1136" t="s">
        <v>29</v>
      </c>
      <c r="C1136" s="6">
        <v>1511769.0649999999</v>
      </c>
      <c r="D1136" s="6">
        <v>694071.22699999996</v>
      </c>
      <c r="E1136" s="2" t="s">
        <v>35</v>
      </c>
      <c r="F1136" s="1">
        <v>24</v>
      </c>
      <c r="G1136" s="2" t="s">
        <v>50</v>
      </c>
      <c r="J1136"/>
      <c r="K1136" s="19"/>
      <c r="L1136" s="21"/>
      <c r="M1136" s="27"/>
      <c r="N1136" s="19"/>
      <c r="O1136" s="21"/>
      <c r="Q1136" s="7">
        <f>Table2[[#This Row],[Elevation
PILE TOP]]-Table2[[#This Row],[LENGTH(m.)
(Actual)]]</f>
        <v>0</v>
      </c>
      <c r="R1136" s="2"/>
      <c r="S1136" s="7">
        <f>Table2[[#This Row],[N]]+Table2[[#This Row],[Pile 
Deviation 
N (m)]]</f>
        <v>1511769.0649999999</v>
      </c>
      <c r="T1136" s="7">
        <f>Table2[[#This Row],[E]]+Table2[[#This Row],[Pile 
Deviation 
E (m)]]</f>
        <v>694071.22699999996</v>
      </c>
      <c r="W1136" s="7">
        <v>0.24</v>
      </c>
      <c r="X1136" s="2" t="s">
        <v>51</v>
      </c>
    </row>
    <row r="1137" spans="1:28" ht="13.95" hidden="1" customHeight="1" x14ac:dyDescent="0.65">
      <c r="A1137">
        <v>1135</v>
      </c>
      <c r="B1137" t="s">
        <v>29</v>
      </c>
      <c r="C1137" s="6">
        <v>1511769.0319999999</v>
      </c>
      <c r="D1137" s="6">
        <v>694053.38</v>
      </c>
      <c r="E1137" s="2" t="s">
        <v>35</v>
      </c>
      <c r="F1137" s="1">
        <v>24</v>
      </c>
      <c r="G1137" s="2" t="s">
        <v>50</v>
      </c>
      <c r="J1137"/>
      <c r="K1137" s="19"/>
      <c r="L1137" s="21"/>
      <c r="M1137" s="27"/>
      <c r="N1137" s="19"/>
      <c r="O1137" s="21"/>
      <c r="Q1137" s="7">
        <f>Table2[[#This Row],[Elevation
PILE TOP]]-Table2[[#This Row],[LENGTH(m.)
(Actual)]]</f>
        <v>0</v>
      </c>
      <c r="R1137" s="2"/>
      <c r="S1137" s="7">
        <f>Table2[[#This Row],[N]]+Table2[[#This Row],[Pile 
Deviation 
N (m)]]</f>
        <v>1511769.0319999999</v>
      </c>
      <c r="T1137" s="7">
        <f>Table2[[#This Row],[E]]+Table2[[#This Row],[Pile 
Deviation 
E (m)]]</f>
        <v>694053.38</v>
      </c>
      <c r="W1137" s="7">
        <v>0.24</v>
      </c>
      <c r="X1137" s="2" t="s">
        <v>51</v>
      </c>
    </row>
    <row r="1138" spans="1:28" hidden="1" x14ac:dyDescent="0.65">
      <c r="A1138">
        <v>1136</v>
      </c>
      <c r="B1138" t="s">
        <v>29</v>
      </c>
      <c r="C1138" s="6">
        <v>1511768.9</v>
      </c>
      <c r="D1138" s="6">
        <v>694035.04399999999</v>
      </c>
      <c r="E1138" s="2" t="s">
        <v>35</v>
      </c>
      <c r="F1138" s="1">
        <v>24</v>
      </c>
      <c r="G1138" s="2" t="s">
        <v>50</v>
      </c>
      <c r="J1138"/>
      <c r="K1138" s="19"/>
      <c r="L1138" s="21"/>
      <c r="M1138" s="27"/>
      <c r="N1138" s="19"/>
      <c r="O1138" s="21"/>
      <c r="Q1138" s="7">
        <f>Table2[[#This Row],[Elevation
PILE TOP]]-Table2[[#This Row],[LENGTH(m.)
(Actual)]]</f>
        <v>0</v>
      </c>
      <c r="R1138" s="2"/>
      <c r="S1138" s="7">
        <f>Table2[[#This Row],[N]]+Table2[[#This Row],[Pile 
Deviation 
N (m)]]</f>
        <v>1511768.9</v>
      </c>
      <c r="T1138" s="7">
        <f>Table2[[#This Row],[E]]+Table2[[#This Row],[Pile 
Deviation 
E (m)]]</f>
        <v>694035.04399999999</v>
      </c>
      <c r="W1138" s="7">
        <v>0.24</v>
      </c>
      <c r="X1138" s="2" t="s">
        <v>51</v>
      </c>
    </row>
    <row r="1139" spans="1:28" ht="13.95" hidden="1" customHeight="1" x14ac:dyDescent="0.65">
      <c r="A1139">
        <v>1137</v>
      </c>
      <c r="B1139" t="s">
        <v>29</v>
      </c>
      <c r="C1139" s="6">
        <v>1511768.8659999999</v>
      </c>
      <c r="D1139" s="6">
        <v>694017.19700000004</v>
      </c>
      <c r="E1139" s="2" t="s">
        <v>35</v>
      </c>
      <c r="F1139" s="1">
        <v>24</v>
      </c>
      <c r="G1139" s="2" t="s">
        <v>50</v>
      </c>
      <c r="J1139">
        <v>6</v>
      </c>
      <c r="K1139" s="19"/>
      <c r="L1139" s="21">
        <v>0.38055555555555554</v>
      </c>
      <c r="M1139" s="27" t="s">
        <v>32</v>
      </c>
      <c r="N1139" s="19"/>
      <c r="O1139" s="21">
        <v>0.43055555555555558</v>
      </c>
      <c r="P1139" s="7">
        <v>-0.74099999999999999</v>
      </c>
      <c r="Q1139" s="7">
        <f>Table2[[#This Row],[Elevation
PILE TOP]]-Table2[[#This Row],[LENGTH(m.)
(Actual)]]</f>
        <v>-26.741</v>
      </c>
      <c r="R1139" s="2">
        <v>26</v>
      </c>
      <c r="S1139" s="7">
        <f>Table2[[#This Row],[N]]+Table2[[#This Row],[Pile 
Deviation 
N (m)]]</f>
        <v>1511768.8659999999</v>
      </c>
      <c r="T1139" s="7">
        <f>Table2[[#This Row],[E]]+Table2[[#This Row],[Pile 
Deviation 
E (m)]]</f>
        <v>694017.21700000006</v>
      </c>
      <c r="U1139" s="7">
        <v>0</v>
      </c>
      <c r="V1139" s="7">
        <v>0.02</v>
      </c>
      <c r="W1139" s="7">
        <v>0.24</v>
      </c>
      <c r="X1139" s="2" t="s">
        <v>51</v>
      </c>
      <c r="Y1139" t="s">
        <v>52</v>
      </c>
      <c r="Z1139" s="9">
        <v>46195</v>
      </c>
      <c r="AB1139">
        <v>25</v>
      </c>
    </row>
    <row r="1140" spans="1:28" hidden="1" x14ac:dyDescent="0.65">
      <c r="A1140">
        <v>1138</v>
      </c>
      <c r="B1140" t="s">
        <v>29</v>
      </c>
      <c r="C1140" s="6">
        <v>1511768.3759999999</v>
      </c>
      <c r="D1140" s="6">
        <v>693840.054</v>
      </c>
      <c r="E1140" s="2" t="s">
        <v>35</v>
      </c>
      <c r="F1140" s="1">
        <v>24</v>
      </c>
      <c r="G1140" s="2" t="s">
        <v>50</v>
      </c>
      <c r="J1140"/>
      <c r="K1140" s="19"/>
      <c r="L1140" s="21"/>
      <c r="M1140" s="27"/>
      <c r="N1140" s="19"/>
      <c r="O1140" s="21"/>
      <c r="Q1140" s="7">
        <f>Table2[[#This Row],[Elevation
PILE TOP]]-Table2[[#This Row],[LENGTH(m.)
(Actual)]]</f>
        <v>0</v>
      </c>
      <c r="R1140" s="2"/>
      <c r="S1140" s="7">
        <f>Table2[[#This Row],[N]]+Table2[[#This Row],[Pile 
Deviation 
N (m)]]</f>
        <v>1511768.3759999999</v>
      </c>
      <c r="T1140" s="7">
        <f>Table2[[#This Row],[E]]+Table2[[#This Row],[Pile 
Deviation 
E (m)]]</f>
        <v>693840.054</v>
      </c>
      <c r="W1140" s="7">
        <v>0.24</v>
      </c>
      <c r="X1140" s="2" t="s">
        <v>51</v>
      </c>
      <c r="AA1140" s="9">
        <v>46223</v>
      </c>
    </row>
    <row r="1141" spans="1:28" ht="13.95" hidden="1" customHeight="1" x14ac:dyDescent="0.65">
      <c r="A1141">
        <v>1139</v>
      </c>
      <c r="B1141" t="s">
        <v>29</v>
      </c>
      <c r="C1141" s="6">
        <v>1511768.3729999999</v>
      </c>
      <c r="D1141" s="6">
        <v>694067.79599999997</v>
      </c>
      <c r="E1141" s="2" t="s">
        <v>35</v>
      </c>
      <c r="F1141" s="1">
        <v>24</v>
      </c>
      <c r="G1141" s="2" t="s">
        <v>50</v>
      </c>
      <c r="J1141"/>
      <c r="K1141" s="19"/>
      <c r="L1141" s="21"/>
      <c r="M1141" s="27"/>
      <c r="N1141" s="19"/>
      <c r="O1141" s="21"/>
      <c r="Q1141" s="7">
        <f>Table2[[#This Row],[Elevation
PILE TOP]]-Table2[[#This Row],[LENGTH(m.)
(Actual)]]</f>
        <v>0</v>
      </c>
      <c r="R1141" s="2"/>
      <c r="S1141" s="7">
        <f>Table2[[#This Row],[N]]+Table2[[#This Row],[Pile 
Deviation 
N (m)]]</f>
        <v>1511768.3729999999</v>
      </c>
      <c r="T1141" s="7">
        <f>Table2[[#This Row],[E]]+Table2[[#This Row],[Pile 
Deviation 
E (m)]]</f>
        <v>694067.79599999997</v>
      </c>
      <c r="W1141" s="7">
        <v>0.24</v>
      </c>
      <c r="X1141" s="2" t="s">
        <v>51</v>
      </c>
    </row>
    <row r="1142" spans="1:28" hidden="1" x14ac:dyDescent="0.65">
      <c r="A1142">
        <v>1140</v>
      </c>
      <c r="B1142" t="s">
        <v>29</v>
      </c>
      <c r="C1142" s="6">
        <v>1511768.3389999999</v>
      </c>
      <c r="D1142" s="6">
        <v>694049.94900000002</v>
      </c>
      <c r="E1142" s="2" t="s">
        <v>35</v>
      </c>
      <c r="F1142" s="1">
        <v>24</v>
      </c>
      <c r="G1142" s="2" t="s">
        <v>50</v>
      </c>
      <c r="J1142"/>
      <c r="K1142" s="19"/>
      <c r="L1142" s="21"/>
      <c r="M1142" s="27"/>
      <c r="N1142" s="19"/>
      <c r="O1142" s="21"/>
      <c r="Q1142" s="7">
        <f>Table2[[#This Row],[Elevation
PILE TOP]]-Table2[[#This Row],[LENGTH(m.)
(Actual)]]</f>
        <v>0</v>
      </c>
      <c r="R1142" s="2"/>
      <c r="S1142" s="7">
        <f>Table2[[#This Row],[N]]+Table2[[#This Row],[Pile 
Deviation 
N (m)]]</f>
        <v>1511768.3389999999</v>
      </c>
      <c r="T1142" s="7">
        <f>Table2[[#This Row],[E]]+Table2[[#This Row],[Pile 
Deviation 
E (m)]]</f>
        <v>694049.94900000002</v>
      </c>
      <c r="W1142" s="7">
        <v>0.24</v>
      </c>
      <c r="X1142" s="2" t="s">
        <v>51</v>
      </c>
    </row>
    <row r="1143" spans="1:28" ht="13.95" hidden="1" customHeight="1" x14ac:dyDescent="0.65">
      <c r="A1143">
        <v>1141</v>
      </c>
      <c r="B1143" t="s">
        <v>29</v>
      </c>
      <c r="C1143" s="6">
        <v>1511768.2069999999</v>
      </c>
      <c r="D1143" s="6">
        <v>694031.61300000001</v>
      </c>
      <c r="E1143" s="2" t="s">
        <v>35</v>
      </c>
      <c r="F1143" s="1">
        <v>24</v>
      </c>
      <c r="G1143" s="2" t="s">
        <v>50</v>
      </c>
      <c r="J1143">
        <v>6</v>
      </c>
      <c r="K1143" s="19"/>
      <c r="L1143" s="21">
        <v>0.43402777777777773</v>
      </c>
      <c r="M1143" s="27" t="s">
        <v>32</v>
      </c>
      <c r="N1143" s="19"/>
      <c r="O1143" s="21">
        <v>0.45833333333333331</v>
      </c>
      <c r="P1143" s="7">
        <v>0.64200000000000002</v>
      </c>
      <c r="Q1143" s="7">
        <f>Table2[[#This Row],[Elevation
PILE TOP]]-Table2[[#This Row],[LENGTH(m.)
(Actual)]]</f>
        <v>-25.358000000000001</v>
      </c>
      <c r="R1143" s="2">
        <v>26</v>
      </c>
      <c r="S1143" s="7">
        <f>Table2[[#This Row],[N]]+Table2[[#This Row],[Pile 
Deviation 
N (m)]]</f>
        <v>1511768.1969999999</v>
      </c>
      <c r="T1143" s="7">
        <f>Table2[[#This Row],[E]]+Table2[[#This Row],[Pile 
Deviation 
E (m)]]</f>
        <v>694031.603</v>
      </c>
      <c r="U1143" s="7">
        <v>-0.01</v>
      </c>
      <c r="V1143" s="7">
        <v>-0.01</v>
      </c>
      <c r="W1143" s="7">
        <v>0.24</v>
      </c>
      <c r="X1143" s="2" t="s">
        <v>51</v>
      </c>
      <c r="Y1143" t="s">
        <v>52</v>
      </c>
      <c r="Z1143" s="9">
        <v>46196</v>
      </c>
      <c r="AB1143">
        <v>31</v>
      </c>
    </row>
    <row r="1144" spans="1:28" hidden="1" x14ac:dyDescent="0.65">
      <c r="A1144">
        <v>1142</v>
      </c>
      <c r="B1144" t="s">
        <v>29</v>
      </c>
      <c r="C1144" s="6">
        <v>1511768.173</v>
      </c>
      <c r="D1144" s="6">
        <v>694013.76599999995</v>
      </c>
      <c r="E1144" s="2" t="s">
        <v>35</v>
      </c>
      <c r="F1144" s="1">
        <v>24</v>
      </c>
      <c r="G1144" s="2" t="s">
        <v>50</v>
      </c>
      <c r="J1144">
        <v>6</v>
      </c>
      <c r="K1144" s="19"/>
      <c r="L1144" s="21">
        <v>0.60625000000000007</v>
      </c>
      <c r="M1144" s="27" t="s">
        <v>32</v>
      </c>
      <c r="N1144" s="19"/>
      <c r="O1144" s="21">
        <v>0.6333333333333333</v>
      </c>
      <c r="Q1144" s="7">
        <f>Table2[[#This Row],[Elevation
PILE TOP]]-Table2[[#This Row],[LENGTH(m.)
(Actual)]]</f>
        <v>-26</v>
      </c>
      <c r="R1144" s="2">
        <v>26</v>
      </c>
      <c r="S1144" s="7">
        <f>Table2[[#This Row],[N]]+Table2[[#This Row],[Pile 
Deviation 
N (m)]]</f>
        <v>1511768.1429999999</v>
      </c>
      <c r="T1144" s="7">
        <f>Table2[[#This Row],[E]]+Table2[[#This Row],[Pile 
Deviation 
E (m)]]</f>
        <v>694013.7159999999</v>
      </c>
      <c r="U1144" s="7">
        <v>-0.03</v>
      </c>
      <c r="V1144" s="7">
        <v>-0.05</v>
      </c>
      <c r="W1144" s="7">
        <v>0.24</v>
      </c>
      <c r="X1144" s="2" t="s">
        <v>51</v>
      </c>
      <c r="Y1144" t="s">
        <v>52</v>
      </c>
      <c r="Z1144" s="9">
        <v>46194</v>
      </c>
      <c r="AB1144">
        <v>24</v>
      </c>
    </row>
    <row r="1145" spans="1:28" ht="13.95" hidden="1" customHeight="1" x14ac:dyDescent="0.65">
      <c r="A1145">
        <v>1143</v>
      </c>
      <c r="B1145" t="s">
        <v>29</v>
      </c>
      <c r="C1145" s="6">
        <v>1511767.68</v>
      </c>
      <c r="D1145" s="6">
        <v>694064.36499999999</v>
      </c>
      <c r="E1145" s="2" t="s">
        <v>35</v>
      </c>
      <c r="F1145" s="1">
        <v>24</v>
      </c>
      <c r="G1145" s="2" t="s">
        <v>50</v>
      </c>
      <c r="J1145"/>
      <c r="K1145" s="19"/>
      <c r="L1145" s="21"/>
      <c r="M1145" s="27"/>
      <c r="N1145" s="19"/>
      <c r="O1145" s="21"/>
      <c r="Q1145" s="7">
        <f>Table2[[#This Row],[Elevation
PILE TOP]]-Table2[[#This Row],[LENGTH(m.)
(Actual)]]</f>
        <v>0</v>
      </c>
      <c r="R1145" s="2"/>
      <c r="S1145" s="7">
        <f>Table2[[#This Row],[N]]+Table2[[#This Row],[Pile 
Deviation 
N (m)]]</f>
        <v>1511767.68</v>
      </c>
      <c r="T1145" s="7">
        <f>Table2[[#This Row],[E]]+Table2[[#This Row],[Pile 
Deviation 
E (m)]]</f>
        <v>694064.36499999999</v>
      </c>
      <c r="W1145" s="7">
        <v>0.24</v>
      </c>
      <c r="X1145" s="2" t="s">
        <v>51</v>
      </c>
    </row>
    <row r="1146" spans="1:28" hidden="1" x14ac:dyDescent="0.65">
      <c r="A1146">
        <v>1144</v>
      </c>
      <c r="B1146" t="s">
        <v>29</v>
      </c>
      <c r="C1146" s="6">
        <v>1511767.6459999999</v>
      </c>
      <c r="D1146" s="6">
        <v>694046.51899999997</v>
      </c>
      <c r="E1146" s="2" t="s">
        <v>35</v>
      </c>
      <c r="F1146" s="1">
        <v>24</v>
      </c>
      <c r="G1146" s="2" t="s">
        <v>50</v>
      </c>
      <c r="J1146"/>
      <c r="K1146" s="19"/>
      <c r="L1146" s="21"/>
      <c r="M1146" s="27"/>
      <c r="N1146" s="19"/>
      <c r="O1146" s="21"/>
      <c r="Q1146" s="7">
        <f>Table2[[#This Row],[Elevation
PILE TOP]]-Table2[[#This Row],[LENGTH(m.)
(Actual)]]</f>
        <v>0</v>
      </c>
      <c r="R1146" s="2"/>
      <c r="S1146" s="7">
        <f>Table2[[#This Row],[N]]+Table2[[#This Row],[Pile 
Deviation 
N (m)]]</f>
        <v>1511767.6459999999</v>
      </c>
      <c r="T1146" s="7">
        <f>Table2[[#This Row],[E]]+Table2[[#This Row],[Pile 
Deviation 
E (m)]]</f>
        <v>694046.51899999997</v>
      </c>
      <c r="W1146" s="7">
        <v>0.24</v>
      </c>
      <c r="X1146" s="2" t="s">
        <v>51</v>
      </c>
    </row>
    <row r="1147" spans="1:28" ht="13.95" hidden="1" customHeight="1" x14ac:dyDescent="0.65">
      <c r="A1147">
        <v>1145</v>
      </c>
      <c r="B1147" t="s">
        <v>29</v>
      </c>
      <c r="C1147" s="6">
        <v>1511767.514</v>
      </c>
      <c r="D1147" s="6">
        <v>694028.18200000003</v>
      </c>
      <c r="E1147" s="2" t="s">
        <v>35</v>
      </c>
      <c r="F1147" s="1">
        <v>24</v>
      </c>
      <c r="G1147" s="2" t="s">
        <v>50</v>
      </c>
      <c r="J1147">
        <v>6</v>
      </c>
      <c r="K1147" s="19"/>
      <c r="L1147" s="21">
        <v>0.39583333333333331</v>
      </c>
      <c r="M1147" s="27" t="s">
        <v>32</v>
      </c>
      <c r="N1147" s="19"/>
      <c r="O1147" s="21">
        <v>0.42222222222222222</v>
      </c>
      <c r="P1147" s="7">
        <v>1.014</v>
      </c>
      <c r="Q1147" s="7">
        <f>Table2[[#This Row],[Elevation
PILE TOP]]-Table2[[#This Row],[LENGTH(m.)
(Actual)]]</f>
        <v>-24.986000000000001</v>
      </c>
      <c r="R1147" s="2">
        <v>26</v>
      </c>
      <c r="S1147" s="7">
        <f>Table2[[#This Row],[N]]+Table2[[#This Row],[Pile 
Deviation 
N (m)]]</f>
        <v>1511767.524</v>
      </c>
      <c r="T1147" s="7">
        <f>Table2[[#This Row],[E]]+Table2[[#This Row],[Pile 
Deviation 
E (m)]]</f>
        <v>694028.19200000004</v>
      </c>
      <c r="U1147" s="7">
        <v>0.01</v>
      </c>
      <c r="V1147" s="7">
        <v>0.01</v>
      </c>
      <c r="W1147" s="7">
        <v>0.24</v>
      </c>
      <c r="X1147" s="2" t="s">
        <v>51</v>
      </c>
      <c r="Y1147" t="s">
        <v>52</v>
      </c>
      <c r="Z1147" s="9">
        <v>46196</v>
      </c>
      <c r="AB1147">
        <v>30</v>
      </c>
    </row>
    <row r="1148" spans="1:28" hidden="1" x14ac:dyDescent="0.65">
      <c r="A1148">
        <v>1146</v>
      </c>
      <c r="B1148" t="s">
        <v>29</v>
      </c>
      <c r="C1148" s="6">
        <v>1511767.51</v>
      </c>
      <c r="D1148" s="6">
        <v>693843.44499999995</v>
      </c>
      <c r="E1148" s="2" t="s">
        <v>35</v>
      </c>
      <c r="F1148" s="1">
        <v>24</v>
      </c>
      <c r="G1148" s="2" t="s">
        <v>50</v>
      </c>
      <c r="J1148"/>
      <c r="K1148" s="19"/>
      <c r="L1148" s="21"/>
      <c r="M1148" s="27"/>
      <c r="N1148" s="19"/>
      <c r="O1148" s="21"/>
      <c r="Q1148" s="7">
        <f>Table2[[#This Row],[Elevation
PILE TOP]]-Table2[[#This Row],[LENGTH(m.)
(Actual)]]</f>
        <v>0</v>
      </c>
      <c r="R1148" s="2"/>
      <c r="S1148" s="7">
        <f>Table2[[#This Row],[N]]+Table2[[#This Row],[Pile 
Deviation 
N (m)]]</f>
        <v>1511767.51</v>
      </c>
      <c r="T1148" s="7">
        <f>Table2[[#This Row],[E]]+Table2[[#This Row],[Pile 
Deviation 
E (m)]]</f>
        <v>693843.44499999995</v>
      </c>
      <c r="W1148" s="7">
        <v>0.24</v>
      </c>
      <c r="X1148" s="2" t="s">
        <v>51</v>
      </c>
      <c r="AA1148" s="9">
        <v>46223</v>
      </c>
    </row>
    <row r="1149" spans="1:28" ht="13.95" hidden="1" customHeight="1" x14ac:dyDescent="0.65">
      <c r="A1149">
        <v>1147</v>
      </c>
      <c r="B1149" t="s">
        <v>29</v>
      </c>
      <c r="C1149" s="6">
        <v>1511767.48</v>
      </c>
      <c r="D1149" s="6">
        <v>694010.33499999996</v>
      </c>
      <c r="E1149" s="2" t="s">
        <v>35</v>
      </c>
      <c r="F1149" s="1">
        <v>24</v>
      </c>
      <c r="G1149" s="2" t="s">
        <v>50</v>
      </c>
      <c r="J1149">
        <v>6</v>
      </c>
      <c r="K1149" s="19"/>
      <c r="L1149" s="21">
        <v>0.55486111111111114</v>
      </c>
      <c r="M1149" s="27" t="s">
        <v>32</v>
      </c>
      <c r="N1149" s="19"/>
      <c r="O1149" s="21">
        <v>0.58611111111111114</v>
      </c>
      <c r="Q1149" s="7">
        <f>Table2[[#This Row],[Elevation
PILE TOP]]-Table2[[#This Row],[LENGTH(m.)
(Actual)]]</f>
        <v>-26</v>
      </c>
      <c r="R1149" s="2">
        <v>26</v>
      </c>
      <c r="S1149" s="7">
        <f>Table2[[#This Row],[N]]+Table2[[#This Row],[Pile 
Deviation 
N (m)]]</f>
        <v>1511767.46</v>
      </c>
      <c r="T1149" s="7">
        <f>Table2[[#This Row],[E]]+Table2[[#This Row],[Pile 
Deviation 
E (m)]]</f>
        <v>694010.32499999995</v>
      </c>
      <c r="U1149" s="7">
        <v>-0.02</v>
      </c>
      <c r="V1149" s="7">
        <v>-0.01</v>
      </c>
      <c r="W1149" s="7">
        <v>0.24</v>
      </c>
      <c r="X1149" s="2" t="s">
        <v>51</v>
      </c>
      <c r="Y1149" t="s">
        <v>52</v>
      </c>
      <c r="Z1149" s="9">
        <v>46194</v>
      </c>
      <c r="AB1149">
        <v>23</v>
      </c>
    </row>
    <row r="1150" spans="1:28" hidden="1" x14ac:dyDescent="0.65">
      <c r="A1150">
        <v>1148</v>
      </c>
      <c r="B1150" t="s">
        <v>29</v>
      </c>
      <c r="C1150" s="6">
        <v>1511766.987</v>
      </c>
      <c r="D1150" s="6">
        <v>694060.93400000001</v>
      </c>
      <c r="E1150" s="2" t="s">
        <v>35</v>
      </c>
      <c r="F1150" s="1">
        <v>24</v>
      </c>
      <c r="G1150" s="2" t="s">
        <v>50</v>
      </c>
      <c r="J1150"/>
      <c r="K1150" s="19"/>
      <c r="L1150" s="21"/>
      <c r="M1150" s="27"/>
      <c r="N1150" s="19"/>
      <c r="O1150" s="21"/>
      <c r="Q1150" s="7">
        <f>Table2[[#This Row],[Elevation
PILE TOP]]-Table2[[#This Row],[LENGTH(m.)
(Actual)]]</f>
        <v>0</v>
      </c>
      <c r="R1150" s="2"/>
      <c r="S1150" s="7">
        <f>Table2[[#This Row],[N]]+Table2[[#This Row],[Pile 
Deviation 
N (m)]]</f>
        <v>1511766.987</v>
      </c>
      <c r="T1150" s="7">
        <f>Table2[[#This Row],[E]]+Table2[[#This Row],[Pile 
Deviation 
E (m)]]</f>
        <v>694060.93400000001</v>
      </c>
      <c r="W1150" s="7">
        <v>0.24</v>
      </c>
      <c r="X1150" s="2" t="s">
        <v>51</v>
      </c>
    </row>
    <row r="1151" spans="1:28" ht="13.95" hidden="1" customHeight="1" x14ac:dyDescent="0.65">
      <c r="A1151">
        <v>1149</v>
      </c>
      <c r="B1151" t="s">
        <v>29</v>
      </c>
      <c r="C1151" s="6">
        <v>1511766.953</v>
      </c>
      <c r="D1151" s="6">
        <v>694043.08799999999</v>
      </c>
      <c r="E1151" s="2" t="s">
        <v>35</v>
      </c>
      <c r="F1151" s="1">
        <v>24</v>
      </c>
      <c r="G1151" s="2" t="s">
        <v>50</v>
      </c>
      <c r="J1151"/>
      <c r="K1151" s="19"/>
      <c r="L1151" s="21"/>
      <c r="M1151" s="27"/>
      <c r="N1151" s="19"/>
      <c r="O1151" s="21"/>
      <c r="Q1151" s="7">
        <f>Table2[[#This Row],[Elevation
PILE TOP]]-Table2[[#This Row],[LENGTH(m.)
(Actual)]]</f>
        <v>0</v>
      </c>
      <c r="R1151" s="2"/>
      <c r="S1151" s="7">
        <f>Table2[[#This Row],[N]]+Table2[[#This Row],[Pile 
Deviation 
N (m)]]</f>
        <v>1511766.953</v>
      </c>
      <c r="T1151" s="7">
        <f>Table2[[#This Row],[E]]+Table2[[#This Row],[Pile 
Deviation 
E (m)]]</f>
        <v>694043.08799999999</v>
      </c>
      <c r="W1151" s="7">
        <v>0.24</v>
      </c>
      <c r="X1151" s="2" t="s">
        <v>51</v>
      </c>
    </row>
    <row r="1152" spans="1:28" hidden="1" x14ac:dyDescent="0.65">
      <c r="A1152">
        <v>1150</v>
      </c>
      <c r="B1152" t="s">
        <v>29</v>
      </c>
      <c r="C1152" s="6">
        <v>1511766.821</v>
      </c>
      <c r="D1152" s="6">
        <v>694024.75100000005</v>
      </c>
      <c r="E1152" s="2" t="s">
        <v>35</v>
      </c>
      <c r="F1152" s="1">
        <v>24</v>
      </c>
      <c r="G1152" s="2" t="s">
        <v>50</v>
      </c>
      <c r="J1152">
        <v>6</v>
      </c>
      <c r="K1152" s="19"/>
      <c r="L1152" s="21">
        <v>0.47222222222222227</v>
      </c>
      <c r="M1152" s="27" t="s">
        <v>32</v>
      </c>
      <c r="N1152" s="19"/>
      <c r="O1152" s="21">
        <v>0.4993055555555555</v>
      </c>
      <c r="P1152" s="7">
        <v>0.33700000000000002</v>
      </c>
      <c r="Q1152" s="7">
        <f>Table2[[#This Row],[Elevation
PILE TOP]]-Table2[[#This Row],[LENGTH(m.)
(Actual)]]</f>
        <v>-25.663</v>
      </c>
      <c r="R1152" s="2">
        <v>26</v>
      </c>
      <c r="S1152" s="7">
        <f>Table2[[#This Row],[N]]+Table2[[#This Row],[Pile 
Deviation 
N (m)]]</f>
        <v>1511766.791</v>
      </c>
      <c r="T1152" s="7">
        <f>Table2[[#This Row],[E]]+Table2[[#This Row],[Pile 
Deviation 
E (m)]]</f>
        <v>694024.71100000001</v>
      </c>
      <c r="U1152" s="7">
        <v>-0.03</v>
      </c>
      <c r="V1152" s="7">
        <v>-0.04</v>
      </c>
      <c r="W1152" s="7">
        <v>0.24</v>
      </c>
      <c r="X1152" s="2" t="s">
        <v>51</v>
      </c>
      <c r="Y1152" t="s">
        <v>52</v>
      </c>
      <c r="Z1152" s="9">
        <v>46196</v>
      </c>
      <c r="AB1152">
        <v>32</v>
      </c>
    </row>
    <row r="1153" spans="1:28" ht="13.95" hidden="1" customHeight="1" x14ac:dyDescent="0.65">
      <c r="A1153">
        <v>1151</v>
      </c>
      <c r="B1153" t="s">
        <v>29</v>
      </c>
      <c r="C1153" s="6">
        <v>1511766.7879999999</v>
      </c>
      <c r="D1153" s="6">
        <v>694006.90500000003</v>
      </c>
      <c r="E1153" s="2" t="s">
        <v>35</v>
      </c>
      <c r="F1153" s="1">
        <v>24</v>
      </c>
      <c r="G1153" s="2" t="s">
        <v>50</v>
      </c>
      <c r="J1153">
        <v>6</v>
      </c>
      <c r="K1153" s="19"/>
      <c r="L1153" s="21">
        <v>0.40972222222222227</v>
      </c>
      <c r="M1153" s="27" t="s">
        <v>32</v>
      </c>
      <c r="N1153" s="19"/>
      <c r="O1153" s="21">
        <v>0.44513888888888892</v>
      </c>
      <c r="P1153" s="7">
        <v>0.35699999999999998</v>
      </c>
      <c r="Q1153" s="7">
        <f>Table2[[#This Row],[Elevation
PILE TOP]]-Table2[[#This Row],[LENGTH(m.)
(Actual)]]</f>
        <v>-25.643000000000001</v>
      </c>
      <c r="R1153" s="2">
        <v>26</v>
      </c>
      <c r="S1153" s="7">
        <f>Table2[[#This Row],[N]]+Table2[[#This Row],[Pile 
Deviation 
N (m)]]</f>
        <v>1511766.818</v>
      </c>
      <c r="T1153" s="7">
        <f>Table2[[#This Row],[E]]+Table2[[#This Row],[Pile 
Deviation 
E (m)]]</f>
        <v>694006.90500000003</v>
      </c>
      <c r="U1153" s="7">
        <v>0.03</v>
      </c>
      <c r="V1153" s="7">
        <v>0</v>
      </c>
      <c r="W1153" s="7">
        <v>0.24</v>
      </c>
      <c r="X1153" s="2" t="s">
        <v>51</v>
      </c>
      <c r="Y1153" t="s">
        <v>52</v>
      </c>
      <c r="Z1153" s="9">
        <v>46194</v>
      </c>
      <c r="AB1153">
        <v>22</v>
      </c>
    </row>
    <row r="1154" spans="1:28" hidden="1" x14ac:dyDescent="0.65">
      <c r="A1154">
        <v>1152</v>
      </c>
      <c r="B1154" t="s">
        <v>29</v>
      </c>
      <c r="C1154" s="6">
        <v>1511766.6440000001</v>
      </c>
      <c r="D1154" s="6">
        <v>693846.83600000001</v>
      </c>
      <c r="E1154" s="2" t="s">
        <v>35</v>
      </c>
      <c r="F1154" s="1">
        <v>24</v>
      </c>
      <c r="G1154" s="2" t="s">
        <v>50</v>
      </c>
      <c r="J1154"/>
      <c r="K1154" s="19"/>
      <c r="L1154" s="21"/>
      <c r="M1154" s="27"/>
      <c r="N1154" s="19"/>
      <c r="O1154" s="21"/>
      <c r="Q1154" s="7">
        <f>Table2[[#This Row],[Elevation
PILE TOP]]-Table2[[#This Row],[LENGTH(m.)
(Actual)]]</f>
        <v>0</v>
      </c>
      <c r="R1154" s="2"/>
      <c r="S1154" s="7">
        <f>Table2[[#This Row],[N]]+Table2[[#This Row],[Pile 
Deviation 
N (m)]]</f>
        <v>1511766.6440000001</v>
      </c>
      <c r="T1154" s="7">
        <f>Table2[[#This Row],[E]]+Table2[[#This Row],[Pile 
Deviation 
E (m)]]</f>
        <v>693846.83600000001</v>
      </c>
      <c r="W1154" s="7">
        <v>0.24</v>
      </c>
      <c r="X1154" s="2" t="s">
        <v>51</v>
      </c>
      <c r="AA1154" s="9">
        <v>46224</v>
      </c>
    </row>
    <row r="1155" spans="1:28" ht="13.95" hidden="1" customHeight="1" x14ac:dyDescent="0.65">
      <c r="A1155">
        <v>1153</v>
      </c>
      <c r="B1155" t="s">
        <v>29</v>
      </c>
      <c r="C1155" s="6">
        <v>1511766.294</v>
      </c>
      <c r="D1155" s="6">
        <v>694057.50399999996</v>
      </c>
      <c r="E1155" s="2" t="s">
        <v>35</v>
      </c>
      <c r="F1155" s="1">
        <v>24</v>
      </c>
      <c r="G1155" s="2" t="s">
        <v>50</v>
      </c>
      <c r="J1155"/>
      <c r="K1155" s="19"/>
      <c r="L1155" s="21"/>
      <c r="M1155" s="27"/>
      <c r="N1155" s="19"/>
      <c r="O1155" s="21"/>
      <c r="Q1155" s="7">
        <f>Table2[[#This Row],[Elevation
PILE TOP]]-Table2[[#This Row],[LENGTH(m.)
(Actual)]]</f>
        <v>0</v>
      </c>
      <c r="R1155" s="2"/>
      <c r="S1155" s="7">
        <f>Table2[[#This Row],[N]]+Table2[[#This Row],[Pile 
Deviation 
N (m)]]</f>
        <v>1511766.294</v>
      </c>
      <c r="T1155" s="7">
        <f>Table2[[#This Row],[E]]+Table2[[#This Row],[Pile 
Deviation 
E (m)]]</f>
        <v>694057.50399999996</v>
      </c>
      <c r="W1155" s="7">
        <v>0.24</v>
      </c>
      <c r="X1155" s="2" t="s">
        <v>51</v>
      </c>
    </row>
    <row r="1156" spans="1:28" hidden="1" x14ac:dyDescent="0.65">
      <c r="A1156">
        <v>1154</v>
      </c>
      <c r="B1156" t="s">
        <v>29</v>
      </c>
      <c r="C1156" s="6">
        <v>1511766.128</v>
      </c>
      <c r="D1156" s="6">
        <v>694021.321</v>
      </c>
      <c r="E1156" s="2" t="s">
        <v>35</v>
      </c>
      <c r="F1156" s="1">
        <v>24</v>
      </c>
      <c r="G1156" s="2" t="s">
        <v>50</v>
      </c>
      <c r="J1156">
        <v>6</v>
      </c>
      <c r="K1156" s="19"/>
      <c r="L1156" s="21">
        <v>0.56388888888888888</v>
      </c>
      <c r="M1156" s="27" t="s">
        <v>32</v>
      </c>
      <c r="N1156" s="19"/>
      <c r="O1156" s="21">
        <v>0.58750000000000002</v>
      </c>
      <c r="P1156" s="7">
        <v>0.68899999999999995</v>
      </c>
      <c r="Q1156" s="7">
        <f>Table2[[#This Row],[Elevation
PILE TOP]]-Table2[[#This Row],[LENGTH(m.)
(Actual)]]</f>
        <v>-25.311</v>
      </c>
      <c r="R1156" s="2">
        <v>26</v>
      </c>
      <c r="S1156" s="7">
        <f>Table2[[#This Row],[N]]+Table2[[#This Row],[Pile 
Deviation 
N (m)]]</f>
        <v>1511766.148</v>
      </c>
      <c r="T1156" s="7">
        <f>Table2[[#This Row],[E]]+Table2[[#This Row],[Pile 
Deviation 
E (m)]]</f>
        <v>694021.30099999998</v>
      </c>
      <c r="U1156" s="7">
        <v>0.02</v>
      </c>
      <c r="V1156" s="7">
        <v>-0.02</v>
      </c>
      <c r="W1156" s="7">
        <v>0.24</v>
      </c>
      <c r="X1156" s="2" t="s">
        <v>51</v>
      </c>
      <c r="Y1156" t="s">
        <v>52</v>
      </c>
      <c r="Z1156" s="9">
        <v>46196</v>
      </c>
      <c r="AB1156">
        <v>33</v>
      </c>
    </row>
    <row r="1157" spans="1:28" ht="13.95" hidden="1" customHeight="1" x14ac:dyDescent="0.65">
      <c r="A1157">
        <v>1155</v>
      </c>
      <c r="B1157" t="s">
        <v>29</v>
      </c>
      <c r="C1157" s="6">
        <v>1511766.095</v>
      </c>
      <c r="D1157" s="6">
        <v>694003.47400000005</v>
      </c>
      <c r="E1157" s="2" t="s">
        <v>35</v>
      </c>
      <c r="F1157" s="1">
        <v>24</v>
      </c>
      <c r="G1157" s="2" t="s">
        <v>50</v>
      </c>
      <c r="J1157">
        <v>6</v>
      </c>
      <c r="K1157" s="19"/>
      <c r="L1157" s="21">
        <v>0.36805555555555558</v>
      </c>
      <c r="M1157" s="27" t="s">
        <v>32</v>
      </c>
      <c r="N1157" s="19"/>
      <c r="O1157" s="21">
        <v>0.40347222222222223</v>
      </c>
      <c r="Q1157" s="7">
        <f>Table2[[#This Row],[Elevation
PILE TOP]]-Table2[[#This Row],[LENGTH(m.)
(Actual)]]</f>
        <v>-26</v>
      </c>
      <c r="R1157" s="2">
        <v>26</v>
      </c>
      <c r="S1157" s="7">
        <f>Table2[[#This Row],[N]]+Table2[[#This Row],[Pile 
Deviation 
N (m)]]</f>
        <v>1511766.085</v>
      </c>
      <c r="T1157" s="7">
        <f>Table2[[#This Row],[E]]+Table2[[#This Row],[Pile 
Deviation 
E (m)]]</f>
        <v>694003.43400000001</v>
      </c>
      <c r="U1157" s="7">
        <v>-0.01</v>
      </c>
      <c r="V1157" s="7">
        <v>-0.04</v>
      </c>
      <c r="W1157" s="7">
        <v>0.24</v>
      </c>
      <c r="X1157" s="2" t="s">
        <v>51</v>
      </c>
      <c r="Y1157" t="s">
        <v>52</v>
      </c>
      <c r="Z1157" s="9">
        <v>46194</v>
      </c>
      <c r="AB1157">
        <v>21</v>
      </c>
    </row>
    <row r="1158" spans="1:28" hidden="1" x14ac:dyDescent="0.65">
      <c r="A1158">
        <v>1156</v>
      </c>
      <c r="B1158" t="s">
        <v>29</v>
      </c>
      <c r="C1158" s="6">
        <v>1511765.777</v>
      </c>
      <c r="D1158" s="6">
        <v>693850.22699999996</v>
      </c>
      <c r="E1158" s="2" t="s">
        <v>35</v>
      </c>
      <c r="F1158" s="1">
        <v>24</v>
      </c>
      <c r="G1158" s="2" t="s">
        <v>50</v>
      </c>
      <c r="J1158"/>
      <c r="K1158" s="19"/>
      <c r="L1158" s="21"/>
      <c r="M1158" s="27"/>
      <c r="N1158" s="19"/>
      <c r="O1158" s="21"/>
      <c r="Q1158" s="7">
        <f>Table2[[#This Row],[Elevation
PILE TOP]]-Table2[[#This Row],[LENGTH(m.)
(Actual)]]</f>
        <v>0</v>
      </c>
      <c r="R1158" s="2"/>
      <c r="S1158" s="7">
        <f>Table2[[#This Row],[N]]+Table2[[#This Row],[Pile 
Deviation 
N (m)]]</f>
        <v>1511765.777</v>
      </c>
      <c r="T1158" s="7">
        <f>Table2[[#This Row],[E]]+Table2[[#This Row],[Pile 
Deviation 
E (m)]]</f>
        <v>693850.22699999996</v>
      </c>
      <c r="W1158" s="7">
        <v>0.24</v>
      </c>
      <c r="X1158" s="2" t="s">
        <v>51</v>
      </c>
      <c r="AA1158" s="9">
        <v>46224</v>
      </c>
    </row>
    <row r="1159" spans="1:28" ht="13.95" hidden="1" customHeight="1" x14ac:dyDescent="0.65">
      <c r="A1159">
        <v>1157</v>
      </c>
      <c r="B1159" t="s">
        <v>29</v>
      </c>
      <c r="C1159" s="6">
        <v>1511765.635</v>
      </c>
      <c r="D1159" s="6">
        <v>694071.92</v>
      </c>
      <c r="E1159" s="2" t="s">
        <v>35</v>
      </c>
      <c r="F1159" s="1">
        <v>24</v>
      </c>
      <c r="G1159" s="2" t="s">
        <v>50</v>
      </c>
      <c r="J1159"/>
      <c r="K1159" s="19"/>
      <c r="L1159" s="21"/>
      <c r="M1159" s="27"/>
      <c r="N1159" s="19"/>
      <c r="O1159" s="21"/>
      <c r="Q1159" s="7">
        <f>Table2[[#This Row],[Elevation
PILE TOP]]-Table2[[#This Row],[LENGTH(m.)
(Actual)]]</f>
        <v>0</v>
      </c>
      <c r="R1159" s="2"/>
      <c r="S1159" s="7">
        <f>Table2[[#This Row],[N]]+Table2[[#This Row],[Pile 
Deviation 
N (m)]]</f>
        <v>1511765.635</v>
      </c>
      <c r="T1159" s="7">
        <f>Table2[[#This Row],[E]]+Table2[[#This Row],[Pile 
Deviation 
E (m)]]</f>
        <v>694071.92</v>
      </c>
      <c r="W1159" s="7">
        <v>0.24</v>
      </c>
      <c r="X1159" s="2" t="s">
        <v>51</v>
      </c>
    </row>
    <row r="1160" spans="1:28" hidden="1" x14ac:dyDescent="0.65">
      <c r="A1160">
        <v>1158</v>
      </c>
      <c r="B1160" t="s">
        <v>29</v>
      </c>
      <c r="C1160" s="6">
        <v>1511765.601</v>
      </c>
      <c r="D1160" s="6">
        <v>694054.07299999997</v>
      </c>
      <c r="E1160" s="2" t="s">
        <v>35</v>
      </c>
      <c r="F1160" s="1">
        <v>24</v>
      </c>
      <c r="G1160" s="2" t="s">
        <v>50</v>
      </c>
      <c r="J1160"/>
      <c r="K1160" s="19"/>
      <c r="L1160" s="21"/>
      <c r="M1160" s="27"/>
      <c r="N1160" s="19"/>
      <c r="O1160" s="21"/>
      <c r="Q1160" s="7">
        <f>Table2[[#This Row],[Elevation
PILE TOP]]-Table2[[#This Row],[LENGTH(m.)
(Actual)]]</f>
        <v>0</v>
      </c>
      <c r="R1160" s="2"/>
      <c r="S1160" s="7">
        <f>Table2[[#This Row],[N]]+Table2[[#This Row],[Pile 
Deviation 
N (m)]]</f>
        <v>1511765.601</v>
      </c>
      <c r="T1160" s="7">
        <f>Table2[[#This Row],[E]]+Table2[[#This Row],[Pile 
Deviation 
E (m)]]</f>
        <v>694054.07299999997</v>
      </c>
      <c r="W1160" s="7">
        <v>0.24</v>
      </c>
      <c r="X1160" s="2" t="s">
        <v>51</v>
      </c>
    </row>
    <row r="1161" spans="1:28" ht="13.95" hidden="1" customHeight="1" x14ac:dyDescent="0.65">
      <c r="A1161">
        <v>1159</v>
      </c>
      <c r="B1161" t="s">
        <v>29</v>
      </c>
      <c r="C1161" s="6">
        <v>1511765.4350000001</v>
      </c>
      <c r="D1161" s="6">
        <v>694017.89</v>
      </c>
      <c r="E1161" s="2" t="s">
        <v>35</v>
      </c>
      <c r="F1161" s="1">
        <v>24</v>
      </c>
      <c r="G1161" s="2" t="s">
        <v>50</v>
      </c>
      <c r="J1161">
        <v>6</v>
      </c>
      <c r="K1161" s="19"/>
      <c r="L1161" s="21">
        <v>0.61527777777777781</v>
      </c>
      <c r="M1161" s="27" t="s">
        <v>32</v>
      </c>
      <c r="N1161" s="19"/>
      <c r="O1161" s="21">
        <v>0.64722222222222225</v>
      </c>
      <c r="P1161" s="7">
        <v>0.93799999999999994</v>
      </c>
      <c r="Q1161" s="7">
        <f>Table2[[#This Row],[Elevation
PILE TOP]]-Table2[[#This Row],[LENGTH(m.)
(Actual)]]</f>
        <v>-25.062000000000001</v>
      </c>
      <c r="R1161" s="2">
        <v>26</v>
      </c>
      <c r="S1161" s="7">
        <f>Table2[[#This Row],[N]]+Table2[[#This Row],[Pile 
Deviation 
N (m)]]</f>
        <v>1511765.415</v>
      </c>
      <c r="T1161" s="7">
        <f>Table2[[#This Row],[E]]+Table2[[#This Row],[Pile 
Deviation 
E (m)]]</f>
        <v>694017.87</v>
      </c>
      <c r="U1161" s="7">
        <v>-0.02</v>
      </c>
      <c r="V1161" s="7">
        <v>-0.02</v>
      </c>
      <c r="W1161" s="7">
        <v>0.24</v>
      </c>
      <c r="X1161" s="2" t="s">
        <v>51</v>
      </c>
      <c r="Y1161" t="s">
        <v>52</v>
      </c>
      <c r="Z1161" s="9">
        <v>46196</v>
      </c>
      <c r="AB1161">
        <v>34</v>
      </c>
    </row>
    <row r="1162" spans="1:28" hidden="1" x14ac:dyDescent="0.65">
      <c r="A1162">
        <v>1160</v>
      </c>
      <c r="B1162" t="s">
        <v>29</v>
      </c>
      <c r="C1162" s="6">
        <v>1511765.402</v>
      </c>
      <c r="D1162" s="6">
        <v>694000.04299999995</v>
      </c>
      <c r="E1162" s="2" t="s">
        <v>35</v>
      </c>
      <c r="F1162" s="1">
        <v>24</v>
      </c>
      <c r="G1162" s="2" t="s">
        <v>50</v>
      </c>
      <c r="J1162">
        <v>2</v>
      </c>
      <c r="K1162" s="19"/>
      <c r="L1162" s="21">
        <v>0.62986111111111109</v>
      </c>
      <c r="M1162" s="27" t="s">
        <v>32</v>
      </c>
      <c r="N1162" s="19"/>
      <c r="O1162" s="21">
        <v>0.69374999999999998</v>
      </c>
      <c r="Q1162" s="7">
        <f>Table2[[#This Row],[Elevation
PILE TOP]]-Table2[[#This Row],[LENGTH(m.)
(Actual)]]</f>
        <v>-26</v>
      </c>
      <c r="R1162" s="2">
        <v>26</v>
      </c>
      <c r="S1162" s="7">
        <f>Table2[[#This Row],[N]]+Table2[[#This Row],[Pile 
Deviation 
N (m)]]</f>
        <v>1511765.402</v>
      </c>
      <c r="T1162" s="7">
        <f>Table2[[#This Row],[E]]+Table2[[#This Row],[Pile 
Deviation 
E (m)]]</f>
        <v>694000.06299999997</v>
      </c>
      <c r="U1162" s="7">
        <v>0</v>
      </c>
      <c r="V1162" s="7">
        <v>0.02</v>
      </c>
      <c r="W1162" s="7">
        <v>0.24</v>
      </c>
      <c r="X1162" s="2" t="s">
        <v>51</v>
      </c>
      <c r="Y1162" t="s">
        <v>34</v>
      </c>
      <c r="Z1162" s="9">
        <v>46190</v>
      </c>
      <c r="AB1162">
        <v>19</v>
      </c>
    </row>
    <row r="1163" spans="1:28" ht="13.95" hidden="1" customHeight="1" x14ac:dyDescent="0.65">
      <c r="A1163">
        <v>1161</v>
      </c>
      <c r="B1163" t="s">
        <v>29</v>
      </c>
      <c r="C1163" s="6">
        <v>1511764.942</v>
      </c>
      <c r="D1163" s="6">
        <v>694068.48899999994</v>
      </c>
      <c r="E1163" s="2" t="s">
        <v>35</v>
      </c>
      <c r="F1163" s="1">
        <v>24</v>
      </c>
      <c r="G1163" s="2" t="s">
        <v>50</v>
      </c>
      <c r="J1163"/>
      <c r="K1163" s="19"/>
      <c r="L1163" s="21"/>
      <c r="M1163" s="27"/>
      <c r="N1163" s="19"/>
      <c r="O1163" s="21"/>
      <c r="Q1163" s="7">
        <f>Table2[[#This Row],[Elevation
PILE TOP]]-Table2[[#This Row],[LENGTH(m.)
(Actual)]]</f>
        <v>0</v>
      </c>
      <c r="R1163" s="2"/>
      <c r="S1163" s="7">
        <f>Table2[[#This Row],[N]]+Table2[[#This Row],[Pile 
Deviation 
N (m)]]</f>
        <v>1511764.942</v>
      </c>
      <c r="T1163" s="7">
        <f>Table2[[#This Row],[E]]+Table2[[#This Row],[Pile 
Deviation 
E (m)]]</f>
        <v>694068.48899999994</v>
      </c>
      <c r="W1163" s="7">
        <v>0.24</v>
      </c>
      <c r="X1163" s="2" t="s">
        <v>51</v>
      </c>
    </row>
    <row r="1164" spans="1:28" hidden="1" x14ac:dyDescent="0.65">
      <c r="A1164">
        <v>1162</v>
      </c>
      <c r="B1164" t="s">
        <v>29</v>
      </c>
      <c r="C1164" s="6">
        <v>1511764.9110000001</v>
      </c>
      <c r="D1164" s="6">
        <v>693853.61899999995</v>
      </c>
      <c r="E1164" s="2" t="s">
        <v>35</v>
      </c>
      <c r="F1164" s="1">
        <v>24</v>
      </c>
      <c r="G1164" s="2" t="s">
        <v>50</v>
      </c>
      <c r="J1164"/>
      <c r="K1164" s="19"/>
      <c r="L1164" s="21"/>
      <c r="M1164" s="27"/>
      <c r="N1164" s="19"/>
      <c r="O1164" s="21"/>
      <c r="Q1164" s="7">
        <f>Table2[[#This Row],[Elevation
PILE TOP]]-Table2[[#This Row],[LENGTH(m.)
(Actual)]]</f>
        <v>0</v>
      </c>
      <c r="R1164" s="2"/>
      <c r="S1164" s="7">
        <f>Table2[[#This Row],[N]]+Table2[[#This Row],[Pile 
Deviation 
N (m)]]</f>
        <v>1511764.9110000001</v>
      </c>
      <c r="T1164" s="7">
        <f>Table2[[#This Row],[E]]+Table2[[#This Row],[Pile 
Deviation 
E (m)]]</f>
        <v>693853.61899999995</v>
      </c>
      <c r="W1164" s="7">
        <v>0.24</v>
      </c>
      <c r="X1164" s="2" t="s">
        <v>51</v>
      </c>
      <c r="AA1164" s="9">
        <v>46224</v>
      </c>
    </row>
    <row r="1165" spans="1:28" ht="13.95" hidden="1" customHeight="1" x14ac:dyDescent="0.65">
      <c r="A1165">
        <v>1163</v>
      </c>
      <c r="B1165" t="s">
        <v>29</v>
      </c>
      <c r="C1165" s="6">
        <v>1511764.9080000001</v>
      </c>
      <c r="D1165" s="6">
        <v>694050.64199999999</v>
      </c>
      <c r="E1165" s="2" t="s">
        <v>35</v>
      </c>
      <c r="F1165" s="1">
        <v>24</v>
      </c>
      <c r="G1165" s="2" t="s">
        <v>50</v>
      </c>
      <c r="J1165"/>
      <c r="K1165" s="19"/>
      <c r="L1165" s="21"/>
      <c r="M1165" s="27"/>
      <c r="N1165" s="19"/>
      <c r="O1165" s="21"/>
      <c r="Q1165" s="7">
        <f>Table2[[#This Row],[Elevation
PILE TOP]]-Table2[[#This Row],[LENGTH(m.)
(Actual)]]</f>
        <v>0</v>
      </c>
      <c r="R1165" s="2"/>
      <c r="S1165" s="7">
        <f>Table2[[#This Row],[N]]+Table2[[#This Row],[Pile 
Deviation 
N (m)]]</f>
        <v>1511764.9080000001</v>
      </c>
      <c r="T1165" s="7">
        <f>Table2[[#This Row],[E]]+Table2[[#This Row],[Pile 
Deviation 
E (m)]]</f>
        <v>694050.64199999999</v>
      </c>
      <c r="W1165" s="7">
        <v>0.24</v>
      </c>
      <c r="X1165" s="2" t="s">
        <v>51</v>
      </c>
    </row>
    <row r="1166" spans="1:28" hidden="1" x14ac:dyDescent="0.65">
      <c r="A1166">
        <v>1164</v>
      </c>
      <c r="B1166" t="s">
        <v>29</v>
      </c>
      <c r="C1166" s="6">
        <v>1511764.743</v>
      </c>
      <c r="D1166" s="6">
        <v>694014.45900000003</v>
      </c>
      <c r="E1166" s="2" t="s">
        <v>35</v>
      </c>
      <c r="F1166" s="1">
        <v>24</v>
      </c>
      <c r="G1166" s="2" t="s">
        <v>50</v>
      </c>
      <c r="J1166">
        <v>6</v>
      </c>
      <c r="K1166" s="19"/>
      <c r="L1166" s="21">
        <v>0.65486111111111112</v>
      </c>
      <c r="M1166" s="27" t="s">
        <v>32</v>
      </c>
      <c r="N1166" s="19"/>
      <c r="O1166" s="21">
        <v>0.68819444444444444</v>
      </c>
      <c r="P1166" s="7">
        <v>1.1419999999999999</v>
      </c>
      <c r="Q1166" s="7">
        <f>Table2[[#This Row],[Elevation
PILE TOP]]-Table2[[#This Row],[LENGTH(m.)
(Actual)]]</f>
        <v>-24.858000000000001</v>
      </c>
      <c r="R1166" s="2">
        <v>26</v>
      </c>
      <c r="S1166" s="7">
        <f>Table2[[#This Row],[N]]+Table2[[#This Row],[Pile 
Deviation 
N (m)]]</f>
        <v>1511764.743</v>
      </c>
      <c r="T1166" s="7">
        <f>Table2[[#This Row],[E]]+Table2[[#This Row],[Pile 
Deviation 
E (m)]]</f>
        <v>694014.46900000004</v>
      </c>
      <c r="U1166" s="7">
        <v>0</v>
      </c>
      <c r="V1166" s="7">
        <v>0.01</v>
      </c>
      <c r="W1166" s="7">
        <v>0.24</v>
      </c>
      <c r="X1166" s="2" t="s">
        <v>51</v>
      </c>
      <c r="Y1166" t="s">
        <v>52</v>
      </c>
      <c r="Z1166" s="9">
        <v>46196</v>
      </c>
      <c r="AB1166">
        <v>35</v>
      </c>
    </row>
    <row r="1167" spans="1:28" ht="13.95" hidden="1" customHeight="1" x14ac:dyDescent="0.65">
      <c r="A1167">
        <v>1165</v>
      </c>
      <c r="B1167" t="s">
        <v>29</v>
      </c>
      <c r="C1167" s="6">
        <v>1511764.709</v>
      </c>
      <c r="D1167" s="6">
        <v>693996.61300000001</v>
      </c>
      <c r="E1167" s="2" t="s">
        <v>35</v>
      </c>
      <c r="F1167" s="1">
        <v>24</v>
      </c>
      <c r="G1167" s="2" t="s">
        <v>50</v>
      </c>
      <c r="J1167">
        <v>2</v>
      </c>
      <c r="K1167" s="19"/>
      <c r="L1167" s="21">
        <v>0.35902777777777778</v>
      </c>
      <c r="M1167" s="27" t="s">
        <v>32</v>
      </c>
      <c r="N1167" s="19"/>
      <c r="O1167" s="21">
        <v>0.4069444444444445</v>
      </c>
      <c r="Q1167" s="7">
        <f>Table2[[#This Row],[Elevation
PILE TOP]]-Table2[[#This Row],[LENGTH(m.)
(Actual)]]</f>
        <v>-26</v>
      </c>
      <c r="R1167" s="2">
        <v>26</v>
      </c>
      <c r="S1167" s="7">
        <f>Table2[[#This Row],[N]]+Table2[[#This Row],[Pile 
Deviation 
N (m)]]</f>
        <v>1511764.689</v>
      </c>
      <c r="T1167" s="7">
        <f>Table2[[#This Row],[E]]+Table2[[#This Row],[Pile 
Deviation 
E (m)]]</f>
        <v>693996.61300000001</v>
      </c>
      <c r="U1167" s="7">
        <v>-0.02</v>
      </c>
      <c r="V1167" s="7">
        <v>0</v>
      </c>
      <c r="W1167" s="7">
        <v>0.24</v>
      </c>
      <c r="X1167" s="2" t="s">
        <v>51</v>
      </c>
      <c r="Y1167" t="s">
        <v>34</v>
      </c>
      <c r="Z1167" s="9">
        <v>46191</v>
      </c>
      <c r="AB1167">
        <v>20</v>
      </c>
    </row>
    <row r="1168" spans="1:28" hidden="1" x14ac:dyDescent="0.65">
      <c r="A1168">
        <v>1166</v>
      </c>
      <c r="B1168" t="s">
        <v>29</v>
      </c>
      <c r="C1168" s="6">
        <v>1511764.2490000001</v>
      </c>
      <c r="D1168" s="6">
        <v>694065.05799999996</v>
      </c>
      <c r="E1168" s="2" t="s">
        <v>35</v>
      </c>
      <c r="F1168" s="1">
        <v>24</v>
      </c>
      <c r="G1168" s="2" t="s">
        <v>50</v>
      </c>
      <c r="J1168"/>
      <c r="K1168" s="19"/>
      <c r="L1168" s="21"/>
      <c r="M1168" s="27"/>
      <c r="N1168" s="19"/>
      <c r="O1168" s="21"/>
      <c r="Q1168" s="7">
        <f>Table2[[#This Row],[Elevation
PILE TOP]]-Table2[[#This Row],[LENGTH(m.)
(Actual)]]</f>
        <v>0</v>
      </c>
      <c r="R1168" s="2"/>
      <c r="S1168" s="7">
        <f>Table2[[#This Row],[N]]+Table2[[#This Row],[Pile 
Deviation 
N (m)]]</f>
        <v>1511764.2490000001</v>
      </c>
      <c r="T1168" s="7">
        <f>Table2[[#This Row],[E]]+Table2[[#This Row],[Pile 
Deviation 
E (m)]]</f>
        <v>694065.05799999996</v>
      </c>
      <c r="W1168" s="7">
        <v>0.24</v>
      </c>
      <c r="X1168" s="2" t="s">
        <v>51</v>
      </c>
    </row>
    <row r="1169" spans="1:29" ht="13.95" hidden="1" customHeight="1" x14ac:dyDescent="0.65">
      <c r="A1169">
        <v>1167</v>
      </c>
      <c r="B1169" t="s">
        <v>29</v>
      </c>
      <c r="C1169" s="6">
        <v>1511764.216</v>
      </c>
      <c r="D1169" s="6">
        <v>694047.21200000006</v>
      </c>
      <c r="E1169" s="2" t="s">
        <v>35</v>
      </c>
      <c r="F1169" s="1">
        <v>24</v>
      </c>
      <c r="G1169" s="2" t="s">
        <v>50</v>
      </c>
      <c r="J1169"/>
      <c r="K1169" s="19"/>
      <c r="L1169" s="21"/>
      <c r="M1169" s="27"/>
      <c r="N1169" s="19"/>
      <c r="O1169" s="21"/>
      <c r="Q1169" s="7">
        <f>Table2[[#This Row],[Elevation
PILE TOP]]-Table2[[#This Row],[LENGTH(m.)
(Actual)]]</f>
        <v>0</v>
      </c>
      <c r="R1169" s="2"/>
      <c r="S1169" s="7">
        <f>Table2[[#This Row],[N]]+Table2[[#This Row],[Pile 
Deviation 
N (m)]]</f>
        <v>1511764.216</v>
      </c>
      <c r="T1169" s="7">
        <f>Table2[[#This Row],[E]]+Table2[[#This Row],[Pile 
Deviation 
E (m)]]</f>
        <v>694047.21200000006</v>
      </c>
      <c r="W1169" s="7">
        <v>0.24</v>
      </c>
      <c r="X1169" s="2" t="s">
        <v>51</v>
      </c>
    </row>
    <row r="1170" spans="1:29" hidden="1" x14ac:dyDescent="0.65">
      <c r="A1170">
        <v>1168</v>
      </c>
      <c r="B1170" t="s">
        <v>29</v>
      </c>
      <c r="C1170" s="6">
        <v>1511764.05</v>
      </c>
      <c r="D1170" s="6">
        <v>694011.02800000005</v>
      </c>
      <c r="E1170" s="2" t="s">
        <v>35</v>
      </c>
      <c r="F1170" s="1">
        <v>24</v>
      </c>
      <c r="G1170" s="2" t="s">
        <v>50</v>
      </c>
      <c r="J1170">
        <v>6</v>
      </c>
      <c r="K1170" s="19"/>
      <c r="L1170" s="21">
        <v>0.69444444444444453</v>
      </c>
      <c r="M1170" s="27" t="s">
        <v>32</v>
      </c>
      <c r="N1170" s="19"/>
      <c r="O1170" s="21">
        <v>0.71666666666666667</v>
      </c>
      <c r="P1170" s="7">
        <v>0.47199999999999998</v>
      </c>
      <c r="Q1170" s="7">
        <f>Table2[[#This Row],[Elevation
PILE TOP]]-Table2[[#This Row],[LENGTH(m.)
(Actual)]]</f>
        <v>-25.527999999999999</v>
      </c>
      <c r="R1170" s="2">
        <v>26</v>
      </c>
      <c r="S1170" s="7">
        <f>Table2[[#This Row],[N]]+Table2[[#This Row],[Pile 
Deviation 
N (m)]]</f>
        <v>1511764.06</v>
      </c>
      <c r="T1170" s="7">
        <f>Table2[[#This Row],[E]]+Table2[[#This Row],[Pile 
Deviation 
E (m)]]</f>
        <v>694011.02800000005</v>
      </c>
      <c r="U1170" s="7">
        <v>0.01</v>
      </c>
      <c r="V1170" s="7">
        <v>0</v>
      </c>
      <c r="W1170" s="7">
        <v>0.24</v>
      </c>
      <c r="X1170" s="2" t="s">
        <v>51</v>
      </c>
      <c r="Y1170" t="s">
        <v>52</v>
      </c>
      <c r="Z1170" s="9">
        <v>46196</v>
      </c>
      <c r="AB1170">
        <v>36</v>
      </c>
    </row>
    <row r="1171" spans="1:29" ht="13.95" hidden="1" customHeight="1" x14ac:dyDescent="0.65">
      <c r="A1171">
        <v>1169</v>
      </c>
      <c r="B1171" t="s">
        <v>29</v>
      </c>
      <c r="C1171" s="6">
        <v>1511764.0449999999</v>
      </c>
      <c r="D1171" s="6">
        <v>693857.01</v>
      </c>
      <c r="E1171" s="2" t="s">
        <v>35</v>
      </c>
      <c r="F1171" s="1">
        <v>24</v>
      </c>
      <c r="G1171" s="2" t="s">
        <v>50</v>
      </c>
      <c r="J1171"/>
      <c r="K1171" s="19"/>
      <c r="L1171" s="21"/>
      <c r="M1171" s="27"/>
      <c r="N1171" s="19"/>
      <c r="O1171" s="21"/>
      <c r="Q1171" s="7">
        <f>Table2[[#This Row],[Elevation
PILE TOP]]-Table2[[#This Row],[LENGTH(m.)
(Actual)]]</f>
        <v>0</v>
      </c>
      <c r="R1171" s="2"/>
      <c r="S1171" s="7">
        <f>Table2[[#This Row],[N]]+Table2[[#This Row],[Pile 
Deviation 
N (m)]]</f>
        <v>1511764.0449999999</v>
      </c>
      <c r="T1171" s="7">
        <f>Table2[[#This Row],[E]]+Table2[[#This Row],[Pile 
Deviation 
E (m)]]</f>
        <v>693857.01</v>
      </c>
      <c r="W1171" s="7">
        <v>0.24</v>
      </c>
      <c r="X1171" s="2" t="s">
        <v>51</v>
      </c>
      <c r="AA1171" s="9">
        <v>46224</v>
      </c>
    </row>
    <row r="1172" spans="1:29" hidden="1" x14ac:dyDescent="0.65">
      <c r="A1172">
        <v>1170</v>
      </c>
      <c r="B1172" t="s">
        <v>29</v>
      </c>
      <c r="C1172" s="6">
        <v>1511764.0160000001</v>
      </c>
      <c r="D1172" s="6">
        <v>693993.18200000003</v>
      </c>
      <c r="E1172" s="2" t="s">
        <v>35</v>
      </c>
      <c r="F1172" s="1">
        <v>24</v>
      </c>
      <c r="G1172" s="2" t="s">
        <v>50</v>
      </c>
      <c r="J1172">
        <v>2</v>
      </c>
      <c r="K1172" s="19"/>
      <c r="L1172" s="21">
        <v>0.4236111111111111</v>
      </c>
      <c r="M1172" s="27" t="s">
        <v>32</v>
      </c>
      <c r="N1172" s="19"/>
      <c r="O1172" s="21">
        <v>0.45416666666666666</v>
      </c>
      <c r="Q1172" s="7">
        <f>Table2[[#This Row],[Elevation
PILE TOP]]-Table2[[#This Row],[LENGTH(m.)
(Actual)]]</f>
        <v>-26</v>
      </c>
      <c r="R1172" s="2">
        <v>26</v>
      </c>
      <c r="S1172" s="7">
        <f>Table2[[#This Row],[N]]+Table2[[#This Row],[Pile 
Deviation 
N (m)]]</f>
        <v>1511764.0160000001</v>
      </c>
      <c r="T1172" s="7">
        <f>Table2[[#This Row],[E]]+Table2[[#This Row],[Pile 
Deviation 
E (m)]]</f>
        <v>693993.20200000005</v>
      </c>
      <c r="U1172" s="7">
        <v>0</v>
      </c>
      <c r="V1172" s="7">
        <v>0.02</v>
      </c>
      <c r="W1172" s="7">
        <v>0.24</v>
      </c>
      <c r="X1172" s="2" t="s">
        <v>51</v>
      </c>
      <c r="Y1172" t="s">
        <v>34</v>
      </c>
      <c r="Z1172" s="9">
        <v>46191</v>
      </c>
      <c r="AB1172">
        <v>21</v>
      </c>
    </row>
    <row r="1173" spans="1:29" ht="13.95" hidden="1" customHeight="1" x14ac:dyDescent="0.65">
      <c r="A1173">
        <v>1171</v>
      </c>
      <c r="B1173" t="s">
        <v>29</v>
      </c>
      <c r="C1173" s="6">
        <v>1511763.5560000001</v>
      </c>
      <c r="D1173" s="6">
        <v>694061.62699999998</v>
      </c>
      <c r="E1173" s="2" t="s">
        <v>35</v>
      </c>
      <c r="F1173" s="1">
        <v>24</v>
      </c>
      <c r="G1173" s="2" t="s">
        <v>50</v>
      </c>
      <c r="J1173"/>
      <c r="K1173" s="19"/>
      <c r="L1173" s="21"/>
      <c r="M1173" s="27"/>
      <c r="N1173" s="19"/>
      <c r="O1173" s="21"/>
      <c r="Q1173" s="7">
        <f>Table2[[#This Row],[Elevation
PILE TOP]]-Table2[[#This Row],[LENGTH(m.)
(Actual)]]</f>
        <v>0</v>
      </c>
      <c r="R1173" s="2"/>
      <c r="S1173" s="7">
        <f>Table2[[#This Row],[N]]+Table2[[#This Row],[Pile 
Deviation 
N (m)]]</f>
        <v>1511763.5560000001</v>
      </c>
      <c r="T1173" s="7">
        <f>Table2[[#This Row],[E]]+Table2[[#This Row],[Pile 
Deviation 
E (m)]]</f>
        <v>694061.62699999998</v>
      </c>
      <c r="W1173" s="7">
        <v>0.24</v>
      </c>
      <c r="X1173" s="2" t="s">
        <v>51</v>
      </c>
    </row>
    <row r="1174" spans="1:29" hidden="1" x14ac:dyDescent="0.65">
      <c r="A1174">
        <v>1172</v>
      </c>
      <c r="B1174" t="s">
        <v>29</v>
      </c>
      <c r="C1174" s="6">
        <v>1511763.523</v>
      </c>
      <c r="D1174" s="6">
        <v>694043.78099999996</v>
      </c>
      <c r="E1174" s="2" t="s">
        <v>35</v>
      </c>
      <c r="F1174" s="1">
        <v>24</v>
      </c>
      <c r="G1174" s="2" t="s">
        <v>50</v>
      </c>
      <c r="J1174"/>
      <c r="K1174" s="19"/>
      <c r="L1174" s="21"/>
      <c r="M1174" s="27"/>
      <c r="N1174" s="19"/>
      <c r="O1174" s="21"/>
      <c r="Q1174" s="7">
        <f>Table2[[#This Row],[Elevation
PILE TOP]]-Table2[[#This Row],[LENGTH(m.)
(Actual)]]</f>
        <v>0</v>
      </c>
      <c r="R1174" s="2"/>
      <c r="S1174" s="7">
        <f>Table2[[#This Row],[N]]+Table2[[#This Row],[Pile 
Deviation 
N (m)]]</f>
        <v>1511763.523</v>
      </c>
      <c r="T1174" s="7">
        <f>Table2[[#This Row],[E]]+Table2[[#This Row],[Pile 
Deviation 
E (m)]]</f>
        <v>694043.78099999996</v>
      </c>
      <c r="W1174" s="7">
        <v>0.24</v>
      </c>
      <c r="X1174" s="2" t="s">
        <v>51</v>
      </c>
    </row>
    <row r="1175" spans="1:29" ht="13.95" hidden="1" customHeight="1" x14ac:dyDescent="0.65">
      <c r="A1175">
        <v>1173</v>
      </c>
      <c r="B1175" t="s">
        <v>29</v>
      </c>
      <c r="C1175" s="6">
        <v>1511763.3570000001</v>
      </c>
      <c r="D1175" s="6">
        <v>694007.598</v>
      </c>
      <c r="E1175" s="2" t="s">
        <v>35</v>
      </c>
      <c r="F1175" s="1">
        <v>24</v>
      </c>
      <c r="G1175" s="2" t="s">
        <v>50</v>
      </c>
      <c r="J1175">
        <v>2</v>
      </c>
      <c r="K1175" s="19"/>
      <c r="L1175" s="21">
        <v>0.36944444444444446</v>
      </c>
      <c r="M1175" s="27" t="s">
        <v>32</v>
      </c>
      <c r="N1175" s="19"/>
      <c r="O1175" s="21">
        <v>0.4916666666666667</v>
      </c>
      <c r="Q1175" s="7">
        <f>Table2[[#This Row],[Elevation
PILE TOP]]-Table2[[#This Row],[LENGTH(m.)
(Actual)]]</f>
        <v>-26</v>
      </c>
      <c r="R1175" s="2">
        <v>26</v>
      </c>
      <c r="S1175" s="7">
        <f>Table2[[#This Row],[N]]+Table2[[#This Row],[Pile 
Deviation 
N (m)]]</f>
        <v>1511763.3570000001</v>
      </c>
      <c r="T1175" s="7">
        <f>Table2[[#This Row],[E]]+Table2[[#This Row],[Pile 
Deviation 
E (m)]]</f>
        <v>694007.61800000002</v>
      </c>
      <c r="U1175" s="7">
        <v>0</v>
      </c>
      <c r="V1175" s="7">
        <v>0.02</v>
      </c>
      <c r="W1175" s="7">
        <v>0.24</v>
      </c>
      <c r="X1175" s="2" t="s">
        <v>51</v>
      </c>
      <c r="Y1175" t="s">
        <v>34</v>
      </c>
      <c r="Z1175" s="9">
        <v>46190</v>
      </c>
      <c r="AB1175">
        <v>18</v>
      </c>
    </row>
    <row r="1176" spans="1:29" hidden="1" x14ac:dyDescent="0.65">
      <c r="A1176">
        <v>1174</v>
      </c>
      <c r="B1176" t="s">
        <v>29</v>
      </c>
      <c r="C1176" s="6">
        <v>1511763.3230000001</v>
      </c>
      <c r="D1176" s="6">
        <v>693989.75100000005</v>
      </c>
      <c r="E1176" s="2" t="s">
        <v>35</v>
      </c>
      <c r="F1176" s="1">
        <v>24</v>
      </c>
      <c r="G1176" s="2" t="s">
        <v>50</v>
      </c>
      <c r="J1176">
        <v>2</v>
      </c>
      <c r="K1176" s="19"/>
      <c r="L1176" s="21">
        <v>0.46249999999999997</v>
      </c>
      <c r="M1176" s="27" t="s">
        <v>32</v>
      </c>
      <c r="N1176" s="19"/>
      <c r="O1176" s="21">
        <v>0.4916666666666667</v>
      </c>
      <c r="Q1176" s="7">
        <f>Table2[[#This Row],[Elevation
PILE TOP]]-Table2[[#This Row],[LENGTH(m.)
(Actual)]]</f>
        <v>-26</v>
      </c>
      <c r="R1176" s="2">
        <v>26</v>
      </c>
      <c r="S1176" s="7">
        <f>Table2[[#This Row],[N]]+Table2[[#This Row],[Pile 
Deviation 
N (m)]]</f>
        <v>1511763.3130000001</v>
      </c>
      <c r="T1176" s="7">
        <f>Table2[[#This Row],[E]]+Table2[[#This Row],[Pile 
Deviation 
E (m)]]</f>
        <v>693989.76100000006</v>
      </c>
      <c r="U1176" s="7">
        <v>-0.01</v>
      </c>
      <c r="V1176" s="7">
        <v>0.01</v>
      </c>
      <c r="W1176" s="7">
        <v>0.24</v>
      </c>
      <c r="X1176" s="2" t="s">
        <v>51</v>
      </c>
      <c r="Y1176" t="s">
        <v>34</v>
      </c>
      <c r="Z1176" s="9">
        <v>46191</v>
      </c>
      <c r="AB1176">
        <v>22</v>
      </c>
    </row>
    <row r="1177" spans="1:29" ht="13.95" hidden="1" customHeight="1" x14ac:dyDescent="0.65">
      <c r="A1177">
        <v>1175</v>
      </c>
      <c r="B1177" t="s">
        <v>29</v>
      </c>
      <c r="C1177" s="6">
        <v>1511763.179</v>
      </c>
      <c r="D1177" s="6">
        <v>693860.40099999995</v>
      </c>
      <c r="E1177" s="2" t="s">
        <v>35</v>
      </c>
      <c r="F1177" s="1">
        <v>24</v>
      </c>
      <c r="G1177" s="2" t="s">
        <v>50</v>
      </c>
      <c r="J1177"/>
      <c r="K1177" s="19"/>
      <c r="L1177" s="21"/>
      <c r="M1177" s="27"/>
      <c r="N1177" s="19"/>
      <c r="O1177" s="21"/>
      <c r="Q1177" s="7">
        <f>Table2[[#This Row],[Elevation
PILE TOP]]-Table2[[#This Row],[LENGTH(m.)
(Actual)]]</f>
        <v>0</v>
      </c>
      <c r="R1177" s="2"/>
      <c r="S1177" s="7">
        <f>Table2[[#This Row],[N]]+Table2[[#This Row],[Pile 
Deviation 
N (m)]]</f>
        <v>1511763.179</v>
      </c>
      <c r="T1177" s="7">
        <f>Table2[[#This Row],[E]]+Table2[[#This Row],[Pile 
Deviation 
E (m)]]</f>
        <v>693860.40099999995</v>
      </c>
      <c r="W1177" s="7">
        <v>0.24</v>
      </c>
      <c r="X1177" s="2" t="s">
        <v>51</v>
      </c>
      <c r="AA1177" s="9">
        <v>46225</v>
      </c>
    </row>
    <row r="1178" spans="1:29" hidden="1" x14ac:dyDescent="0.65">
      <c r="A1178">
        <v>1176</v>
      </c>
      <c r="B1178" t="s">
        <v>29</v>
      </c>
      <c r="C1178" s="6">
        <v>1511762.8629999999</v>
      </c>
      <c r="D1178" s="6">
        <v>694058.19700000004</v>
      </c>
      <c r="E1178" s="2" t="s">
        <v>35</v>
      </c>
      <c r="F1178" s="1">
        <v>24</v>
      </c>
      <c r="G1178" s="2" t="s">
        <v>50</v>
      </c>
      <c r="J1178"/>
      <c r="K1178" s="19"/>
      <c r="L1178" s="21"/>
      <c r="M1178" s="27"/>
      <c r="N1178" s="19"/>
      <c r="O1178" s="21"/>
      <c r="Q1178" s="7">
        <f>Table2[[#This Row],[Elevation
PILE TOP]]-Table2[[#This Row],[LENGTH(m.)
(Actual)]]</f>
        <v>0</v>
      </c>
      <c r="R1178" s="2"/>
      <c r="S1178" s="7">
        <f>Table2[[#This Row],[N]]+Table2[[#This Row],[Pile 
Deviation 
N (m)]]</f>
        <v>1511762.8629999999</v>
      </c>
      <c r="T1178" s="7">
        <f>Table2[[#This Row],[E]]+Table2[[#This Row],[Pile 
Deviation 
E (m)]]</f>
        <v>694058.19700000004</v>
      </c>
      <c r="W1178" s="7">
        <v>0.24</v>
      </c>
      <c r="X1178" s="2" t="s">
        <v>51</v>
      </c>
    </row>
    <row r="1179" spans="1:29" ht="13.95" customHeight="1" x14ac:dyDescent="0.65">
      <c r="A1179">
        <v>1177</v>
      </c>
      <c r="B1179" t="s">
        <v>29</v>
      </c>
      <c r="C1179" s="6">
        <v>1511762.6640000001</v>
      </c>
      <c r="D1179" s="6">
        <v>694004.16700000002</v>
      </c>
      <c r="E1179" s="2" t="s">
        <v>35</v>
      </c>
      <c r="F1179" s="1">
        <v>24</v>
      </c>
      <c r="G1179" s="2" t="s">
        <v>50</v>
      </c>
      <c r="J1179">
        <v>2</v>
      </c>
      <c r="K1179" s="19"/>
      <c r="L1179" s="21">
        <v>0.61319444444444449</v>
      </c>
      <c r="M1179" s="27" t="s">
        <v>32</v>
      </c>
      <c r="N1179" s="19"/>
      <c r="O1179" s="21">
        <v>0.69374999999999998</v>
      </c>
      <c r="Q1179" s="7">
        <f>Table2[[#This Row],[Elevation
PILE TOP]]-Table2[[#This Row],[LENGTH(m.)
(Actual)]]</f>
        <v>-26</v>
      </c>
      <c r="R1179" s="2">
        <v>26</v>
      </c>
      <c r="S1179" s="7">
        <f>Table2[[#This Row],[N]]+Table2[[#This Row],[Pile 
Deviation 
N (m)]]</f>
        <v>1511762.6640000001</v>
      </c>
      <c r="T1179" s="7">
        <f>Table2[[#This Row],[E]]+Table2[[#This Row],[Pile 
Deviation 
E (m)]]</f>
        <v>694004.19700000004</v>
      </c>
      <c r="U1179" s="7">
        <v>0</v>
      </c>
      <c r="V1179" s="7">
        <v>0.03</v>
      </c>
      <c r="W1179" s="7">
        <v>0.24</v>
      </c>
      <c r="X1179" s="2" t="s">
        <v>51</v>
      </c>
      <c r="Y1179" t="s">
        <v>34</v>
      </c>
      <c r="Z1179" s="9">
        <v>46184</v>
      </c>
      <c r="AA1179" s="9">
        <v>46183</v>
      </c>
      <c r="AB1179">
        <v>2</v>
      </c>
    </row>
    <row r="1180" spans="1:29" hidden="1" x14ac:dyDescent="0.65">
      <c r="A1180">
        <v>1178</v>
      </c>
      <c r="B1180" t="s">
        <v>29</v>
      </c>
      <c r="C1180" s="6">
        <v>1511762.6310000001</v>
      </c>
      <c r="D1180" s="6">
        <v>693986.32</v>
      </c>
      <c r="E1180" s="2" t="s">
        <v>35</v>
      </c>
      <c r="F1180" s="1">
        <v>24</v>
      </c>
      <c r="G1180" s="2" t="s">
        <v>50</v>
      </c>
      <c r="J1180">
        <v>2</v>
      </c>
      <c r="K1180" s="19"/>
      <c r="L1180" s="21">
        <v>0.55486111111111114</v>
      </c>
      <c r="M1180" s="27" t="s">
        <v>32</v>
      </c>
      <c r="N1180" s="19"/>
      <c r="O1180" s="21">
        <v>0.58958333333333335</v>
      </c>
      <c r="Q1180" s="7">
        <f>Table2[[#This Row],[Elevation
PILE TOP]]-Table2[[#This Row],[LENGTH(m.)
(Actual)]]</f>
        <v>-26</v>
      </c>
      <c r="R1180" s="2">
        <v>26</v>
      </c>
      <c r="S1180" s="7">
        <f>Table2[[#This Row],[N]]+Table2[[#This Row],[Pile 
Deviation 
N (m)]]</f>
        <v>1511762.6510000001</v>
      </c>
      <c r="T1180" s="7">
        <f>Table2[[#This Row],[E]]+Table2[[#This Row],[Pile 
Deviation 
E (m)]]</f>
        <v>693986.32</v>
      </c>
      <c r="U1180" s="7">
        <v>0.02</v>
      </c>
      <c r="V1180" s="7">
        <v>0</v>
      </c>
      <c r="W1180" s="7">
        <v>0.24</v>
      </c>
      <c r="X1180" s="2" t="s">
        <v>51</v>
      </c>
      <c r="Y1180" t="s">
        <v>34</v>
      </c>
      <c r="Z1180" s="9">
        <v>46191</v>
      </c>
      <c r="AB1180">
        <v>23</v>
      </c>
    </row>
    <row r="1181" spans="1:29" ht="13.95" hidden="1" customHeight="1" x14ac:dyDescent="0.65">
      <c r="A1181">
        <v>1179</v>
      </c>
      <c r="B1181" t="s">
        <v>29</v>
      </c>
      <c r="C1181" s="6">
        <v>1511762.3119999999</v>
      </c>
      <c r="D1181" s="6">
        <v>693863.79200000002</v>
      </c>
      <c r="E1181" s="2" t="s">
        <v>35</v>
      </c>
      <c r="F1181" s="1">
        <v>24</v>
      </c>
      <c r="G1181" s="2" t="s">
        <v>50</v>
      </c>
      <c r="J1181"/>
      <c r="K1181" s="19"/>
      <c r="L1181" s="21"/>
      <c r="M1181" s="27"/>
      <c r="N1181" s="19"/>
      <c r="O1181" s="21"/>
      <c r="Q1181" s="7">
        <f>Table2[[#This Row],[Elevation
PILE TOP]]-Table2[[#This Row],[LENGTH(m.)
(Actual)]]</f>
        <v>0</v>
      </c>
      <c r="R1181" s="2"/>
      <c r="S1181" s="7">
        <f>Table2[[#This Row],[N]]+Table2[[#This Row],[Pile 
Deviation 
N (m)]]</f>
        <v>1511762.3119999999</v>
      </c>
      <c r="T1181" s="7">
        <f>Table2[[#This Row],[E]]+Table2[[#This Row],[Pile 
Deviation 
E (m)]]</f>
        <v>693863.79200000002</v>
      </c>
      <c r="W1181" s="7">
        <v>0.24</v>
      </c>
      <c r="X1181" s="2" t="s">
        <v>51</v>
      </c>
      <c r="AA1181" s="9">
        <v>46225</v>
      </c>
    </row>
    <row r="1182" spans="1:29" hidden="1" x14ac:dyDescent="0.65">
      <c r="A1182">
        <v>1180</v>
      </c>
      <c r="B1182" t="s">
        <v>29</v>
      </c>
      <c r="C1182" s="6">
        <v>1511762.1710000001</v>
      </c>
      <c r="D1182" s="6">
        <v>694054.76599999995</v>
      </c>
      <c r="E1182" s="2" t="s">
        <v>35</v>
      </c>
      <c r="F1182" s="1">
        <v>24</v>
      </c>
      <c r="G1182" s="2" t="s">
        <v>50</v>
      </c>
      <c r="J1182"/>
      <c r="K1182" s="19"/>
      <c r="L1182" s="21"/>
      <c r="M1182" s="27"/>
      <c r="N1182" s="19"/>
      <c r="O1182" s="21"/>
      <c r="Q1182" s="7">
        <f>Table2[[#This Row],[Elevation
PILE TOP]]-Table2[[#This Row],[LENGTH(m.)
(Actual)]]</f>
        <v>0</v>
      </c>
      <c r="R1182" s="2"/>
      <c r="S1182" s="7">
        <f>Table2[[#This Row],[N]]+Table2[[#This Row],[Pile 
Deviation 
N (m)]]</f>
        <v>1511762.1710000001</v>
      </c>
      <c r="T1182" s="7">
        <f>Table2[[#This Row],[E]]+Table2[[#This Row],[Pile 
Deviation 
E (m)]]</f>
        <v>694054.76599999995</v>
      </c>
      <c r="W1182" s="7">
        <v>0.24</v>
      </c>
      <c r="X1182" s="2" t="s">
        <v>51</v>
      </c>
    </row>
    <row r="1183" spans="1:29" ht="13.95" hidden="1" customHeight="1" x14ac:dyDescent="0.65">
      <c r="A1183">
        <v>1181</v>
      </c>
      <c r="B1183" t="s">
        <v>29</v>
      </c>
      <c r="C1183" s="6">
        <v>1511761.9709999999</v>
      </c>
      <c r="D1183" s="6">
        <v>694000.73600000003</v>
      </c>
      <c r="E1183" s="2" t="s">
        <v>35</v>
      </c>
      <c r="F1183" s="1">
        <v>24</v>
      </c>
      <c r="G1183" s="2" t="s">
        <v>50</v>
      </c>
      <c r="J1183">
        <v>2</v>
      </c>
      <c r="K1183" s="19"/>
      <c r="L1183" s="21">
        <v>0.60347222222222219</v>
      </c>
      <c r="M1183" s="27" t="s">
        <v>32</v>
      </c>
      <c r="N1183" s="19"/>
      <c r="O1183" s="21">
        <v>0.63194444444444442</v>
      </c>
      <c r="Q1183" s="7">
        <f>Table2[[#This Row],[Elevation
PILE TOP]]-Table2[[#This Row],[LENGTH(m.)
(Actual)]]</f>
        <v>-26</v>
      </c>
      <c r="R1183" s="2">
        <v>26</v>
      </c>
      <c r="S1183" s="7">
        <f>Table2[[#This Row],[N]]+Table2[[#This Row],[Pile 
Deviation 
N (m)]]</f>
        <v>1511762.041</v>
      </c>
      <c r="T1183" s="7">
        <f>Table2[[#This Row],[E]]+Table2[[#This Row],[Pile 
Deviation 
E (m)]]</f>
        <v>694000.76600000006</v>
      </c>
      <c r="U1183" s="7">
        <v>7.0000000000000007E-2</v>
      </c>
      <c r="V1183" s="7">
        <v>0.03</v>
      </c>
      <c r="W1183" s="7">
        <v>0.24</v>
      </c>
      <c r="X1183" s="2" t="s">
        <v>51</v>
      </c>
      <c r="Y1183" t="s">
        <v>34</v>
      </c>
      <c r="Z1183" s="9">
        <v>46189</v>
      </c>
      <c r="AB1183">
        <v>16</v>
      </c>
      <c r="AC1183" t="s">
        <v>53</v>
      </c>
    </row>
    <row r="1184" spans="1:29" ht="13.95" hidden="1" customHeight="1" x14ac:dyDescent="0.65">
      <c r="A1184" s="25" t="s">
        <v>54</v>
      </c>
      <c r="C1184" s="6">
        <v>1511762.1259999999</v>
      </c>
      <c r="D1184" s="6">
        <v>694001.50100000005</v>
      </c>
      <c r="E1184" s="2" t="s">
        <v>35</v>
      </c>
      <c r="F1184" s="1">
        <v>24</v>
      </c>
      <c r="G1184" s="2" t="s">
        <v>50</v>
      </c>
      <c r="J1184">
        <v>2</v>
      </c>
      <c r="K1184" s="19"/>
      <c r="L1184" s="21">
        <v>0.63888888888888895</v>
      </c>
      <c r="M1184" s="27" t="s">
        <v>32</v>
      </c>
      <c r="N1184" s="19"/>
      <c r="O1184" s="21">
        <v>0.69305555555555554</v>
      </c>
      <c r="Q1184" s="7">
        <f>Table2[[#This Row],[Elevation
PILE TOP]]-Table2[[#This Row],[LENGTH(m.)
(Actual)]]</f>
        <v>-26</v>
      </c>
      <c r="R1184" s="2">
        <v>26</v>
      </c>
      <c r="S1184" s="7">
        <f>Table2[[#This Row],[N]]+Table2[[#This Row],[Pile 
Deviation 
N (m)]]</f>
        <v>1511762.1259999999</v>
      </c>
      <c r="T1184" s="7">
        <f>Table2[[#This Row],[E]]+Table2[[#This Row],[Pile 
Deviation 
E (m)]]</f>
        <v>694001.47100000002</v>
      </c>
      <c r="U1184" s="7">
        <v>0</v>
      </c>
      <c r="V1184" s="7">
        <v>-0.03</v>
      </c>
      <c r="W1184" s="7">
        <v>0.24</v>
      </c>
      <c r="X1184" s="2" t="s">
        <v>51</v>
      </c>
      <c r="Y1184" t="s">
        <v>34</v>
      </c>
      <c r="Z1184" s="9">
        <v>46189</v>
      </c>
      <c r="AB1184">
        <v>17</v>
      </c>
      <c r="AC1184" t="s">
        <v>55</v>
      </c>
    </row>
    <row r="1185" spans="1:28" hidden="1" x14ac:dyDescent="0.65">
      <c r="A1185">
        <v>1182</v>
      </c>
      <c r="B1185" t="s">
        <v>29</v>
      </c>
      <c r="C1185" s="6">
        <v>1511761.9380000001</v>
      </c>
      <c r="D1185" s="6">
        <v>693982.89</v>
      </c>
      <c r="E1185" s="2" t="s">
        <v>35</v>
      </c>
      <c r="F1185" s="1">
        <v>24</v>
      </c>
      <c r="G1185" s="2" t="s">
        <v>50</v>
      </c>
      <c r="J1185">
        <v>2</v>
      </c>
      <c r="K1185" s="19"/>
      <c r="L1185" s="21">
        <v>0.64027777777777783</v>
      </c>
      <c r="M1185" s="27" t="s">
        <v>32</v>
      </c>
      <c r="N1185" s="19"/>
      <c r="O1185" s="21">
        <v>0.67638888888888893</v>
      </c>
      <c r="Q1185" s="7">
        <f>Table2[[#This Row],[Elevation
PILE TOP]]-Table2[[#This Row],[LENGTH(m.)
(Actual)]]</f>
        <v>-25</v>
      </c>
      <c r="R1185" s="2">
        <v>25</v>
      </c>
      <c r="S1185" s="7">
        <f>Table2[[#This Row],[N]]+Table2[[#This Row],[Pile 
Deviation 
N (m)]]</f>
        <v>1511761.9280000001</v>
      </c>
      <c r="T1185" s="7">
        <f>Table2[[#This Row],[E]]+Table2[[#This Row],[Pile 
Deviation 
E (m)]]</f>
        <v>693982.9</v>
      </c>
      <c r="U1185" s="7">
        <v>-0.01</v>
      </c>
      <c r="V1185" s="7">
        <v>0.01</v>
      </c>
      <c r="W1185" s="7">
        <v>0.24</v>
      </c>
      <c r="X1185" s="2" t="s">
        <v>51</v>
      </c>
      <c r="Y1185" t="s">
        <v>34</v>
      </c>
      <c r="Z1185" s="9">
        <v>46191</v>
      </c>
      <c r="AB1185">
        <v>24</v>
      </c>
    </row>
    <row r="1186" spans="1:28" ht="13.95" hidden="1" customHeight="1" x14ac:dyDescent="0.65">
      <c r="A1186">
        <v>1183</v>
      </c>
      <c r="B1186" t="s">
        <v>29</v>
      </c>
      <c r="C1186" s="6">
        <v>1511761.8529999999</v>
      </c>
      <c r="D1186" s="6">
        <v>694070.87300000002</v>
      </c>
      <c r="E1186" s="2" t="s">
        <v>35</v>
      </c>
      <c r="F1186" s="1">
        <v>24</v>
      </c>
      <c r="G1186" s="2" t="s">
        <v>50</v>
      </c>
      <c r="J1186"/>
      <c r="K1186" s="19"/>
      <c r="L1186" s="21"/>
      <c r="M1186" s="27"/>
      <c r="N1186" s="19"/>
      <c r="O1186" s="21"/>
      <c r="Q1186" s="7">
        <f>Table2[[#This Row],[Elevation
PILE TOP]]-Table2[[#This Row],[LENGTH(m.)
(Actual)]]</f>
        <v>0</v>
      </c>
      <c r="R1186" s="2"/>
      <c r="S1186" s="7">
        <f>Table2[[#This Row],[N]]+Table2[[#This Row],[Pile 
Deviation 
N (m)]]</f>
        <v>1511761.8529999999</v>
      </c>
      <c r="T1186" s="7">
        <f>Table2[[#This Row],[E]]+Table2[[#This Row],[Pile 
Deviation 
E (m)]]</f>
        <v>694070.87300000002</v>
      </c>
      <c r="W1186" s="7">
        <v>0.24</v>
      </c>
      <c r="X1186" s="2" t="s">
        <v>51</v>
      </c>
    </row>
    <row r="1187" spans="1:28" hidden="1" x14ac:dyDescent="0.65">
      <c r="A1187">
        <v>1184</v>
      </c>
      <c r="B1187" t="s">
        <v>29</v>
      </c>
      <c r="C1187" s="6">
        <v>1511761.5109999999</v>
      </c>
      <c r="D1187" s="6">
        <v>694069.18200000003</v>
      </c>
      <c r="E1187" s="2" t="s">
        <v>35</v>
      </c>
      <c r="F1187" s="1">
        <v>24</v>
      </c>
      <c r="G1187" s="2" t="s">
        <v>50</v>
      </c>
      <c r="J1187"/>
      <c r="K1187" s="19"/>
      <c r="L1187" s="21"/>
      <c r="M1187" s="27"/>
      <c r="N1187" s="19"/>
      <c r="O1187" s="21"/>
      <c r="Q1187" s="7">
        <f>Table2[[#This Row],[Elevation
PILE TOP]]-Table2[[#This Row],[LENGTH(m.)
(Actual)]]</f>
        <v>0</v>
      </c>
      <c r="R1187" s="2"/>
      <c r="S1187" s="7">
        <f>Table2[[#This Row],[N]]+Table2[[#This Row],[Pile 
Deviation 
N (m)]]</f>
        <v>1511761.5109999999</v>
      </c>
      <c r="T1187" s="7">
        <f>Table2[[#This Row],[E]]+Table2[[#This Row],[Pile 
Deviation 
E (m)]]</f>
        <v>694069.18200000003</v>
      </c>
      <c r="W1187" s="7">
        <v>0.24</v>
      </c>
      <c r="X1187" s="2" t="s">
        <v>51</v>
      </c>
    </row>
    <row r="1188" spans="1:28" ht="13.95" hidden="1" customHeight="1" x14ac:dyDescent="0.65">
      <c r="A1188">
        <v>1185</v>
      </c>
      <c r="B1188" t="s">
        <v>29</v>
      </c>
      <c r="C1188" s="6">
        <v>1511761.4779999999</v>
      </c>
      <c r="D1188" s="6">
        <v>694051.33499999996</v>
      </c>
      <c r="E1188" s="2" t="s">
        <v>35</v>
      </c>
      <c r="F1188" s="1">
        <v>24</v>
      </c>
      <c r="G1188" s="2" t="s">
        <v>50</v>
      </c>
      <c r="J1188"/>
      <c r="K1188" s="19"/>
      <c r="L1188" s="21"/>
      <c r="M1188" s="27"/>
      <c r="N1188" s="19"/>
      <c r="O1188" s="21"/>
      <c r="Q1188" s="7">
        <f>Table2[[#This Row],[Elevation
PILE TOP]]-Table2[[#This Row],[LENGTH(m.)
(Actual)]]</f>
        <v>0</v>
      </c>
      <c r="R1188" s="2"/>
      <c r="S1188" s="7">
        <f>Table2[[#This Row],[N]]+Table2[[#This Row],[Pile 
Deviation 
N (m)]]</f>
        <v>1511761.4779999999</v>
      </c>
      <c r="T1188" s="7">
        <f>Table2[[#This Row],[E]]+Table2[[#This Row],[Pile 
Deviation 
E (m)]]</f>
        <v>694051.33499999996</v>
      </c>
      <c r="W1188" s="7">
        <v>0.24</v>
      </c>
      <c r="X1188" s="2" t="s">
        <v>51</v>
      </c>
    </row>
    <row r="1189" spans="1:28" hidden="1" x14ac:dyDescent="0.65">
      <c r="A1189">
        <v>1186</v>
      </c>
      <c r="B1189" t="s">
        <v>29</v>
      </c>
      <c r="C1189" s="6">
        <v>1511761.446</v>
      </c>
      <c r="D1189" s="6">
        <v>693867.18299999996</v>
      </c>
      <c r="E1189" s="2" t="s">
        <v>35</v>
      </c>
      <c r="F1189" s="1">
        <v>24</v>
      </c>
      <c r="G1189" s="2" t="s">
        <v>50</v>
      </c>
      <c r="J1189"/>
      <c r="K1189" s="19"/>
      <c r="L1189" s="21"/>
      <c r="M1189" s="27"/>
      <c r="N1189" s="19"/>
      <c r="O1189" s="21"/>
      <c r="Q1189" s="7">
        <f>Table2[[#This Row],[Elevation
PILE TOP]]-Table2[[#This Row],[LENGTH(m.)
(Actual)]]</f>
        <v>0</v>
      </c>
      <c r="R1189" s="2"/>
      <c r="S1189" s="7">
        <f>Table2[[#This Row],[N]]+Table2[[#This Row],[Pile 
Deviation 
N (m)]]</f>
        <v>1511761.446</v>
      </c>
      <c r="T1189" s="7">
        <f>Table2[[#This Row],[E]]+Table2[[#This Row],[Pile 
Deviation 
E (m)]]</f>
        <v>693867.18299999996</v>
      </c>
      <c r="W1189" s="7">
        <v>0.24</v>
      </c>
      <c r="X1189" s="2" t="s">
        <v>51</v>
      </c>
      <c r="AA1189" s="9">
        <v>46225</v>
      </c>
    </row>
    <row r="1190" spans="1:28" ht="13.95" hidden="1" customHeight="1" x14ac:dyDescent="0.65">
      <c r="A1190">
        <v>1187</v>
      </c>
      <c r="B1190" t="s">
        <v>29</v>
      </c>
      <c r="C1190" s="6">
        <v>1511761.2779999999</v>
      </c>
      <c r="D1190" s="6">
        <v>693997.30500000005</v>
      </c>
      <c r="E1190" s="2" t="s">
        <v>35</v>
      </c>
      <c r="F1190" s="1">
        <v>24</v>
      </c>
      <c r="G1190" s="2" t="s">
        <v>50</v>
      </c>
      <c r="J1190">
        <v>2</v>
      </c>
      <c r="K1190" s="19"/>
      <c r="L1190" s="21">
        <v>0.55555555555555558</v>
      </c>
      <c r="M1190" s="27" t="s">
        <v>32</v>
      </c>
      <c r="N1190" s="19"/>
      <c r="O1190" s="21">
        <v>0.59097222222222223</v>
      </c>
      <c r="Q1190" s="7">
        <f>Table2[[#This Row],[Elevation
PILE TOP]]-Table2[[#This Row],[LENGTH(m.)
(Actual)]]</f>
        <v>-26</v>
      </c>
      <c r="R1190" s="2">
        <v>26</v>
      </c>
      <c r="S1190" s="7">
        <f>Table2[[#This Row],[N]]+Table2[[#This Row],[Pile 
Deviation 
N (m)]]</f>
        <v>1511761.2779999999</v>
      </c>
      <c r="T1190" s="7">
        <f>Table2[[#This Row],[E]]+Table2[[#This Row],[Pile 
Deviation 
E (m)]]</f>
        <v>693997.32500000007</v>
      </c>
      <c r="U1190" s="7">
        <v>0</v>
      </c>
      <c r="V1190" s="7">
        <v>0.02</v>
      </c>
      <c r="W1190" s="7">
        <v>0.24</v>
      </c>
      <c r="X1190" s="2" t="s">
        <v>51</v>
      </c>
      <c r="Y1190" t="s">
        <v>34</v>
      </c>
      <c r="Z1190" s="9">
        <v>46189</v>
      </c>
      <c r="AB1190">
        <v>15</v>
      </c>
    </row>
    <row r="1191" spans="1:28" hidden="1" x14ac:dyDescent="0.65">
      <c r="A1191">
        <v>1188</v>
      </c>
      <c r="B1191" t="s">
        <v>29</v>
      </c>
      <c r="C1191" s="6">
        <v>1511761.2450000001</v>
      </c>
      <c r="D1191" s="6">
        <v>693979.45900000003</v>
      </c>
      <c r="E1191" s="2" t="s">
        <v>35</v>
      </c>
      <c r="F1191" s="1">
        <v>24</v>
      </c>
      <c r="G1191" s="2" t="s">
        <v>50</v>
      </c>
      <c r="J1191">
        <v>2</v>
      </c>
      <c r="K1191" s="19"/>
      <c r="L1191" s="21">
        <v>0.69305555555555554</v>
      </c>
      <c r="M1191" s="27" t="s">
        <v>32</v>
      </c>
      <c r="N1191" s="19"/>
      <c r="O1191" s="21">
        <v>0.7270833333333333</v>
      </c>
      <c r="Q1191" s="7">
        <f>Table2[[#This Row],[Elevation
PILE TOP]]-Table2[[#This Row],[LENGTH(m.)
(Actual)]]</f>
        <v>-25</v>
      </c>
      <c r="R1191" s="2">
        <v>25</v>
      </c>
      <c r="S1191" s="7">
        <f>Table2[[#This Row],[N]]+Table2[[#This Row],[Pile 
Deviation 
N (m)]]</f>
        <v>1511761.2450000001</v>
      </c>
      <c r="T1191" s="7">
        <f>Table2[[#This Row],[E]]+Table2[[#This Row],[Pile 
Deviation 
E (m)]]</f>
        <v>693979.44900000002</v>
      </c>
      <c r="U1191" s="7">
        <v>0</v>
      </c>
      <c r="V1191" s="7">
        <v>-0.01</v>
      </c>
      <c r="W1191" s="7">
        <v>0.24</v>
      </c>
      <c r="X1191" s="2" t="s">
        <v>51</v>
      </c>
      <c r="Y1191" t="s">
        <v>34</v>
      </c>
      <c r="Z1191" s="9">
        <v>46191</v>
      </c>
      <c r="AB1191">
        <v>25</v>
      </c>
    </row>
    <row r="1192" spans="1:28" ht="13.95" hidden="1" customHeight="1" x14ac:dyDescent="0.65">
      <c r="A1192">
        <v>1189</v>
      </c>
      <c r="B1192" t="s">
        <v>29</v>
      </c>
      <c r="C1192" s="6">
        <v>1511760.818</v>
      </c>
      <c r="D1192" s="6">
        <v>694065.75100000005</v>
      </c>
      <c r="E1192" s="2" t="s">
        <v>35</v>
      </c>
      <c r="F1192" s="1">
        <v>24</v>
      </c>
      <c r="G1192" s="2" t="s">
        <v>50</v>
      </c>
      <c r="J1192"/>
      <c r="K1192" s="19"/>
      <c r="L1192" s="21"/>
      <c r="M1192" s="27"/>
      <c r="N1192" s="19"/>
      <c r="O1192" s="21"/>
      <c r="Q1192" s="7">
        <f>Table2[[#This Row],[Elevation
PILE TOP]]-Table2[[#This Row],[LENGTH(m.)
(Actual)]]</f>
        <v>0</v>
      </c>
      <c r="R1192" s="2"/>
      <c r="S1192" s="7">
        <f>Table2[[#This Row],[N]]+Table2[[#This Row],[Pile 
Deviation 
N (m)]]</f>
        <v>1511760.818</v>
      </c>
      <c r="T1192" s="7">
        <f>Table2[[#This Row],[E]]+Table2[[#This Row],[Pile 
Deviation 
E (m)]]</f>
        <v>694065.75100000005</v>
      </c>
      <c r="W1192" s="7">
        <v>0.24</v>
      </c>
      <c r="X1192" s="2" t="s">
        <v>51</v>
      </c>
    </row>
    <row r="1193" spans="1:28" hidden="1" x14ac:dyDescent="0.65">
      <c r="A1193">
        <v>1190</v>
      </c>
      <c r="B1193" t="s">
        <v>29</v>
      </c>
      <c r="C1193" s="6">
        <v>1511760.7849999999</v>
      </c>
      <c r="D1193" s="6">
        <v>694047.90399999998</v>
      </c>
      <c r="E1193" s="2" t="s">
        <v>35</v>
      </c>
      <c r="F1193" s="1">
        <v>24</v>
      </c>
      <c r="G1193" s="2" t="s">
        <v>50</v>
      </c>
      <c r="J1193"/>
      <c r="K1193" s="19"/>
      <c r="L1193" s="21"/>
      <c r="M1193" s="27"/>
      <c r="N1193" s="19"/>
      <c r="O1193" s="21"/>
      <c r="Q1193" s="7">
        <f>Table2[[#This Row],[Elevation
PILE TOP]]-Table2[[#This Row],[LENGTH(m.)
(Actual)]]</f>
        <v>0</v>
      </c>
      <c r="R1193" s="2"/>
      <c r="S1193" s="7">
        <f>Table2[[#This Row],[N]]+Table2[[#This Row],[Pile 
Deviation 
N (m)]]</f>
        <v>1511760.7849999999</v>
      </c>
      <c r="T1193" s="7">
        <f>Table2[[#This Row],[E]]+Table2[[#This Row],[Pile 
Deviation 
E (m)]]</f>
        <v>694047.90399999998</v>
      </c>
      <c r="W1193" s="7">
        <v>0.24</v>
      </c>
      <c r="X1193" s="2" t="s">
        <v>51</v>
      </c>
    </row>
    <row r="1194" spans="1:28" ht="13.95" hidden="1" customHeight="1" x14ac:dyDescent="0.65">
      <c r="A1194">
        <v>1191</v>
      </c>
      <c r="B1194" t="s">
        <v>29</v>
      </c>
      <c r="C1194" s="6">
        <v>1511760.5859999999</v>
      </c>
      <c r="D1194" s="6">
        <v>693993.875</v>
      </c>
      <c r="E1194" s="2" t="s">
        <v>35</v>
      </c>
      <c r="F1194" s="1">
        <v>24</v>
      </c>
      <c r="G1194" s="2" t="s">
        <v>50</v>
      </c>
      <c r="J1194">
        <v>2</v>
      </c>
      <c r="K1194" s="19"/>
      <c r="L1194" s="21">
        <v>0.42986111111111108</v>
      </c>
      <c r="M1194" s="27" t="s">
        <v>32</v>
      </c>
      <c r="N1194" s="19"/>
      <c r="O1194" s="21">
        <v>0.49583333333333335</v>
      </c>
      <c r="Q1194" s="7">
        <f>Table2[[#This Row],[Elevation
PILE TOP]]-Table2[[#This Row],[LENGTH(m.)
(Actual)]]</f>
        <v>-26</v>
      </c>
      <c r="R1194" s="2">
        <v>26</v>
      </c>
      <c r="S1194" s="7">
        <f>Table2[[#This Row],[N]]+Table2[[#This Row],[Pile 
Deviation 
N (m)]]</f>
        <v>1511760.6059999999</v>
      </c>
      <c r="T1194" s="7">
        <f>Table2[[#This Row],[E]]+Table2[[#This Row],[Pile 
Deviation 
E (m)]]</f>
        <v>693993.875</v>
      </c>
      <c r="U1194" s="7">
        <v>0.02</v>
      </c>
      <c r="V1194" s="7">
        <v>0</v>
      </c>
      <c r="W1194" s="7">
        <v>0.24</v>
      </c>
      <c r="X1194" s="2" t="s">
        <v>51</v>
      </c>
      <c r="Y1194" t="s">
        <v>34</v>
      </c>
      <c r="Z1194" s="9">
        <v>46189</v>
      </c>
      <c r="AB1194">
        <v>14</v>
      </c>
    </row>
    <row r="1195" spans="1:28" hidden="1" x14ac:dyDescent="0.65">
      <c r="A1195">
        <v>1192</v>
      </c>
      <c r="B1195" t="s">
        <v>29</v>
      </c>
      <c r="C1195" s="6">
        <v>1511760.5549999999</v>
      </c>
      <c r="D1195" s="6">
        <v>693870.58200000005</v>
      </c>
      <c r="E1195" s="2" t="s">
        <v>35</v>
      </c>
      <c r="F1195" s="1">
        <v>24</v>
      </c>
      <c r="G1195" s="2" t="s">
        <v>50</v>
      </c>
      <c r="J1195"/>
      <c r="K1195" s="19"/>
      <c r="L1195" s="21"/>
      <c r="M1195" s="27"/>
      <c r="N1195" s="19"/>
      <c r="O1195" s="21"/>
      <c r="Q1195" s="7">
        <f>Table2[[#This Row],[Elevation
PILE TOP]]-Table2[[#This Row],[LENGTH(m.)
(Actual)]]</f>
        <v>0</v>
      </c>
      <c r="R1195" s="2"/>
      <c r="S1195" s="7">
        <f>Table2[[#This Row],[N]]+Table2[[#This Row],[Pile 
Deviation 
N (m)]]</f>
        <v>1511760.5549999999</v>
      </c>
      <c r="T1195" s="7">
        <f>Table2[[#This Row],[E]]+Table2[[#This Row],[Pile 
Deviation 
E (m)]]</f>
        <v>693870.58200000005</v>
      </c>
      <c r="W1195" s="7">
        <v>0.24</v>
      </c>
      <c r="X1195" s="2" t="s">
        <v>51</v>
      </c>
      <c r="AA1195" s="9">
        <v>46225</v>
      </c>
    </row>
    <row r="1196" spans="1:28" ht="13.95" hidden="1" customHeight="1" x14ac:dyDescent="0.65">
      <c r="A1196">
        <v>1193</v>
      </c>
      <c r="B1196" t="s">
        <v>29</v>
      </c>
      <c r="C1196" s="6">
        <v>1511760.5519999999</v>
      </c>
      <c r="D1196" s="6">
        <v>693976.02800000005</v>
      </c>
      <c r="E1196" s="2" t="s">
        <v>35</v>
      </c>
      <c r="F1196" s="1">
        <v>24</v>
      </c>
      <c r="G1196" s="2" t="s">
        <v>50</v>
      </c>
      <c r="J1196">
        <v>2</v>
      </c>
      <c r="K1196" s="19"/>
      <c r="L1196" s="21">
        <v>0.7319444444444444</v>
      </c>
      <c r="M1196" s="27" t="s">
        <v>32</v>
      </c>
      <c r="N1196" s="19"/>
      <c r="O1196" s="21">
        <v>0.77013888888888893</v>
      </c>
      <c r="Q1196" s="7">
        <f>Table2[[#This Row],[Elevation
PILE TOP]]-Table2[[#This Row],[LENGTH(m.)
(Actual)]]</f>
        <v>-25</v>
      </c>
      <c r="R1196" s="2">
        <v>25</v>
      </c>
      <c r="S1196" s="7">
        <f>Table2[[#This Row],[N]]+Table2[[#This Row],[Pile 
Deviation 
N (m)]]</f>
        <v>1511760.5519999999</v>
      </c>
      <c r="T1196" s="7">
        <f>Table2[[#This Row],[E]]+Table2[[#This Row],[Pile 
Deviation 
E (m)]]</f>
        <v>693976.04800000007</v>
      </c>
      <c r="U1196" s="7">
        <v>0</v>
      </c>
      <c r="V1196" s="7">
        <v>0.02</v>
      </c>
      <c r="W1196" s="7">
        <v>0.24</v>
      </c>
      <c r="X1196" s="2" t="s">
        <v>51</v>
      </c>
      <c r="Y1196" t="s">
        <v>34</v>
      </c>
      <c r="Z1196" s="9">
        <v>46191</v>
      </c>
      <c r="AB1196">
        <v>26</v>
      </c>
    </row>
    <row r="1197" spans="1:28" hidden="1" x14ac:dyDescent="0.65">
      <c r="A1197">
        <v>1194</v>
      </c>
      <c r="B1197" t="s">
        <v>29</v>
      </c>
      <c r="C1197" s="6">
        <v>1511760.125</v>
      </c>
      <c r="D1197" s="6">
        <v>694062.32</v>
      </c>
      <c r="E1197" s="2" t="s">
        <v>35</v>
      </c>
      <c r="F1197" s="1">
        <v>24</v>
      </c>
      <c r="G1197" s="2" t="s">
        <v>50</v>
      </c>
      <c r="J1197"/>
      <c r="K1197" s="19"/>
      <c r="L1197" s="21"/>
      <c r="M1197" s="27"/>
      <c r="N1197" s="19"/>
      <c r="O1197" s="21"/>
      <c r="Q1197" s="7">
        <f>Table2[[#This Row],[Elevation
PILE TOP]]-Table2[[#This Row],[LENGTH(m.)
(Actual)]]</f>
        <v>0</v>
      </c>
      <c r="R1197" s="2"/>
      <c r="S1197" s="7">
        <f>Table2[[#This Row],[N]]+Table2[[#This Row],[Pile 
Deviation 
N (m)]]</f>
        <v>1511760.125</v>
      </c>
      <c r="T1197" s="7">
        <f>Table2[[#This Row],[E]]+Table2[[#This Row],[Pile 
Deviation 
E (m)]]</f>
        <v>694062.32</v>
      </c>
      <c r="W1197" s="7">
        <v>0.24</v>
      </c>
      <c r="X1197" s="2" t="s">
        <v>51</v>
      </c>
    </row>
    <row r="1198" spans="1:28" ht="13.95" hidden="1" customHeight="1" x14ac:dyDescent="0.65">
      <c r="A1198">
        <v>1195</v>
      </c>
      <c r="B1198" t="s">
        <v>29</v>
      </c>
      <c r="C1198" s="6">
        <v>1511760.0919999999</v>
      </c>
      <c r="D1198" s="6">
        <v>694044.47400000005</v>
      </c>
      <c r="E1198" s="2" t="s">
        <v>35</v>
      </c>
      <c r="F1198" s="1">
        <v>24</v>
      </c>
      <c r="G1198" s="2" t="s">
        <v>50</v>
      </c>
      <c r="J1198"/>
      <c r="K1198" s="19"/>
      <c r="L1198" s="21"/>
      <c r="M1198" s="27"/>
      <c r="N1198" s="19"/>
      <c r="O1198" s="21"/>
      <c r="Q1198" s="7">
        <f>Table2[[#This Row],[Elevation
PILE TOP]]-Table2[[#This Row],[LENGTH(m.)
(Actual)]]</f>
        <v>0</v>
      </c>
      <c r="R1198" s="2"/>
      <c r="S1198" s="7">
        <f>Table2[[#This Row],[N]]+Table2[[#This Row],[Pile 
Deviation 
N (m)]]</f>
        <v>1511760.0919999999</v>
      </c>
      <c r="T1198" s="7">
        <f>Table2[[#This Row],[E]]+Table2[[#This Row],[Pile 
Deviation 
E (m)]]</f>
        <v>694044.47400000005</v>
      </c>
      <c r="W1198" s="7">
        <v>0.24</v>
      </c>
      <c r="X1198" s="2" t="s">
        <v>51</v>
      </c>
    </row>
    <row r="1199" spans="1:28" hidden="1" x14ac:dyDescent="0.65">
      <c r="A1199">
        <v>1196</v>
      </c>
      <c r="B1199" t="s">
        <v>29</v>
      </c>
      <c r="C1199" s="6">
        <v>1511759.8929999999</v>
      </c>
      <c r="D1199" s="6">
        <v>693990.44400000002</v>
      </c>
      <c r="E1199" s="2" t="s">
        <v>35</v>
      </c>
      <c r="F1199" s="1">
        <v>24</v>
      </c>
      <c r="G1199" s="2" t="s">
        <v>50</v>
      </c>
      <c r="H1199" s="22">
        <v>46133</v>
      </c>
      <c r="I1199" s="22">
        <v>46187</v>
      </c>
      <c r="J1199">
        <v>2</v>
      </c>
      <c r="K1199" s="20" t="s">
        <v>56</v>
      </c>
      <c r="L1199" s="21">
        <v>0.38750000000000001</v>
      </c>
      <c r="M1199" s="28" t="s">
        <v>32</v>
      </c>
      <c r="N1199" s="20" t="s">
        <v>56</v>
      </c>
      <c r="O1199" s="21">
        <v>0.41944444444444445</v>
      </c>
      <c r="P1199" s="7">
        <v>1.1619999999999999</v>
      </c>
      <c r="Q1199" s="7">
        <f>Table2[[#This Row],[Elevation
PILE TOP]]-Table2[[#This Row],[LENGTH(m.)
(Actual)]]</f>
        <v>-24.838000000000001</v>
      </c>
      <c r="R1199" s="2">
        <v>26</v>
      </c>
      <c r="S1199" s="7">
        <f>Table2[[#This Row],[N]]+Table2[[#This Row],[Pile 
Deviation 
N (m)]]</f>
        <v>1511759.8929999999</v>
      </c>
      <c r="T1199" s="7">
        <f>Table2[[#This Row],[E]]+Table2[[#This Row],[Pile 
Deviation 
E (m)]]</f>
        <v>693990.44400000002</v>
      </c>
      <c r="U1199" s="7">
        <v>0</v>
      </c>
      <c r="V1199" s="7">
        <v>0</v>
      </c>
      <c r="W1199" s="7">
        <v>0.24</v>
      </c>
      <c r="X1199" s="2" t="s">
        <v>51</v>
      </c>
      <c r="Y1199" t="s">
        <v>34</v>
      </c>
      <c r="Z1199" s="9">
        <v>46189</v>
      </c>
      <c r="AB1199">
        <v>13</v>
      </c>
    </row>
    <row r="1200" spans="1:28" ht="13.95" hidden="1" customHeight="1" x14ac:dyDescent="0.65">
      <c r="A1200">
        <v>1197</v>
      </c>
      <c r="B1200" t="s">
        <v>29</v>
      </c>
      <c r="C1200" s="6">
        <v>1511759.8589999999</v>
      </c>
      <c r="D1200" s="6">
        <v>693972.59699999995</v>
      </c>
      <c r="E1200" s="2" t="s">
        <v>35</v>
      </c>
      <c r="F1200" s="1">
        <v>24</v>
      </c>
      <c r="G1200" s="2" t="s">
        <v>50</v>
      </c>
      <c r="J1200">
        <v>2</v>
      </c>
      <c r="K1200" s="19"/>
      <c r="L1200" s="21">
        <v>0.37847222222222227</v>
      </c>
      <c r="M1200" s="27" t="s">
        <v>32</v>
      </c>
      <c r="N1200" s="19"/>
      <c r="O1200" s="21">
        <v>0.45</v>
      </c>
      <c r="Q1200" s="7">
        <f>Table2[[#This Row],[Elevation
PILE TOP]]-Table2[[#This Row],[LENGTH(m.)
(Actual)]]</f>
        <v>-25</v>
      </c>
      <c r="R1200" s="2">
        <v>25</v>
      </c>
      <c r="S1200" s="7">
        <f>Table2[[#This Row],[N]]+Table2[[#This Row],[Pile 
Deviation 
N (m)]]</f>
        <v>1511759.879</v>
      </c>
      <c r="T1200" s="7">
        <f>Table2[[#This Row],[E]]+Table2[[#This Row],[Pile 
Deviation 
E (m)]]</f>
        <v>693972.59699999995</v>
      </c>
      <c r="U1200" s="7">
        <v>0.02</v>
      </c>
      <c r="V1200" s="7">
        <v>0</v>
      </c>
      <c r="W1200" s="7">
        <v>0.24</v>
      </c>
      <c r="X1200" s="2" t="s">
        <v>51</v>
      </c>
    </row>
    <row r="1201" spans="1:29" hidden="1" x14ac:dyDescent="0.65">
      <c r="A1201">
        <v>1198</v>
      </c>
      <c r="B1201" t="s">
        <v>29</v>
      </c>
      <c r="C1201" s="6">
        <v>1511759.7120000001</v>
      </c>
      <c r="D1201" s="6">
        <v>693873.97900000005</v>
      </c>
      <c r="E1201" s="2" t="s">
        <v>35</v>
      </c>
      <c r="F1201" s="1">
        <v>24</v>
      </c>
      <c r="G1201" s="2" t="s">
        <v>50</v>
      </c>
      <c r="J1201"/>
      <c r="K1201" s="19"/>
      <c r="L1201" s="21"/>
      <c r="M1201" s="27"/>
      <c r="N1201" s="19"/>
      <c r="O1201" s="21"/>
      <c r="Q1201" s="7">
        <f>Table2[[#This Row],[Elevation
PILE TOP]]-Table2[[#This Row],[LENGTH(m.)
(Actual)]]</f>
        <v>0</v>
      </c>
      <c r="R1201" s="2"/>
      <c r="S1201" s="7">
        <f>Table2[[#This Row],[N]]+Table2[[#This Row],[Pile 
Deviation 
N (m)]]</f>
        <v>1511759.7120000001</v>
      </c>
      <c r="T1201" s="7">
        <f>Table2[[#This Row],[E]]+Table2[[#This Row],[Pile 
Deviation 
E (m)]]</f>
        <v>693873.97900000005</v>
      </c>
      <c r="W1201" s="7">
        <v>0.24</v>
      </c>
      <c r="X1201" s="2" t="s">
        <v>51</v>
      </c>
      <c r="AA1201" s="9">
        <v>46226</v>
      </c>
    </row>
    <row r="1202" spans="1:29" ht="13.95" hidden="1" customHeight="1" x14ac:dyDescent="0.65">
      <c r="A1202">
        <v>1199</v>
      </c>
      <c r="B1202" t="s">
        <v>29</v>
      </c>
      <c r="C1202" s="6">
        <v>1511759.433</v>
      </c>
      <c r="D1202" s="6">
        <v>694058.88899999997</v>
      </c>
      <c r="E1202" s="2" t="s">
        <v>35</v>
      </c>
      <c r="F1202" s="1">
        <v>24</v>
      </c>
      <c r="G1202" s="2" t="s">
        <v>50</v>
      </c>
      <c r="J1202"/>
      <c r="K1202" s="19"/>
      <c r="L1202" s="21"/>
      <c r="M1202" s="27"/>
      <c r="N1202" s="19"/>
      <c r="O1202" s="21"/>
      <c r="Q1202" s="7">
        <f>Table2[[#This Row],[Elevation
PILE TOP]]-Table2[[#This Row],[LENGTH(m.)
(Actual)]]</f>
        <v>0</v>
      </c>
      <c r="R1202" s="2"/>
      <c r="S1202" s="7">
        <f>Table2[[#This Row],[N]]+Table2[[#This Row],[Pile 
Deviation 
N (m)]]</f>
        <v>1511759.433</v>
      </c>
      <c r="T1202" s="7">
        <f>Table2[[#This Row],[E]]+Table2[[#This Row],[Pile 
Deviation 
E (m)]]</f>
        <v>694058.88899999997</v>
      </c>
      <c r="W1202" s="7">
        <v>0.24</v>
      </c>
      <c r="X1202" s="2" t="s">
        <v>51</v>
      </c>
    </row>
    <row r="1203" spans="1:29" hidden="1" x14ac:dyDescent="0.65">
      <c r="A1203">
        <v>1200</v>
      </c>
      <c r="B1203" t="s">
        <v>29</v>
      </c>
      <c r="C1203" s="6">
        <v>1511759.2</v>
      </c>
      <c r="D1203" s="6">
        <v>693987.01300000004</v>
      </c>
      <c r="E1203" s="2" t="s">
        <v>35</v>
      </c>
      <c r="F1203" s="1">
        <v>24</v>
      </c>
      <c r="G1203" s="2" t="s">
        <v>50</v>
      </c>
      <c r="J1203">
        <v>2</v>
      </c>
      <c r="K1203" s="19"/>
      <c r="L1203" s="21">
        <v>0.67847222222222225</v>
      </c>
      <c r="M1203" s="27" t="s">
        <v>32</v>
      </c>
      <c r="N1203" s="19"/>
      <c r="O1203" s="21">
        <v>0.70416666666666661</v>
      </c>
      <c r="Q1203" s="7">
        <f>Table2[[#This Row],[Elevation
PILE TOP]]-Table2[[#This Row],[LENGTH(m.)
(Actual)]]</f>
        <v>-26</v>
      </c>
      <c r="R1203" s="2">
        <v>26</v>
      </c>
      <c r="S1203" s="7">
        <f>Table2[[#This Row],[N]]+Table2[[#This Row],[Pile 
Deviation 
N (m)]]</f>
        <v>1511759.18</v>
      </c>
      <c r="T1203" s="7">
        <f>Table2[[#This Row],[E]]+Table2[[#This Row],[Pile 
Deviation 
E (m)]]</f>
        <v>693987.01300000004</v>
      </c>
      <c r="U1203" s="7">
        <v>-0.02</v>
      </c>
      <c r="V1203" s="7">
        <v>0</v>
      </c>
      <c r="W1203" s="7">
        <v>0.24</v>
      </c>
      <c r="X1203" s="2" t="s">
        <v>51</v>
      </c>
      <c r="Y1203" t="s">
        <v>34</v>
      </c>
      <c r="Z1203" s="9">
        <v>46188</v>
      </c>
      <c r="AB1203">
        <v>12</v>
      </c>
    </row>
    <row r="1204" spans="1:29" ht="13.95" hidden="1" customHeight="1" x14ac:dyDescent="0.65">
      <c r="A1204">
        <v>1201</v>
      </c>
      <c r="B1204" t="s">
        <v>29</v>
      </c>
      <c r="C1204" s="6">
        <v>1511759.166</v>
      </c>
      <c r="D1204" s="6">
        <v>693969.16700000002</v>
      </c>
      <c r="E1204" s="2" t="s">
        <v>35</v>
      </c>
      <c r="F1204" s="1">
        <v>24</v>
      </c>
      <c r="G1204" s="2" t="s">
        <v>50</v>
      </c>
      <c r="J1204">
        <v>2</v>
      </c>
      <c r="K1204" s="19"/>
      <c r="L1204" s="21">
        <v>0.47986111111111113</v>
      </c>
      <c r="M1204" s="27" t="s">
        <v>32</v>
      </c>
      <c r="N1204" s="19"/>
      <c r="O1204" s="21">
        <v>0.55486111111111114</v>
      </c>
      <c r="Q1204" s="7">
        <f>Table2[[#This Row],[Elevation
PILE TOP]]-Table2[[#This Row],[LENGTH(m.)
(Actual)]]</f>
        <v>-25</v>
      </c>
      <c r="R1204" s="2">
        <v>25</v>
      </c>
      <c r="S1204" s="7">
        <f>Table2[[#This Row],[N]]+Table2[[#This Row],[Pile 
Deviation 
N (m)]]</f>
        <v>1511759.156</v>
      </c>
      <c r="T1204" s="7">
        <f>Table2[[#This Row],[E]]+Table2[[#This Row],[Pile 
Deviation 
E (m)]]</f>
        <v>693969.18700000003</v>
      </c>
      <c r="U1204" s="7">
        <v>-0.01</v>
      </c>
      <c r="V1204" s="7">
        <v>0.02</v>
      </c>
      <c r="W1204" s="7">
        <v>0.24</v>
      </c>
      <c r="X1204" s="2" t="s">
        <v>51</v>
      </c>
    </row>
    <row r="1205" spans="1:29" hidden="1" x14ac:dyDescent="0.65">
      <c r="A1205">
        <v>1202</v>
      </c>
      <c r="B1205" t="s">
        <v>29</v>
      </c>
      <c r="C1205" s="6">
        <v>1511758.8689999999</v>
      </c>
      <c r="D1205" s="6">
        <v>693877.37600000005</v>
      </c>
      <c r="E1205" s="2" t="s">
        <v>35</v>
      </c>
      <c r="F1205" s="1">
        <v>24</v>
      </c>
      <c r="G1205" s="2" t="s">
        <v>50</v>
      </c>
      <c r="J1205"/>
      <c r="K1205" s="19"/>
      <c r="L1205" s="21"/>
      <c r="M1205" s="27"/>
      <c r="N1205" s="19"/>
      <c r="O1205" s="21"/>
      <c r="Q1205" s="7">
        <f>Table2[[#This Row],[Elevation
PILE TOP]]-Table2[[#This Row],[LENGTH(m.)
(Actual)]]</f>
        <v>0</v>
      </c>
      <c r="R1205" s="2"/>
      <c r="S1205" s="7">
        <f>Table2[[#This Row],[N]]+Table2[[#This Row],[Pile 
Deviation 
N (m)]]</f>
        <v>1511758.8689999999</v>
      </c>
      <c r="T1205" s="7">
        <f>Table2[[#This Row],[E]]+Table2[[#This Row],[Pile 
Deviation 
E (m)]]</f>
        <v>693877.37600000005</v>
      </c>
      <c r="W1205" s="7">
        <v>0.24</v>
      </c>
      <c r="X1205" s="2" t="s">
        <v>51</v>
      </c>
      <c r="AA1205" s="9">
        <v>46226</v>
      </c>
    </row>
    <row r="1206" spans="1:29" ht="13.95" hidden="1" customHeight="1" x14ac:dyDescent="0.65">
      <c r="A1206">
        <v>1203</v>
      </c>
      <c r="B1206" t="s">
        <v>29</v>
      </c>
      <c r="C1206" s="6">
        <v>1511758.74</v>
      </c>
      <c r="D1206" s="6">
        <v>694055.45900000003</v>
      </c>
      <c r="E1206" s="2" t="s">
        <v>35</v>
      </c>
      <c r="F1206" s="1">
        <v>24</v>
      </c>
      <c r="G1206" s="2" t="s">
        <v>50</v>
      </c>
      <c r="J1206"/>
      <c r="K1206" s="19"/>
      <c r="L1206" s="21"/>
      <c r="M1206" s="27"/>
      <c r="N1206" s="19"/>
      <c r="O1206" s="21"/>
      <c r="Q1206" s="7">
        <f>Table2[[#This Row],[Elevation
PILE TOP]]-Table2[[#This Row],[LENGTH(m.)
(Actual)]]</f>
        <v>0</v>
      </c>
      <c r="R1206" s="2"/>
      <c r="S1206" s="7">
        <f>Table2[[#This Row],[N]]+Table2[[#This Row],[Pile 
Deviation 
N (m)]]</f>
        <v>1511758.74</v>
      </c>
      <c r="T1206" s="7">
        <f>Table2[[#This Row],[E]]+Table2[[#This Row],[Pile 
Deviation 
E (m)]]</f>
        <v>694055.45900000003</v>
      </c>
      <c r="W1206" s="7">
        <v>0.24</v>
      </c>
      <c r="X1206" s="2" t="s">
        <v>51</v>
      </c>
    </row>
    <row r="1207" spans="1:29" hidden="1" x14ac:dyDescent="0.65">
      <c r="A1207">
        <v>1204</v>
      </c>
      <c r="B1207" t="s">
        <v>29</v>
      </c>
      <c r="C1207" s="6">
        <v>1511758.507</v>
      </c>
      <c r="D1207" s="6">
        <v>693983.58200000005</v>
      </c>
      <c r="E1207" s="2" t="s">
        <v>35</v>
      </c>
      <c r="F1207" s="1">
        <v>24</v>
      </c>
      <c r="G1207" s="2" t="s">
        <v>50</v>
      </c>
      <c r="J1207">
        <v>2</v>
      </c>
      <c r="K1207" s="19"/>
      <c r="L1207" s="21">
        <v>0.6381944444444444</v>
      </c>
      <c r="M1207" s="27" t="s">
        <v>32</v>
      </c>
      <c r="N1207" s="19"/>
      <c r="O1207" s="21">
        <v>0.67291666666666661</v>
      </c>
      <c r="Q1207" s="7">
        <f>Table2[[#This Row],[Elevation
PILE TOP]]-Table2[[#This Row],[LENGTH(m.)
(Actual)]]</f>
        <v>-26</v>
      </c>
      <c r="R1207" s="2">
        <v>26</v>
      </c>
      <c r="S1207" s="7">
        <f>Table2[[#This Row],[N]]+Table2[[#This Row],[Pile 
Deviation 
N (m)]]</f>
        <v>1511758.487</v>
      </c>
      <c r="T1207" s="7">
        <f>Table2[[#This Row],[E]]+Table2[[#This Row],[Pile 
Deviation 
E (m)]]</f>
        <v>693983.58200000005</v>
      </c>
      <c r="U1207" s="7">
        <v>-0.02</v>
      </c>
      <c r="V1207" s="7">
        <v>0</v>
      </c>
      <c r="W1207" s="7">
        <v>0.24</v>
      </c>
      <c r="X1207" s="2" t="s">
        <v>51</v>
      </c>
      <c r="Y1207" t="s">
        <v>34</v>
      </c>
      <c r="Z1207" s="9">
        <v>46188</v>
      </c>
      <c r="AB1207">
        <v>11</v>
      </c>
    </row>
    <row r="1208" spans="1:29" ht="13.95" hidden="1" customHeight="1" x14ac:dyDescent="0.65">
      <c r="A1208">
        <v>1205</v>
      </c>
      <c r="B1208" t="s">
        <v>29</v>
      </c>
      <c r="C1208" s="6">
        <v>1511758.4739999999</v>
      </c>
      <c r="D1208" s="6">
        <v>693965.73600000003</v>
      </c>
      <c r="E1208" s="2" t="s">
        <v>35</v>
      </c>
      <c r="F1208" s="1">
        <v>24</v>
      </c>
      <c r="G1208" s="2" t="s">
        <v>50</v>
      </c>
      <c r="J1208">
        <v>2</v>
      </c>
      <c r="K1208" s="19"/>
      <c r="L1208" s="21">
        <v>0.55763888888888891</v>
      </c>
      <c r="M1208" s="27" t="s">
        <v>32</v>
      </c>
      <c r="N1208" s="19"/>
      <c r="O1208" s="21">
        <v>0.58680555555555558</v>
      </c>
      <c r="Q1208" s="7">
        <f>Table2[[#This Row],[Elevation
PILE TOP]]-Table2[[#This Row],[LENGTH(m.)
(Actual)]]</f>
        <v>-25</v>
      </c>
      <c r="R1208" s="2">
        <v>25</v>
      </c>
      <c r="S1208" s="7">
        <f>Table2[[#This Row],[N]]+Table2[[#This Row],[Pile 
Deviation 
N (m)]]</f>
        <v>1511758.4739999999</v>
      </c>
      <c r="T1208" s="7">
        <f>Table2[[#This Row],[E]]+Table2[[#This Row],[Pile 
Deviation 
E (m)]]</f>
        <v>693965.73600000003</v>
      </c>
      <c r="W1208" s="7">
        <v>0.24</v>
      </c>
      <c r="X1208" s="2" t="s">
        <v>51</v>
      </c>
      <c r="Y1208" t="s">
        <v>34</v>
      </c>
      <c r="Z1208" s="9">
        <v>46192</v>
      </c>
      <c r="AB1208">
        <v>29</v>
      </c>
      <c r="AC1208" t="s">
        <v>53</v>
      </c>
    </row>
    <row r="1209" spans="1:29" ht="13.95" hidden="1" customHeight="1" x14ac:dyDescent="0.65">
      <c r="A1209" s="25" t="s">
        <v>57</v>
      </c>
      <c r="C1209" s="6">
        <v>1511758.628</v>
      </c>
      <c r="D1209" s="6">
        <v>693966.5</v>
      </c>
      <c r="E1209" s="2" t="s">
        <v>35</v>
      </c>
      <c r="F1209" s="1">
        <v>24</v>
      </c>
      <c r="G1209" s="2" t="s">
        <v>50</v>
      </c>
      <c r="J1209">
        <v>2</v>
      </c>
      <c r="K1209" s="19"/>
      <c r="L1209" s="21">
        <v>0.6020833333333333</v>
      </c>
      <c r="M1209" s="27" t="s">
        <v>32</v>
      </c>
      <c r="N1209" s="19"/>
      <c r="O1209" s="21">
        <v>0.63750000000000007</v>
      </c>
      <c r="Q1209" s="7">
        <f>Table2[[#This Row],[Elevation
PILE TOP]]-Table2[[#This Row],[LENGTH(m.)
(Actual)]]</f>
        <v>-25</v>
      </c>
      <c r="R1209" s="2">
        <v>25</v>
      </c>
      <c r="S1209" s="7">
        <f>Table2[[#This Row],[N]]+Table2[[#This Row],[Pile 
Deviation 
N (m)]]</f>
        <v>1511758.628</v>
      </c>
      <c r="T1209" s="7">
        <f>Table2[[#This Row],[E]]+Table2[[#This Row],[Pile 
Deviation 
E (m)]]</f>
        <v>693966.5</v>
      </c>
      <c r="W1209" s="7">
        <v>0.24</v>
      </c>
      <c r="X1209" s="2" t="s">
        <v>51</v>
      </c>
      <c r="Y1209" t="s">
        <v>34</v>
      </c>
      <c r="Z1209" s="9">
        <v>46192</v>
      </c>
      <c r="AB1209">
        <v>30</v>
      </c>
      <c r="AC1209" t="s">
        <v>58</v>
      </c>
    </row>
    <row r="1210" spans="1:29" ht="13.95" hidden="1" customHeight="1" x14ac:dyDescent="0.65">
      <c r="A1210" s="25" t="s">
        <v>59</v>
      </c>
      <c r="C1210" s="6">
        <v>1511758.3189999999</v>
      </c>
      <c r="D1210" s="6">
        <v>693964.97100000002</v>
      </c>
      <c r="E1210" s="2" t="s">
        <v>35</v>
      </c>
      <c r="F1210" s="1">
        <v>24</v>
      </c>
      <c r="G1210" s="2" t="s">
        <v>50</v>
      </c>
      <c r="J1210">
        <v>2</v>
      </c>
      <c r="K1210" s="19"/>
      <c r="L1210" s="21">
        <v>0.66319444444444442</v>
      </c>
      <c r="M1210" s="27" t="s">
        <v>32</v>
      </c>
      <c r="N1210" s="19"/>
      <c r="O1210" s="21">
        <v>0.70138888888888884</v>
      </c>
      <c r="Q1210" s="7">
        <f>Table2[[#This Row],[Elevation
PILE TOP]]-Table2[[#This Row],[LENGTH(m.)
(Actual)]]</f>
        <v>-25</v>
      </c>
      <c r="R1210" s="2">
        <v>25</v>
      </c>
      <c r="S1210" s="7">
        <f>Table2[[#This Row],[N]]+Table2[[#This Row],[Pile 
Deviation 
N (m)]]</f>
        <v>1511758.3189999999</v>
      </c>
      <c r="T1210" s="7">
        <f>Table2[[#This Row],[E]]+Table2[[#This Row],[Pile 
Deviation 
E (m)]]</f>
        <v>693964.98100000003</v>
      </c>
      <c r="U1210" s="7">
        <v>0</v>
      </c>
      <c r="V1210" s="7">
        <v>0.01</v>
      </c>
      <c r="W1210" s="7">
        <v>0.24</v>
      </c>
      <c r="X1210" s="2" t="s">
        <v>51</v>
      </c>
      <c r="Y1210" t="s">
        <v>34</v>
      </c>
      <c r="Z1210" s="9">
        <v>46192</v>
      </c>
      <c r="AB1210">
        <v>31</v>
      </c>
      <c r="AC1210" t="s">
        <v>60</v>
      </c>
    </row>
    <row r="1211" spans="1:29" hidden="1" x14ac:dyDescent="0.65">
      <c r="A1211">
        <v>1206</v>
      </c>
      <c r="B1211" t="s">
        <v>29</v>
      </c>
      <c r="C1211" s="6">
        <v>1511758.047</v>
      </c>
      <c r="D1211" s="6">
        <v>694052.02800000005</v>
      </c>
      <c r="E1211" s="2" t="s">
        <v>35</v>
      </c>
      <c r="F1211" s="1">
        <v>24</v>
      </c>
      <c r="G1211" s="2" t="s">
        <v>50</v>
      </c>
      <c r="J1211"/>
      <c r="K1211" s="19"/>
      <c r="L1211" s="21"/>
      <c r="M1211" s="27"/>
      <c r="N1211" s="19"/>
      <c r="O1211" s="21"/>
      <c r="Q1211" s="7">
        <f>Table2[[#This Row],[Elevation
PILE TOP]]-Table2[[#This Row],[LENGTH(m.)
(Actual)]]</f>
        <v>0</v>
      </c>
      <c r="R1211" s="2"/>
      <c r="S1211" s="7">
        <f>Table2[[#This Row],[N]]+Table2[[#This Row],[Pile 
Deviation 
N (m)]]</f>
        <v>1511758.047</v>
      </c>
      <c r="T1211" s="7">
        <f>Table2[[#This Row],[E]]+Table2[[#This Row],[Pile 
Deviation 
E (m)]]</f>
        <v>694052.02800000005</v>
      </c>
      <c r="W1211" s="7">
        <v>0.24</v>
      </c>
      <c r="X1211" s="2" t="s">
        <v>51</v>
      </c>
    </row>
    <row r="1212" spans="1:29" ht="13.95" hidden="1" customHeight="1" x14ac:dyDescent="0.65">
      <c r="A1212">
        <v>1207</v>
      </c>
      <c r="B1212" t="s">
        <v>29</v>
      </c>
      <c r="C1212" s="6">
        <v>1511758.0260000001</v>
      </c>
      <c r="D1212" s="6">
        <v>693880.77300000004</v>
      </c>
      <c r="E1212" s="2" t="s">
        <v>35</v>
      </c>
      <c r="F1212" s="1">
        <v>24</v>
      </c>
      <c r="G1212" s="2" t="s">
        <v>50</v>
      </c>
      <c r="J1212"/>
      <c r="K1212" s="19"/>
      <c r="L1212" s="21"/>
      <c r="M1212" s="27"/>
      <c r="N1212" s="19"/>
      <c r="O1212" s="21"/>
      <c r="Q1212" s="7">
        <f>Table2[[#This Row],[Elevation
PILE TOP]]-Table2[[#This Row],[LENGTH(m.)
(Actual)]]</f>
        <v>0</v>
      </c>
      <c r="R1212" s="2"/>
      <c r="S1212" s="7">
        <f>Table2[[#This Row],[N]]+Table2[[#This Row],[Pile 
Deviation 
N (m)]]</f>
        <v>1511758.0260000001</v>
      </c>
      <c r="T1212" s="7">
        <f>Table2[[#This Row],[E]]+Table2[[#This Row],[Pile 
Deviation 
E (m)]]</f>
        <v>693880.77300000004</v>
      </c>
      <c r="W1212" s="7">
        <v>0.24</v>
      </c>
      <c r="X1212" s="2" t="s">
        <v>51</v>
      </c>
      <c r="AA1212" s="9">
        <v>46226</v>
      </c>
    </row>
    <row r="1213" spans="1:29" hidden="1" x14ac:dyDescent="0.65">
      <c r="A1213">
        <v>1208</v>
      </c>
      <c r="B1213" t="s">
        <v>29</v>
      </c>
      <c r="C1213" s="6">
        <v>1511758.014</v>
      </c>
      <c r="D1213" s="6">
        <v>694069.54399999999</v>
      </c>
      <c r="E1213" s="2" t="s">
        <v>35</v>
      </c>
      <c r="F1213" s="1">
        <v>24</v>
      </c>
      <c r="G1213" s="2" t="s">
        <v>50</v>
      </c>
      <c r="J1213"/>
      <c r="K1213" s="19"/>
      <c r="L1213" s="21"/>
      <c r="M1213" s="27"/>
      <c r="N1213" s="19"/>
      <c r="O1213" s="21"/>
      <c r="Q1213" s="7">
        <f>Table2[[#This Row],[Elevation
PILE TOP]]-Table2[[#This Row],[LENGTH(m.)
(Actual)]]</f>
        <v>0</v>
      </c>
      <c r="R1213" s="2"/>
      <c r="S1213" s="7">
        <f>Table2[[#This Row],[N]]+Table2[[#This Row],[Pile 
Deviation 
N (m)]]</f>
        <v>1511758.014</v>
      </c>
      <c r="T1213" s="7">
        <f>Table2[[#This Row],[E]]+Table2[[#This Row],[Pile 
Deviation 
E (m)]]</f>
        <v>694069.54399999999</v>
      </c>
      <c r="W1213" s="7">
        <v>0.24</v>
      </c>
      <c r="X1213" s="2" t="s">
        <v>51</v>
      </c>
    </row>
    <row r="1214" spans="1:29" ht="13.95" hidden="1" customHeight="1" x14ac:dyDescent="0.65">
      <c r="A1214">
        <v>1209</v>
      </c>
      <c r="B1214" t="s">
        <v>29</v>
      </c>
      <c r="C1214" s="6">
        <v>1511757.814</v>
      </c>
      <c r="D1214" s="6">
        <v>693980.152</v>
      </c>
      <c r="E1214" s="2" t="s">
        <v>35</v>
      </c>
      <c r="F1214" s="1">
        <v>24</v>
      </c>
      <c r="G1214" s="2" t="s">
        <v>50</v>
      </c>
      <c r="J1214">
        <v>2</v>
      </c>
      <c r="K1214" s="19"/>
      <c r="L1214" s="21">
        <v>0.5708333333333333</v>
      </c>
      <c r="M1214" s="27" t="s">
        <v>32</v>
      </c>
      <c r="N1214" s="19"/>
      <c r="O1214" s="21">
        <v>0.62013888888888891</v>
      </c>
      <c r="Q1214" s="7">
        <f>Table2[[#This Row],[Elevation
PILE TOP]]-Table2[[#This Row],[LENGTH(m.)
(Actual)]]</f>
        <v>-26</v>
      </c>
      <c r="R1214" s="2">
        <v>26</v>
      </c>
      <c r="S1214" s="7">
        <f>Table2[[#This Row],[N]]+Table2[[#This Row],[Pile 
Deviation 
N (m)]]</f>
        <v>1511757.784</v>
      </c>
      <c r="T1214" s="7">
        <f>Table2[[#This Row],[E]]+Table2[[#This Row],[Pile 
Deviation 
E (m)]]</f>
        <v>693980.152</v>
      </c>
      <c r="U1214" s="7">
        <v>-0.03</v>
      </c>
      <c r="V1214" s="7">
        <v>0</v>
      </c>
      <c r="W1214" s="7">
        <v>0.24</v>
      </c>
      <c r="X1214" s="2" t="s">
        <v>51</v>
      </c>
      <c r="Y1214" t="s">
        <v>34</v>
      </c>
      <c r="Z1214" s="9">
        <v>46188</v>
      </c>
      <c r="AB1214">
        <v>10</v>
      </c>
    </row>
    <row r="1215" spans="1:29" hidden="1" x14ac:dyDescent="0.65">
      <c r="A1215">
        <v>1210</v>
      </c>
      <c r="B1215" t="s">
        <v>29</v>
      </c>
      <c r="C1215" s="6">
        <v>1511757.7860000001</v>
      </c>
      <c r="D1215" s="6">
        <v>693882.05099999998</v>
      </c>
      <c r="E1215" s="2" t="s">
        <v>35</v>
      </c>
      <c r="F1215" s="1">
        <v>24</v>
      </c>
      <c r="G1215" s="2" t="s">
        <v>50</v>
      </c>
      <c r="J1215"/>
      <c r="K1215" s="19"/>
      <c r="L1215" s="21"/>
      <c r="M1215" s="27"/>
      <c r="N1215" s="19"/>
      <c r="O1215" s="21"/>
      <c r="Q1215" s="7">
        <f>Table2[[#This Row],[Elevation
PILE TOP]]-Table2[[#This Row],[LENGTH(m.)
(Actual)]]</f>
        <v>0</v>
      </c>
      <c r="R1215" s="2"/>
      <c r="S1215" s="7">
        <f>Table2[[#This Row],[N]]+Table2[[#This Row],[Pile 
Deviation 
N (m)]]</f>
        <v>1511757.7860000001</v>
      </c>
      <c r="T1215" s="7">
        <f>Table2[[#This Row],[E]]+Table2[[#This Row],[Pile 
Deviation 
E (m)]]</f>
        <v>693882.05099999998</v>
      </c>
      <c r="W1215" s="7">
        <v>0.24</v>
      </c>
      <c r="X1215" s="2" t="s">
        <v>51</v>
      </c>
      <c r="AA1215" s="9">
        <v>46226</v>
      </c>
    </row>
    <row r="1216" spans="1:29" ht="13.95" hidden="1" customHeight="1" x14ac:dyDescent="0.65">
      <c r="A1216">
        <v>1211</v>
      </c>
      <c r="B1216" t="s">
        <v>29</v>
      </c>
      <c r="C1216" s="6">
        <v>1511757.781</v>
      </c>
      <c r="D1216" s="6">
        <v>693962.30500000005</v>
      </c>
      <c r="E1216" s="2" t="s">
        <v>35</v>
      </c>
      <c r="F1216" s="1">
        <v>24</v>
      </c>
      <c r="G1216" s="2" t="s">
        <v>50</v>
      </c>
      <c r="J1216">
        <v>2</v>
      </c>
      <c r="K1216" s="19"/>
      <c r="L1216" s="21">
        <v>0.39583333333333331</v>
      </c>
      <c r="M1216" s="27" t="s">
        <v>32</v>
      </c>
      <c r="N1216" s="19"/>
      <c r="O1216" s="21">
        <v>0.44236111111111115</v>
      </c>
      <c r="Q1216" s="7">
        <f>Table2[[#This Row],[Elevation
PILE TOP]]-Table2[[#This Row],[LENGTH(m.)
(Actual)]]</f>
        <v>-25</v>
      </c>
      <c r="R1216" s="2">
        <v>25</v>
      </c>
      <c r="S1216" s="7">
        <f>Table2[[#This Row],[N]]+Table2[[#This Row],[Pile 
Deviation 
N (m)]]</f>
        <v>1511757.7609999999</v>
      </c>
      <c r="T1216" s="7">
        <f>Table2[[#This Row],[E]]+Table2[[#This Row],[Pile 
Deviation 
E (m)]]</f>
        <v>693962.30500000005</v>
      </c>
      <c r="U1216" s="7">
        <v>-0.02</v>
      </c>
      <c r="V1216" s="7">
        <v>0</v>
      </c>
      <c r="W1216" s="7">
        <v>0.24</v>
      </c>
      <c r="X1216" s="2" t="s">
        <v>51</v>
      </c>
      <c r="Y1216" t="s">
        <v>34</v>
      </c>
      <c r="Z1216" s="9">
        <v>46193</v>
      </c>
      <c r="AB1216">
        <v>32</v>
      </c>
    </row>
    <row r="1217" spans="1:28" hidden="1" x14ac:dyDescent="0.65">
      <c r="A1217">
        <v>1212</v>
      </c>
      <c r="B1217" t="s">
        <v>29</v>
      </c>
      <c r="C1217" s="6">
        <v>1511757.548</v>
      </c>
      <c r="D1217" s="6">
        <v>693885.54200000002</v>
      </c>
      <c r="E1217" s="2" t="s">
        <v>35</v>
      </c>
      <c r="F1217" s="1">
        <v>24</v>
      </c>
      <c r="G1217" s="2" t="s">
        <v>50</v>
      </c>
      <c r="J1217"/>
      <c r="K1217" s="19"/>
      <c r="L1217" s="21"/>
      <c r="M1217" s="27"/>
      <c r="N1217" s="19"/>
      <c r="O1217" s="21"/>
      <c r="Q1217" s="7">
        <f>Table2[[#This Row],[Elevation
PILE TOP]]-Table2[[#This Row],[LENGTH(m.)
(Actual)]]</f>
        <v>0</v>
      </c>
      <c r="R1217" s="2"/>
      <c r="S1217" s="7">
        <f>Table2[[#This Row],[N]]+Table2[[#This Row],[Pile 
Deviation 
N (m)]]</f>
        <v>1511757.548</v>
      </c>
      <c r="T1217" s="7">
        <f>Table2[[#This Row],[E]]+Table2[[#This Row],[Pile 
Deviation 
E (m)]]</f>
        <v>693885.54200000002</v>
      </c>
      <c r="W1217" s="7">
        <v>0.24</v>
      </c>
      <c r="X1217" s="2" t="s">
        <v>51</v>
      </c>
      <c r="AA1217" s="9">
        <v>46227</v>
      </c>
    </row>
    <row r="1218" spans="1:28" ht="13.95" hidden="1" customHeight="1" x14ac:dyDescent="0.65">
      <c r="A1218">
        <v>1213</v>
      </c>
      <c r="B1218" t="s">
        <v>29</v>
      </c>
      <c r="C1218" s="6">
        <v>1511757.388</v>
      </c>
      <c r="D1218" s="6">
        <v>694066.44400000002</v>
      </c>
      <c r="E1218" s="2" t="s">
        <v>35</v>
      </c>
      <c r="F1218" s="1">
        <v>24</v>
      </c>
      <c r="G1218" s="2" t="s">
        <v>50</v>
      </c>
      <c r="J1218"/>
      <c r="K1218" s="19"/>
      <c r="L1218" s="21"/>
      <c r="M1218" s="27"/>
      <c r="N1218" s="19"/>
      <c r="O1218" s="21"/>
      <c r="Q1218" s="7">
        <f>Table2[[#This Row],[Elevation
PILE TOP]]-Table2[[#This Row],[LENGTH(m.)
(Actual)]]</f>
        <v>0</v>
      </c>
      <c r="R1218" s="2"/>
      <c r="S1218" s="7">
        <f>Table2[[#This Row],[N]]+Table2[[#This Row],[Pile 
Deviation 
N (m)]]</f>
        <v>1511757.388</v>
      </c>
      <c r="T1218" s="7">
        <f>Table2[[#This Row],[E]]+Table2[[#This Row],[Pile 
Deviation 
E (m)]]</f>
        <v>694066.44400000002</v>
      </c>
      <c r="W1218" s="7">
        <v>0.24</v>
      </c>
      <c r="X1218" s="2" t="s">
        <v>51</v>
      </c>
    </row>
    <row r="1219" spans="1:28" hidden="1" x14ac:dyDescent="0.65">
      <c r="A1219">
        <v>1214</v>
      </c>
      <c r="B1219" t="s">
        <v>29</v>
      </c>
      <c r="C1219" s="6">
        <v>1511757.3540000001</v>
      </c>
      <c r="D1219" s="6">
        <v>694048.59699999995</v>
      </c>
      <c r="E1219" s="2" t="s">
        <v>35</v>
      </c>
      <c r="F1219" s="1">
        <v>24</v>
      </c>
      <c r="G1219" s="2" t="s">
        <v>50</v>
      </c>
      <c r="J1219"/>
      <c r="K1219" s="19"/>
      <c r="L1219" s="21"/>
      <c r="M1219" s="27"/>
      <c r="N1219" s="19"/>
      <c r="O1219" s="21"/>
      <c r="Q1219" s="7">
        <f>Table2[[#This Row],[Elevation
PILE TOP]]-Table2[[#This Row],[LENGTH(m.)
(Actual)]]</f>
        <v>0</v>
      </c>
      <c r="R1219" s="2"/>
      <c r="S1219" s="7">
        <f>Table2[[#This Row],[N]]+Table2[[#This Row],[Pile 
Deviation 
N (m)]]</f>
        <v>1511757.3540000001</v>
      </c>
      <c r="T1219" s="7">
        <f>Table2[[#This Row],[E]]+Table2[[#This Row],[Pile 
Deviation 
E (m)]]</f>
        <v>694048.59699999995</v>
      </c>
      <c r="W1219" s="7">
        <v>0.24</v>
      </c>
      <c r="X1219" s="2" t="s">
        <v>51</v>
      </c>
    </row>
    <row r="1220" spans="1:28" ht="13.95" hidden="1" customHeight="1" x14ac:dyDescent="0.65">
      <c r="A1220">
        <v>1215</v>
      </c>
      <c r="B1220" t="s">
        <v>29</v>
      </c>
      <c r="C1220" s="6">
        <v>1511757.31</v>
      </c>
      <c r="D1220" s="6">
        <v>693889.03399999999</v>
      </c>
      <c r="E1220" s="2" t="s">
        <v>35</v>
      </c>
      <c r="F1220" s="1">
        <v>24</v>
      </c>
      <c r="G1220" s="2" t="s">
        <v>50</v>
      </c>
      <c r="J1220"/>
      <c r="K1220" s="19"/>
      <c r="L1220" s="21"/>
      <c r="M1220" s="27"/>
      <c r="N1220" s="19"/>
      <c r="O1220" s="21"/>
      <c r="Q1220" s="7">
        <f>Table2[[#This Row],[Elevation
PILE TOP]]-Table2[[#This Row],[LENGTH(m.)
(Actual)]]</f>
        <v>0</v>
      </c>
      <c r="R1220" s="2"/>
      <c r="S1220" s="7">
        <f>Table2[[#This Row],[N]]+Table2[[#This Row],[Pile 
Deviation 
N (m)]]</f>
        <v>1511757.31</v>
      </c>
      <c r="T1220" s="7">
        <f>Table2[[#This Row],[E]]+Table2[[#This Row],[Pile 
Deviation 
E (m)]]</f>
        <v>693889.03399999999</v>
      </c>
      <c r="W1220" s="7">
        <v>0.24</v>
      </c>
      <c r="X1220" s="2" t="s">
        <v>51</v>
      </c>
      <c r="AA1220" s="9">
        <v>46227</v>
      </c>
    </row>
    <row r="1221" spans="1:28" hidden="1" x14ac:dyDescent="0.65">
      <c r="A1221">
        <v>1216</v>
      </c>
      <c r="B1221" t="s">
        <v>29</v>
      </c>
      <c r="C1221" s="6">
        <v>1511757.121</v>
      </c>
      <c r="D1221" s="6">
        <v>693976.72100000002</v>
      </c>
      <c r="E1221" s="2" t="s">
        <v>35</v>
      </c>
      <c r="F1221" s="1">
        <v>24</v>
      </c>
      <c r="G1221" s="2" t="s">
        <v>50</v>
      </c>
      <c r="J1221">
        <v>2</v>
      </c>
      <c r="K1221" s="19"/>
      <c r="L1221" s="21">
        <v>0.47916666666666669</v>
      </c>
      <c r="M1221" s="27" t="s">
        <v>32</v>
      </c>
      <c r="N1221" s="19"/>
      <c r="O1221" s="21">
        <v>0.55833333333333335</v>
      </c>
      <c r="Q1221" s="7">
        <f>Table2[[#This Row],[Elevation
PILE TOP]]-Table2[[#This Row],[LENGTH(m.)
(Actual)]]</f>
        <v>-26</v>
      </c>
      <c r="R1221" s="2">
        <v>26</v>
      </c>
      <c r="S1221" s="7">
        <f>Table2[[#This Row],[N]]+Table2[[#This Row],[Pile 
Deviation 
N (m)]]</f>
        <v>1511757.081</v>
      </c>
      <c r="T1221" s="7">
        <f>Table2[[#This Row],[E]]+Table2[[#This Row],[Pile 
Deviation 
E (m)]]</f>
        <v>693976.72100000002</v>
      </c>
      <c r="U1221" s="7">
        <v>-0.04</v>
      </c>
      <c r="V1221" s="7">
        <v>0</v>
      </c>
      <c r="W1221" s="7">
        <v>0.24</v>
      </c>
      <c r="X1221" s="2" t="s">
        <v>51</v>
      </c>
      <c r="Y1221" t="s">
        <v>34</v>
      </c>
      <c r="Z1221" s="9">
        <v>46188</v>
      </c>
      <c r="AB1221">
        <v>9</v>
      </c>
    </row>
    <row r="1222" spans="1:28" ht="13.95" hidden="1" customHeight="1" x14ac:dyDescent="0.65">
      <c r="A1222">
        <v>1217</v>
      </c>
      <c r="B1222" t="s">
        <v>29</v>
      </c>
      <c r="C1222" s="6">
        <v>1511757.088</v>
      </c>
      <c r="D1222" s="6">
        <v>693958.87399999995</v>
      </c>
      <c r="E1222" s="2" t="s">
        <v>35</v>
      </c>
      <c r="F1222" s="1">
        <v>24</v>
      </c>
      <c r="G1222" s="2" t="s">
        <v>50</v>
      </c>
      <c r="J1222">
        <v>2</v>
      </c>
      <c r="K1222" s="19"/>
      <c r="L1222" s="21">
        <v>0.4548611111111111</v>
      </c>
      <c r="M1222" s="27" t="s">
        <v>32</v>
      </c>
      <c r="N1222" s="19"/>
      <c r="O1222" s="21">
        <v>0.55277777777777781</v>
      </c>
      <c r="Q1222" s="7">
        <f>Table2[[#This Row],[Elevation
PILE TOP]]-Table2[[#This Row],[LENGTH(m.)
(Actual)]]</f>
        <v>-25</v>
      </c>
      <c r="R1222" s="2">
        <v>25</v>
      </c>
      <c r="S1222" s="7">
        <f>Table2[[#This Row],[N]]+Table2[[#This Row],[Pile 
Deviation 
N (m)]]</f>
        <v>1511757.088</v>
      </c>
      <c r="T1222" s="7">
        <f>Table2[[#This Row],[E]]+Table2[[#This Row],[Pile 
Deviation 
E (m)]]</f>
        <v>693958.89399999997</v>
      </c>
      <c r="U1222" s="7">
        <v>0</v>
      </c>
      <c r="V1222" s="7">
        <v>0.02</v>
      </c>
      <c r="W1222" s="7">
        <v>0.24</v>
      </c>
      <c r="X1222" s="2" t="s">
        <v>51</v>
      </c>
      <c r="Y1222" t="s">
        <v>34</v>
      </c>
      <c r="Z1222" s="9">
        <v>46193</v>
      </c>
      <c r="AB1222">
        <v>33</v>
      </c>
    </row>
    <row r="1223" spans="1:28" hidden="1" x14ac:dyDescent="0.65">
      <c r="A1223">
        <v>1218</v>
      </c>
      <c r="B1223" t="s">
        <v>29</v>
      </c>
      <c r="C1223" s="6">
        <v>1511757.06</v>
      </c>
      <c r="D1223" s="6">
        <v>693892.50899999996</v>
      </c>
      <c r="E1223" s="2" t="s">
        <v>35</v>
      </c>
      <c r="F1223" s="1">
        <v>24</v>
      </c>
      <c r="G1223" s="2" t="s">
        <v>50</v>
      </c>
      <c r="J1223"/>
      <c r="K1223" s="19"/>
      <c r="L1223" s="21"/>
      <c r="M1223" s="27"/>
      <c r="N1223" s="19"/>
      <c r="O1223" s="21"/>
      <c r="Q1223" s="7">
        <f>Table2[[#This Row],[Elevation
PILE TOP]]-Table2[[#This Row],[LENGTH(m.)
(Actual)]]</f>
        <v>0</v>
      </c>
      <c r="R1223" s="2"/>
      <c r="S1223" s="7">
        <f>Table2[[#This Row],[N]]+Table2[[#This Row],[Pile 
Deviation 
N (m)]]</f>
        <v>1511757.06</v>
      </c>
      <c r="T1223" s="7">
        <f>Table2[[#This Row],[E]]+Table2[[#This Row],[Pile 
Deviation 
E (m)]]</f>
        <v>693892.50899999996</v>
      </c>
      <c r="W1223" s="7">
        <v>0.24</v>
      </c>
      <c r="X1223" s="2" t="s">
        <v>51</v>
      </c>
      <c r="AA1223" s="9">
        <v>46227</v>
      </c>
    </row>
    <row r="1224" spans="1:28" ht="13.95" hidden="1" customHeight="1" x14ac:dyDescent="0.65">
      <c r="A1224">
        <v>1219</v>
      </c>
      <c r="B1224" t="s">
        <v>29</v>
      </c>
      <c r="C1224" s="6">
        <v>1511756.7919999999</v>
      </c>
      <c r="D1224" s="6">
        <v>693895.99899999995</v>
      </c>
      <c r="E1224" s="2" t="s">
        <v>35</v>
      </c>
      <c r="F1224" s="1">
        <v>24</v>
      </c>
      <c r="G1224" s="2" t="s">
        <v>50</v>
      </c>
      <c r="J1224"/>
      <c r="K1224" s="19"/>
      <c r="L1224" s="21"/>
      <c r="M1224" s="27"/>
      <c r="N1224" s="19"/>
      <c r="O1224" s="21"/>
      <c r="Q1224" s="7">
        <f>Table2[[#This Row],[Elevation
PILE TOP]]-Table2[[#This Row],[LENGTH(m.)
(Actual)]]</f>
        <v>0</v>
      </c>
      <c r="R1224" s="2"/>
      <c r="S1224" s="7">
        <f>Table2[[#This Row],[N]]+Table2[[#This Row],[Pile 
Deviation 
N (m)]]</f>
        <v>1511756.7919999999</v>
      </c>
      <c r="T1224" s="7">
        <f>Table2[[#This Row],[E]]+Table2[[#This Row],[Pile 
Deviation 
E (m)]]</f>
        <v>693895.99899999995</v>
      </c>
      <c r="W1224" s="7">
        <v>0.24</v>
      </c>
      <c r="X1224" s="2" t="s">
        <v>51</v>
      </c>
      <c r="AA1224" s="9">
        <v>46227</v>
      </c>
    </row>
    <row r="1225" spans="1:28" hidden="1" x14ac:dyDescent="0.65">
      <c r="A1225">
        <v>1220</v>
      </c>
      <c r="B1225" t="s">
        <v>29</v>
      </c>
      <c r="C1225" s="6">
        <v>1511756.6950000001</v>
      </c>
      <c r="D1225" s="6">
        <v>694063.01300000004</v>
      </c>
      <c r="E1225" s="2" t="s">
        <v>35</v>
      </c>
      <c r="F1225" s="1">
        <v>24</v>
      </c>
      <c r="G1225" s="2" t="s">
        <v>50</v>
      </c>
      <c r="J1225"/>
      <c r="K1225" s="19"/>
      <c r="L1225" s="21"/>
      <c r="M1225" s="27"/>
      <c r="N1225" s="19"/>
      <c r="O1225" s="21"/>
      <c r="Q1225" s="7">
        <f>Table2[[#This Row],[Elevation
PILE TOP]]-Table2[[#This Row],[LENGTH(m.)
(Actual)]]</f>
        <v>0</v>
      </c>
      <c r="R1225" s="2"/>
      <c r="S1225" s="7">
        <f>Table2[[#This Row],[N]]+Table2[[#This Row],[Pile 
Deviation 
N (m)]]</f>
        <v>1511756.6950000001</v>
      </c>
      <c r="T1225" s="7">
        <f>Table2[[#This Row],[E]]+Table2[[#This Row],[Pile 
Deviation 
E (m)]]</f>
        <v>694063.01300000004</v>
      </c>
      <c r="W1225" s="7">
        <v>0.24</v>
      </c>
      <c r="X1225" s="2" t="s">
        <v>51</v>
      </c>
    </row>
    <row r="1226" spans="1:28" ht="13.95" hidden="1" customHeight="1" x14ac:dyDescent="0.65">
      <c r="A1226">
        <v>1221</v>
      </c>
      <c r="B1226" t="s">
        <v>29</v>
      </c>
      <c r="C1226" s="6">
        <v>1511756.6610000001</v>
      </c>
      <c r="D1226" s="6">
        <v>694045.16599999997</v>
      </c>
      <c r="E1226" s="2" t="s">
        <v>35</v>
      </c>
      <c r="F1226" s="1">
        <v>24</v>
      </c>
      <c r="G1226" s="2" t="s">
        <v>50</v>
      </c>
      <c r="J1226"/>
      <c r="K1226" s="19"/>
      <c r="L1226" s="21"/>
      <c r="M1226" s="27"/>
      <c r="N1226" s="19"/>
      <c r="O1226" s="21"/>
      <c r="Q1226" s="7">
        <f>Table2[[#This Row],[Elevation
PILE TOP]]-Table2[[#This Row],[LENGTH(m.)
(Actual)]]</f>
        <v>0</v>
      </c>
      <c r="R1226" s="2"/>
      <c r="S1226" s="7">
        <f>Table2[[#This Row],[N]]+Table2[[#This Row],[Pile 
Deviation 
N (m)]]</f>
        <v>1511756.6610000001</v>
      </c>
      <c r="T1226" s="7">
        <f>Table2[[#This Row],[E]]+Table2[[#This Row],[Pile 
Deviation 
E (m)]]</f>
        <v>694045.16599999997</v>
      </c>
      <c r="W1226" s="7">
        <v>0.24</v>
      </c>
      <c r="X1226" s="2" t="s">
        <v>51</v>
      </c>
    </row>
    <row r="1227" spans="1:28" hidden="1" x14ac:dyDescent="0.65">
      <c r="A1227">
        <v>1222</v>
      </c>
      <c r="B1227" t="s">
        <v>29</v>
      </c>
      <c r="C1227" s="6">
        <v>1511756.527</v>
      </c>
      <c r="D1227" s="6">
        <v>693899.48899999994</v>
      </c>
      <c r="E1227" s="2" t="s">
        <v>35</v>
      </c>
      <c r="F1227" s="1">
        <v>24</v>
      </c>
      <c r="G1227" s="2" t="s">
        <v>50</v>
      </c>
      <c r="J1227"/>
      <c r="K1227" s="19"/>
      <c r="L1227" s="21"/>
      <c r="M1227" s="27"/>
      <c r="N1227" s="19"/>
      <c r="O1227" s="21"/>
      <c r="Q1227" s="7">
        <f>Table2[[#This Row],[Elevation
PILE TOP]]-Table2[[#This Row],[LENGTH(m.)
(Actual)]]</f>
        <v>0</v>
      </c>
      <c r="R1227" s="2"/>
      <c r="S1227" s="7">
        <f>Table2[[#This Row],[N]]+Table2[[#This Row],[Pile 
Deviation 
N (m)]]</f>
        <v>1511756.527</v>
      </c>
      <c r="T1227" s="7">
        <f>Table2[[#This Row],[E]]+Table2[[#This Row],[Pile 
Deviation 
E (m)]]</f>
        <v>693899.48899999994</v>
      </c>
      <c r="W1227" s="7">
        <v>0.24</v>
      </c>
      <c r="X1227" s="2" t="s">
        <v>51</v>
      </c>
      <c r="AA1227" s="9">
        <v>46228</v>
      </c>
    </row>
    <row r="1228" spans="1:28" ht="13.95" hidden="1" customHeight="1" x14ac:dyDescent="0.65">
      <c r="A1228">
        <v>1223</v>
      </c>
      <c r="B1228" t="s">
        <v>29</v>
      </c>
      <c r="C1228" s="6">
        <v>1511756.429</v>
      </c>
      <c r="D1228" s="6">
        <v>693973.29</v>
      </c>
      <c r="E1228" s="2" t="s">
        <v>35</v>
      </c>
      <c r="F1228" s="1">
        <v>24</v>
      </c>
      <c r="G1228" s="2" t="s">
        <v>50</v>
      </c>
      <c r="J1228">
        <v>2</v>
      </c>
      <c r="K1228" s="19"/>
      <c r="L1228" s="21">
        <v>0.67361111111111116</v>
      </c>
      <c r="M1228" s="27" t="s">
        <v>32</v>
      </c>
      <c r="N1228" s="19"/>
      <c r="O1228" s="21">
        <v>0.70486111111111116</v>
      </c>
      <c r="Q1228" s="7">
        <f>Table2[[#This Row],[Elevation
PILE TOP]]-Table2[[#This Row],[LENGTH(m.)
(Actual)]]</f>
        <v>-26</v>
      </c>
      <c r="R1228" s="2">
        <v>26</v>
      </c>
      <c r="S1228" s="7">
        <f>Table2[[#This Row],[N]]+Table2[[#This Row],[Pile 
Deviation 
N (m)]]</f>
        <v>1511756.429</v>
      </c>
      <c r="T1228" s="7">
        <f>Table2[[#This Row],[E]]+Table2[[#This Row],[Pile 
Deviation 
E (m)]]</f>
        <v>693973.27</v>
      </c>
      <c r="U1228" s="7">
        <v>0</v>
      </c>
      <c r="V1228" s="7">
        <v>-0.02</v>
      </c>
      <c r="W1228" s="7">
        <v>0.24</v>
      </c>
      <c r="X1228" s="2" t="s">
        <v>51</v>
      </c>
      <c r="Y1228" t="s">
        <v>34</v>
      </c>
      <c r="Z1228" s="9">
        <v>46187</v>
      </c>
      <c r="AB1228">
        <v>8</v>
      </c>
    </row>
    <row r="1229" spans="1:28" hidden="1" x14ac:dyDescent="0.65">
      <c r="A1229">
        <v>1224</v>
      </c>
      <c r="B1229" t="s">
        <v>29</v>
      </c>
      <c r="C1229" s="6">
        <v>1511756.395</v>
      </c>
      <c r="D1229" s="6">
        <v>693955.44400000002</v>
      </c>
      <c r="E1229" s="2" t="s">
        <v>35</v>
      </c>
      <c r="F1229" s="1">
        <v>24</v>
      </c>
      <c r="G1229" s="2" t="s">
        <v>50</v>
      </c>
      <c r="J1229">
        <v>2</v>
      </c>
      <c r="K1229" s="19"/>
      <c r="L1229" s="21">
        <v>0.60069444444444442</v>
      </c>
      <c r="M1229" s="27" t="s">
        <v>32</v>
      </c>
      <c r="N1229" s="19"/>
      <c r="O1229" s="21">
        <v>0.62013888888888891</v>
      </c>
      <c r="Q1229" s="7">
        <f>Table2[[#This Row],[Elevation
PILE TOP]]-Table2[[#This Row],[LENGTH(m.)
(Actual)]]</f>
        <v>-25</v>
      </c>
      <c r="R1229" s="2">
        <v>25</v>
      </c>
      <c r="S1229" s="7">
        <f>Table2[[#This Row],[N]]+Table2[[#This Row],[Pile 
Deviation 
N (m)]]</f>
        <v>1511756.375</v>
      </c>
      <c r="T1229" s="7">
        <f>Table2[[#This Row],[E]]+Table2[[#This Row],[Pile 
Deviation 
E (m)]]</f>
        <v>693955.44400000002</v>
      </c>
      <c r="U1229" s="7">
        <v>-0.02</v>
      </c>
      <c r="V1229" s="7">
        <v>0</v>
      </c>
      <c r="W1229" s="7">
        <v>0.24</v>
      </c>
      <c r="X1229" s="2" t="s">
        <v>51</v>
      </c>
      <c r="Y1229" t="s">
        <v>34</v>
      </c>
      <c r="Z1229" s="9">
        <v>46193</v>
      </c>
      <c r="AB1229">
        <v>34</v>
      </c>
    </row>
    <row r="1230" spans="1:28" ht="13.95" hidden="1" customHeight="1" x14ac:dyDescent="0.65">
      <c r="A1230">
        <v>1225</v>
      </c>
      <c r="B1230" t="s">
        <v>29</v>
      </c>
      <c r="C1230" s="6">
        <v>1511756.2609999999</v>
      </c>
      <c r="D1230" s="6">
        <v>693902.97900000005</v>
      </c>
      <c r="E1230" s="2" t="s">
        <v>35</v>
      </c>
      <c r="F1230" s="1">
        <v>24</v>
      </c>
      <c r="G1230" s="2" t="s">
        <v>50</v>
      </c>
      <c r="J1230"/>
      <c r="K1230" s="19"/>
      <c r="L1230" s="21"/>
      <c r="M1230" s="27"/>
      <c r="N1230" s="19"/>
      <c r="O1230" s="21"/>
      <c r="Q1230" s="7">
        <f>Table2[[#This Row],[Elevation
PILE TOP]]-Table2[[#This Row],[LENGTH(m.)
(Actual)]]</f>
        <v>0</v>
      </c>
      <c r="R1230" s="2"/>
      <c r="S1230" s="7">
        <f>Table2[[#This Row],[N]]+Table2[[#This Row],[Pile 
Deviation 
N (m)]]</f>
        <v>1511756.2609999999</v>
      </c>
      <c r="T1230" s="7">
        <f>Table2[[#This Row],[E]]+Table2[[#This Row],[Pile 
Deviation 
E (m)]]</f>
        <v>693902.97900000005</v>
      </c>
      <c r="W1230" s="7">
        <v>0.24</v>
      </c>
      <c r="X1230" s="2" t="s">
        <v>51</v>
      </c>
      <c r="AA1230" s="9">
        <v>46228</v>
      </c>
    </row>
    <row r="1231" spans="1:28" hidden="1" x14ac:dyDescent="0.65">
      <c r="A1231">
        <v>1226</v>
      </c>
      <c r="B1231" t="s">
        <v>29</v>
      </c>
      <c r="C1231" s="6">
        <v>1511756.0020000001</v>
      </c>
      <c r="D1231" s="6">
        <v>694059.58200000005</v>
      </c>
      <c r="E1231" s="2" t="s">
        <v>35</v>
      </c>
      <c r="F1231" s="1">
        <v>24</v>
      </c>
      <c r="G1231" s="2" t="s">
        <v>50</v>
      </c>
      <c r="J1231"/>
      <c r="K1231" s="19"/>
      <c r="L1231" s="21"/>
      <c r="M1231" s="27"/>
      <c r="N1231" s="19"/>
      <c r="O1231" s="21"/>
      <c r="Q1231" s="7">
        <f>Table2[[#This Row],[Elevation
PILE TOP]]-Table2[[#This Row],[LENGTH(m.)
(Actual)]]</f>
        <v>0</v>
      </c>
      <c r="R1231" s="2"/>
      <c r="S1231" s="7">
        <f>Table2[[#This Row],[N]]+Table2[[#This Row],[Pile 
Deviation 
N (m)]]</f>
        <v>1511756.0020000001</v>
      </c>
      <c r="T1231" s="7">
        <f>Table2[[#This Row],[E]]+Table2[[#This Row],[Pile 
Deviation 
E (m)]]</f>
        <v>694059.58200000005</v>
      </c>
      <c r="W1231" s="7">
        <v>0.24</v>
      </c>
      <c r="X1231" s="2" t="s">
        <v>51</v>
      </c>
    </row>
    <row r="1232" spans="1:28" ht="13.95" hidden="1" customHeight="1" x14ac:dyDescent="0.65">
      <c r="A1232">
        <v>1227</v>
      </c>
      <c r="B1232" t="s">
        <v>29</v>
      </c>
      <c r="C1232" s="6">
        <v>1511755.9939999999</v>
      </c>
      <c r="D1232" s="6">
        <v>693906.46799999999</v>
      </c>
      <c r="E1232" s="2" t="s">
        <v>35</v>
      </c>
      <c r="F1232" s="1">
        <v>24</v>
      </c>
      <c r="G1232" s="2" t="s">
        <v>50</v>
      </c>
      <c r="J1232"/>
      <c r="K1232" s="19"/>
      <c r="L1232" s="21"/>
      <c r="M1232" s="27"/>
      <c r="N1232" s="19"/>
      <c r="O1232" s="21"/>
      <c r="Q1232" s="7">
        <f>Table2[[#This Row],[Elevation
PILE TOP]]-Table2[[#This Row],[LENGTH(m.)
(Actual)]]</f>
        <v>0</v>
      </c>
      <c r="R1232" s="2"/>
      <c r="S1232" s="7">
        <f>Table2[[#This Row],[N]]+Table2[[#This Row],[Pile 
Deviation 
N (m)]]</f>
        <v>1511755.9939999999</v>
      </c>
      <c r="T1232" s="7">
        <f>Table2[[#This Row],[E]]+Table2[[#This Row],[Pile 
Deviation 
E (m)]]</f>
        <v>693906.46799999999</v>
      </c>
      <c r="W1232" s="7">
        <v>0.24</v>
      </c>
      <c r="X1232" s="2" t="s">
        <v>51</v>
      </c>
      <c r="AA1232" s="9">
        <v>46228</v>
      </c>
    </row>
    <row r="1233" spans="1:29" hidden="1" x14ac:dyDescent="0.65">
      <c r="A1233">
        <v>1228</v>
      </c>
      <c r="B1233" t="s">
        <v>29</v>
      </c>
      <c r="C1233" s="6">
        <v>1511755.736</v>
      </c>
      <c r="D1233" s="6">
        <v>693969.85900000005</v>
      </c>
      <c r="E1233" s="2" t="s">
        <v>35</v>
      </c>
      <c r="F1233" s="1">
        <v>24</v>
      </c>
      <c r="G1233" s="2" t="s">
        <v>50</v>
      </c>
      <c r="J1233">
        <v>2</v>
      </c>
      <c r="K1233" s="19"/>
      <c r="L1233" s="21">
        <v>0.62777777777777777</v>
      </c>
      <c r="M1233" s="27" t="s">
        <v>32</v>
      </c>
      <c r="N1233" s="19"/>
      <c r="O1233" s="21">
        <v>0.66249999999999998</v>
      </c>
      <c r="Q1233" s="7">
        <f>Table2[[#This Row],[Elevation
PILE TOP]]-Table2[[#This Row],[LENGTH(m.)
(Actual)]]</f>
        <v>-26</v>
      </c>
      <c r="R1233" s="2">
        <v>26</v>
      </c>
      <c r="S1233" s="7">
        <f>Table2[[#This Row],[N]]+Table2[[#This Row],[Pile 
Deviation 
N (m)]]</f>
        <v>1511755.736</v>
      </c>
      <c r="T1233" s="7">
        <f>Table2[[#This Row],[E]]+Table2[[#This Row],[Pile 
Deviation 
E (m)]]</f>
        <v>693969.88900000008</v>
      </c>
      <c r="U1233" s="7">
        <v>0</v>
      </c>
      <c r="V1233" s="7">
        <v>0.03</v>
      </c>
      <c r="W1233" s="7">
        <v>0.24</v>
      </c>
      <c r="X1233" s="2" t="s">
        <v>51</v>
      </c>
      <c r="Y1233" t="s">
        <v>34</v>
      </c>
      <c r="Z1233" s="9">
        <v>46187</v>
      </c>
      <c r="AB1233">
        <v>7</v>
      </c>
    </row>
    <row r="1234" spans="1:29" ht="13.95" hidden="1" customHeight="1" x14ac:dyDescent="0.65">
      <c r="A1234">
        <v>1229</v>
      </c>
      <c r="B1234" t="s">
        <v>29</v>
      </c>
      <c r="C1234" s="6">
        <v>1511755.7279999999</v>
      </c>
      <c r="D1234" s="6">
        <v>693909.95799999998</v>
      </c>
      <c r="E1234" s="2" t="s">
        <v>35</v>
      </c>
      <c r="F1234" s="1">
        <v>24</v>
      </c>
      <c r="G1234" s="2" t="s">
        <v>50</v>
      </c>
      <c r="J1234"/>
      <c r="K1234" s="19"/>
      <c r="L1234" s="21"/>
      <c r="M1234" s="27"/>
      <c r="N1234" s="19"/>
      <c r="O1234" s="21"/>
      <c r="Q1234" s="7">
        <f>Table2[[#This Row],[Elevation
PILE TOP]]-Table2[[#This Row],[LENGTH(m.)
(Actual)]]</f>
        <v>0</v>
      </c>
      <c r="R1234" s="2"/>
      <c r="S1234" s="7">
        <f>Table2[[#This Row],[N]]+Table2[[#This Row],[Pile 
Deviation 
N (m)]]</f>
        <v>1511755.7279999999</v>
      </c>
      <c r="T1234" s="7">
        <f>Table2[[#This Row],[E]]+Table2[[#This Row],[Pile 
Deviation 
E (m)]]</f>
        <v>693909.95799999998</v>
      </c>
      <c r="W1234" s="7">
        <v>0.24</v>
      </c>
      <c r="X1234" s="2" t="s">
        <v>51</v>
      </c>
      <c r="AA1234" s="9">
        <v>46228</v>
      </c>
    </row>
    <row r="1235" spans="1:29" hidden="1" x14ac:dyDescent="0.65">
      <c r="A1235">
        <v>1230</v>
      </c>
      <c r="B1235" t="s">
        <v>29</v>
      </c>
      <c r="C1235" s="6">
        <v>1511755.702</v>
      </c>
      <c r="D1235" s="6">
        <v>693952.01300000004</v>
      </c>
      <c r="E1235" s="2" t="s">
        <v>35</v>
      </c>
      <c r="F1235" s="1">
        <v>24</v>
      </c>
      <c r="G1235" s="2" t="s">
        <v>50</v>
      </c>
      <c r="J1235">
        <v>2</v>
      </c>
      <c r="K1235" s="19"/>
      <c r="L1235" s="21">
        <v>0.64374999999999993</v>
      </c>
      <c r="M1235" s="27" t="s">
        <v>32</v>
      </c>
      <c r="N1235" s="19"/>
      <c r="O1235" s="21">
        <v>0.66527777777777775</v>
      </c>
      <c r="Q1235" s="7">
        <f>Table2[[#This Row],[Elevation
PILE TOP]]-Table2[[#This Row],[LENGTH(m.)
(Actual)]]</f>
        <v>-25</v>
      </c>
      <c r="R1235" s="2">
        <v>25</v>
      </c>
      <c r="S1235" s="7">
        <f>Table2[[#This Row],[N]]+Table2[[#This Row],[Pile 
Deviation 
N (m)]]</f>
        <v>1511755.702</v>
      </c>
      <c r="T1235" s="7">
        <f>Table2[[#This Row],[E]]+Table2[[#This Row],[Pile 
Deviation 
E (m)]]</f>
        <v>693952.01300000004</v>
      </c>
      <c r="W1235" s="7">
        <v>0.24</v>
      </c>
      <c r="X1235" s="2" t="s">
        <v>51</v>
      </c>
      <c r="Y1235" t="s">
        <v>34</v>
      </c>
      <c r="Z1235" s="9">
        <v>46193</v>
      </c>
      <c r="AA1235" s="9">
        <v>46234</v>
      </c>
      <c r="AB1235">
        <v>35</v>
      </c>
      <c r="AC1235" t="s">
        <v>53</v>
      </c>
    </row>
    <row r="1236" spans="1:29" hidden="1" x14ac:dyDescent="0.65">
      <c r="A1236" s="25" t="s">
        <v>61</v>
      </c>
      <c r="C1236" s="6">
        <v>1511755.8570000001</v>
      </c>
      <c r="D1236" s="6">
        <v>693952.777</v>
      </c>
      <c r="E1236" s="2" t="s">
        <v>35</v>
      </c>
      <c r="F1236" s="1">
        <v>24</v>
      </c>
      <c r="G1236" s="2" t="s">
        <v>50</v>
      </c>
      <c r="J1236">
        <v>2</v>
      </c>
      <c r="K1236" s="19"/>
      <c r="L1236" s="21">
        <v>0.67291666666666661</v>
      </c>
      <c r="M1236" s="27" t="s">
        <v>32</v>
      </c>
      <c r="N1236" s="19"/>
      <c r="O1236" s="21">
        <v>0.69791666666666663</v>
      </c>
      <c r="Q1236" s="7">
        <f>Table2[[#This Row],[Elevation
PILE TOP]]-Table2[[#This Row],[LENGTH(m.)
(Actual)]]</f>
        <v>-25</v>
      </c>
      <c r="R1236" s="2">
        <v>25</v>
      </c>
      <c r="S1236" s="7">
        <f>Table2[[#This Row],[N]]+Table2[[#This Row],[Pile 
Deviation 
N (m)]]</f>
        <v>1511755.8570000001</v>
      </c>
      <c r="T1236" s="7">
        <f>Table2[[#This Row],[E]]+Table2[[#This Row],[Pile 
Deviation 
E (m)]]</f>
        <v>693952.79700000002</v>
      </c>
      <c r="U1236" s="7">
        <v>0</v>
      </c>
      <c r="V1236" s="7">
        <v>0.02</v>
      </c>
      <c r="W1236" s="7">
        <v>0.24</v>
      </c>
      <c r="X1236" s="2" t="s">
        <v>51</v>
      </c>
      <c r="Y1236" t="s">
        <v>34</v>
      </c>
      <c r="Z1236" s="9">
        <v>46193</v>
      </c>
      <c r="AA1236" s="9"/>
      <c r="AB1236">
        <v>36</v>
      </c>
      <c r="AC1236" t="s">
        <v>62</v>
      </c>
    </row>
    <row r="1237" spans="1:29" ht="13.95" hidden="1" customHeight="1" x14ac:dyDescent="0.65">
      <c r="A1237">
        <v>1231</v>
      </c>
      <c r="B1237" t="s">
        <v>29</v>
      </c>
      <c r="C1237" s="6">
        <v>1511755.4739999999</v>
      </c>
      <c r="D1237" s="6">
        <v>693913.46100000001</v>
      </c>
      <c r="E1237" s="2" t="s">
        <v>35</v>
      </c>
      <c r="F1237" s="1">
        <v>24</v>
      </c>
      <c r="G1237" s="2" t="s">
        <v>50</v>
      </c>
      <c r="J1237"/>
      <c r="K1237" s="19"/>
      <c r="L1237" s="21"/>
      <c r="M1237" s="27"/>
      <c r="N1237" s="19"/>
      <c r="O1237" s="21"/>
      <c r="Q1237" s="7">
        <f>Table2[[#This Row],[Elevation
PILE TOP]]-Table2[[#This Row],[LENGTH(m.)
(Actual)]]</f>
        <v>0</v>
      </c>
      <c r="R1237" s="2"/>
      <c r="S1237" s="7">
        <f>Table2[[#This Row],[N]]+Table2[[#This Row],[Pile 
Deviation 
N (m)]]</f>
        <v>1511755.4739999999</v>
      </c>
      <c r="T1237" s="7">
        <f>Table2[[#This Row],[E]]+Table2[[#This Row],[Pile 
Deviation 
E (m)]]</f>
        <v>693913.46100000001</v>
      </c>
      <c r="W1237" s="7">
        <v>0.24</v>
      </c>
      <c r="X1237" s="2" t="s">
        <v>51</v>
      </c>
      <c r="AA1237" s="9">
        <v>46230</v>
      </c>
    </row>
    <row r="1238" spans="1:29" hidden="1" x14ac:dyDescent="0.65">
      <c r="A1238">
        <v>1232</v>
      </c>
      <c r="B1238" t="s">
        <v>29</v>
      </c>
      <c r="C1238" s="6">
        <v>1511755.3089999999</v>
      </c>
      <c r="D1238" s="6">
        <v>694056.15099999995</v>
      </c>
      <c r="E1238" s="2" t="s">
        <v>35</v>
      </c>
      <c r="F1238" s="1">
        <v>24</v>
      </c>
      <c r="G1238" s="2" t="s">
        <v>50</v>
      </c>
      <c r="J1238"/>
      <c r="K1238" s="19"/>
      <c r="L1238" s="21"/>
      <c r="M1238" s="27"/>
      <c r="N1238" s="19"/>
      <c r="O1238" s="21"/>
      <c r="Q1238" s="7">
        <f>Table2[[#This Row],[Elevation
PILE TOP]]-Table2[[#This Row],[LENGTH(m.)
(Actual)]]</f>
        <v>0</v>
      </c>
      <c r="R1238" s="2"/>
      <c r="S1238" s="7">
        <f>Table2[[#This Row],[N]]+Table2[[#This Row],[Pile 
Deviation 
N (m)]]</f>
        <v>1511755.3089999999</v>
      </c>
      <c r="T1238" s="7">
        <f>Table2[[#This Row],[E]]+Table2[[#This Row],[Pile 
Deviation 
E (m)]]</f>
        <v>694056.15099999995</v>
      </c>
      <c r="W1238" s="7">
        <v>0.24</v>
      </c>
      <c r="X1238" s="2" t="s">
        <v>51</v>
      </c>
    </row>
    <row r="1239" spans="1:29" ht="13.95" hidden="1" customHeight="1" x14ac:dyDescent="0.65">
      <c r="A1239">
        <v>1233</v>
      </c>
      <c r="B1239" t="s">
        <v>29</v>
      </c>
      <c r="C1239" s="6">
        <v>1511755.2279999999</v>
      </c>
      <c r="D1239" s="6">
        <v>693916.95200000005</v>
      </c>
      <c r="E1239" s="2" t="s">
        <v>35</v>
      </c>
      <c r="F1239" s="1">
        <v>24</v>
      </c>
      <c r="G1239" s="2" t="s">
        <v>50</v>
      </c>
      <c r="J1239"/>
      <c r="K1239" s="19"/>
      <c r="L1239" s="21"/>
      <c r="M1239" s="27"/>
      <c r="N1239" s="19"/>
      <c r="O1239" s="21"/>
      <c r="Q1239" s="7">
        <f>Table2[[#This Row],[Elevation
PILE TOP]]-Table2[[#This Row],[LENGTH(m.)
(Actual)]]</f>
        <v>0</v>
      </c>
      <c r="R1239" s="2"/>
      <c r="S1239" s="7">
        <f>Table2[[#This Row],[N]]+Table2[[#This Row],[Pile 
Deviation 
N (m)]]</f>
        <v>1511755.2279999999</v>
      </c>
      <c r="T1239" s="7">
        <f>Table2[[#This Row],[E]]+Table2[[#This Row],[Pile 
Deviation 
E (m)]]</f>
        <v>693916.95200000005</v>
      </c>
      <c r="W1239" s="7">
        <v>0.24</v>
      </c>
      <c r="X1239" s="2" t="s">
        <v>51</v>
      </c>
      <c r="AA1239" s="9">
        <v>46230</v>
      </c>
    </row>
    <row r="1240" spans="1:29" hidden="1" x14ac:dyDescent="0.65">
      <c r="A1240">
        <v>1234</v>
      </c>
      <c r="B1240" t="s">
        <v>29</v>
      </c>
      <c r="C1240" s="6">
        <v>1511755.0430000001</v>
      </c>
      <c r="D1240" s="6">
        <v>693966.429</v>
      </c>
      <c r="E1240" s="2" t="s">
        <v>35</v>
      </c>
      <c r="F1240" s="1">
        <v>24</v>
      </c>
      <c r="G1240" s="2" t="s">
        <v>50</v>
      </c>
      <c r="J1240">
        <v>2</v>
      </c>
      <c r="K1240" s="19"/>
      <c r="L1240" s="21">
        <v>0.57013888888888886</v>
      </c>
      <c r="M1240" s="27" t="s">
        <v>32</v>
      </c>
      <c r="N1240" s="19"/>
      <c r="O1240" s="21">
        <v>0.59652777777777777</v>
      </c>
      <c r="Q1240" s="7">
        <f>Table2[[#This Row],[Elevation
PILE TOP]]-Table2[[#This Row],[LENGTH(m.)
(Actual)]]</f>
        <v>-26</v>
      </c>
      <c r="R1240" s="2">
        <v>26</v>
      </c>
      <c r="S1240" s="7">
        <f>Table2[[#This Row],[N]]+Table2[[#This Row],[Pile 
Deviation 
N (m)]]</f>
        <v>1511755.0430000001</v>
      </c>
      <c r="T1240" s="7">
        <f>Table2[[#This Row],[E]]+Table2[[#This Row],[Pile 
Deviation 
E (m)]]</f>
        <v>693966.43900000001</v>
      </c>
      <c r="U1240" s="7">
        <v>0</v>
      </c>
      <c r="V1240" s="7">
        <v>0.01</v>
      </c>
      <c r="W1240" s="7">
        <v>0.24</v>
      </c>
      <c r="X1240" s="2" t="s">
        <v>51</v>
      </c>
      <c r="Y1240" t="s">
        <v>34</v>
      </c>
      <c r="Z1240" s="9">
        <v>46187</v>
      </c>
      <c r="AB1240">
        <v>6</v>
      </c>
    </row>
    <row r="1241" spans="1:29" ht="13.95" hidden="1" customHeight="1" x14ac:dyDescent="0.65">
      <c r="A1241">
        <v>1235</v>
      </c>
      <c r="B1241" t="s">
        <v>29</v>
      </c>
      <c r="C1241" s="6">
        <v>1511754.9809999999</v>
      </c>
      <c r="D1241" s="6">
        <v>693920.44299999997</v>
      </c>
      <c r="E1241" s="2" t="s">
        <v>35</v>
      </c>
      <c r="F1241" s="1">
        <v>24</v>
      </c>
      <c r="G1241" s="2" t="s">
        <v>50</v>
      </c>
      <c r="J1241"/>
      <c r="K1241" s="19"/>
      <c r="L1241" s="21"/>
      <c r="M1241" s="27"/>
      <c r="N1241" s="19"/>
      <c r="O1241" s="21"/>
      <c r="Q1241" s="7">
        <f>Table2[[#This Row],[Elevation
PILE TOP]]-Table2[[#This Row],[LENGTH(m.)
(Actual)]]</f>
        <v>0</v>
      </c>
      <c r="R1241" s="2"/>
      <c r="S1241" s="7">
        <f>Table2[[#This Row],[N]]+Table2[[#This Row],[Pile 
Deviation 
N (m)]]</f>
        <v>1511754.9809999999</v>
      </c>
      <c r="T1241" s="7">
        <f>Table2[[#This Row],[E]]+Table2[[#This Row],[Pile 
Deviation 
E (m)]]</f>
        <v>693920.44299999997</v>
      </c>
      <c r="W1241" s="7">
        <v>0.24</v>
      </c>
      <c r="X1241" s="2" t="s">
        <v>51</v>
      </c>
      <c r="AA1241" s="9">
        <v>46230</v>
      </c>
    </row>
    <row r="1242" spans="1:29" hidden="1" x14ac:dyDescent="0.65">
      <c r="A1242">
        <v>1236</v>
      </c>
      <c r="B1242" t="s">
        <v>29</v>
      </c>
      <c r="C1242" s="6">
        <v>1511754.7350000001</v>
      </c>
      <c r="D1242" s="6">
        <v>693923.93500000006</v>
      </c>
      <c r="E1242" s="2" t="s">
        <v>35</v>
      </c>
      <c r="F1242" s="1">
        <v>24</v>
      </c>
      <c r="G1242" s="2" t="s">
        <v>50</v>
      </c>
      <c r="J1242"/>
      <c r="K1242" s="19"/>
      <c r="L1242" s="21"/>
      <c r="M1242" s="27"/>
      <c r="N1242" s="19"/>
      <c r="O1242" s="21"/>
      <c r="Q1242" s="7">
        <f>Table2[[#This Row],[Elevation
PILE TOP]]-Table2[[#This Row],[LENGTH(m.)
(Actual)]]</f>
        <v>0</v>
      </c>
      <c r="R1242" s="2"/>
      <c r="S1242" s="7">
        <f>Table2[[#This Row],[N]]+Table2[[#This Row],[Pile 
Deviation 
N (m)]]</f>
        <v>1511754.7350000001</v>
      </c>
      <c r="T1242" s="7">
        <f>Table2[[#This Row],[E]]+Table2[[#This Row],[Pile 
Deviation 
E (m)]]</f>
        <v>693923.93500000006</v>
      </c>
      <c r="W1242" s="7">
        <v>0.24</v>
      </c>
      <c r="X1242" s="2" t="s">
        <v>51</v>
      </c>
      <c r="AA1242" s="9">
        <v>46230</v>
      </c>
    </row>
    <row r="1243" spans="1:29" ht="13.95" hidden="1" customHeight="1" x14ac:dyDescent="0.65">
      <c r="A1243">
        <v>1237</v>
      </c>
      <c r="B1243" t="s">
        <v>29</v>
      </c>
      <c r="C1243" s="6">
        <v>1511754.6159999999</v>
      </c>
      <c r="D1243" s="6">
        <v>694052.72100000002</v>
      </c>
      <c r="E1243" s="2" t="s">
        <v>35</v>
      </c>
      <c r="F1243" s="1">
        <v>24</v>
      </c>
      <c r="G1243" s="2" t="s">
        <v>50</v>
      </c>
      <c r="J1243"/>
      <c r="K1243" s="19"/>
      <c r="L1243" s="21"/>
      <c r="M1243" s="27"/>
      <c r="N1243" s="19"/>
      <c r="O1243" s="21"/>
      <c r="Q1243" s="7">
        <f>Table2[[#This Row],[Elevation
PILE TOP]]-Table2[[#This Row],[LENGTH(m.)
(Actual)]]</f>
        <v>0</v>
      </c>
      <c r="R1243" s="2"/>
      <c r="S1243" s="7">
        <f>Table2[[#This Row],[N]]+Table2[[#This Row],[Pile 
Deviation 
N (m)]]</f>
        <v>1511754.6159999999</v>
      </c>
      <c r="T1243" s="7">
        <f>Table2[[#This Row],[E]]+Table2[[#This Row],[Pile 
Deviation 
E (m)]]</f>
        <v>694052.72100000002</v>
      </c>
      <c r="W1243" s="7">
        <v>0.24</v>
      </c>
      <c r="X1243" s="2" t="s">
        <v>51</v>
      </c>
    </row>
    <row r="1244" spans="1:29" hidden="1" x14ac:dyDescent="0.65">
      <c r="A1244">
        <v>1238</v>
      </c>
      <c r="B1244" t="s">
        <v>29</v>
      </c>
      <c r="C1244" s="6">
        <v>1511754.4890000001</v>
      </c>
      <c r="D1244" s="6">
        <v>693927.42599999998</v>
      </c>
      <c r="E1244" s="2" t="s">
        <v>35</v>
      </c>
      <c r="F1244" s="1">
        <v>24</v>
      </c>
      <c r="G1244" s="2" t="s">
        <v>50</v>
      </c>
      <c r="J1244"/>
      <c r="K1244" s="19"/>
      <c r="L1244" s="21"/>
      <c r="M1244" s="27"/>
      <c r="N1244" s="19"/>
      <c r="O1244" s="21"/>
      <c r="Q1244" s="7">
        <f>Table2[[#This Row],[Elevation
PILE TOP]]-Table2[[#This Row],[LENGTH(m.)
(Actual)]]</f>
        <v>0</v>
      </c>
      <c r="R1244" s="2"/>
      <c r="S1244" s="7">
        <f>Table2[[#This Row],[N]]+Table2[[#This Row],[Pile 
Deviation 
N (m)]]</f>
        <v>1511754.4890000001</v>
      </c>
      <c r="T1244" s="7">
        <f>Table2[[#This Row],[E]]+Table2[[#This Row],[Pile 
Deviation 
E (m)]]</f>
        <v>693927.42599999998</v>
      </c>
      <c r="W1244" s="7">
        <v>0.24</v>
      </c>
      <c r="X1244" s="2" t="s">
        <v>51</v>
      </c>
      <c r="AA1244" s="9">
        <v>46233</v>
      </c>
    </row>
    <row r="1245" spans="1:29" ht="13.95" hidden="1" customHeight="1" x14ac:dyDescent="0.65">
      <c r="A1245">
        <v>1239</v>
      </c>
      <c r="B1245" t="s">
        <v>29</v>
      </c>
      <c r="C1245" s="6">
        <v>1511754.35</v>
      </c>
      <c r="D1245" s="6">
        <v>693962.99800000002</v>
      </c>
      <c r="E1245" s="2" t="s">
        <v>35</v>
      </c>
      <c r="F1245" s="1">
        <v>24</v>
      </c>
      <c r="G1245" s="2" t="s">
        <v>50</v>
      </c>
      <c r="J1245">
        <v>2</v>
      </c>
      <c r="K1245" s="19"/>
      <c r="L1245" s="21">
        <v>0.48055555555555557</v>
      </c>
      <c r="M1245" s="27" t="s">
        <v>32</v>
      </c>
      <c r="N1245" s="19"/>
      <c r="O1245" s="21">
        <v>0.51736111111111105</v>
      </c>
      <c r="Q1245" s="7">
        <f>Table2[[#This Row],[Elevation
PILE TOP]]-Table2[[#This Row],[LENGTH(m.)
(Actual)]]</f>
        <v>-26</v>
      </c>
      <c r="R1245" s="2">
        <v>26</v>
      </c>
      <c r="S1245" s="7">
        <f>Table2[[#This Row],[N]]+Table2[[#This Row],[Pile 
Deviation 
N (m)]]</f>
        <v>1511754.31</v>
      </c>
      <c r="T1245" s="7">
        <f>Table2[[#This Row],[E]]+Table2[[#This Row],[Pile 
Deviation 
E (m)]]</f>
        <v>693963.01800000004</v>
      </c>
      <c r="U1245" s="7">
        <v>-0.04</v>
      </c>
      <c r="V1245" s="7">
        <v>0.02</v>
      </c>
      <c r="W1245" s="7">
        <v>0.24</v>
      </c>
      <c r="X1245" s="2" t="s">
        <v>51</v>
      </c>
      <c r="Y1245" t="s">
        <v>34</v>
      </c>
      <c r="Z1245" s="9">
        <v>46187</v>
      </c>
      <c r="AB1245">
        <v>5</v>
      </c>
    </row>
    <row r="1246" spans="1:29" hidden="1" x14ac:dyDescent="0.65">
      <c r="A1246">
        <v>1240</v>
      </c>
      <c r="B1246" t="s">
        <v>29</v>
      </c>
      <c r="C1246" s="6">
        <v>1511754.243</v>
      </c>
      <c r="D1246" s="6">
        <v>693930.91700000002</v>
      </c>
      <c r="E1246" s="2" t="s">
        <v>35</v>
      </c>
      <c r="F1246" s="1">
        <v>24</v>
      </c>
      <c r="G1246" s="2" t="s">
        <v>50</v>
      </c>
      <c r="J1246"/>
      <c r="K1246" s="19"/>
      <c r="L1246" s="21"/>
      <c r="M1246" s="27"/>
      <c r="N1246" s="19"/>
      <c r="O1246" s="21"/>
      <c r="Q1246" s="7">
        <f>Table2[[#This Row],[Elevation
PILE TOP]]-Table2[[#This Row],[LENGTH(m.)
(Actual)]]</f>
        <v>0</v>
      </c>
      <c r="R1246" s="2"/>
      <c r="S1246" s="7">
        <f>Table2[[#This Row],[N]]+Table2[[#This Row],[Pile 
Deviation 
N (m)]]</f>
        <v>1511754.243</v>
      </c>
      <c r="T1246" s="7">
        <f>Table2[[#This Row],[E]]+Table2[[#This Row],[Pile 
Deviation 
E (m)]]</f>
        <v>693930.91700000002</v>
      </c>
      <c r="W1246" s="7">
        <v>0.24</v>
      </c>
      <c r="X1246" s="2" t="s">
        <v>51</v>
      </c>
      <c r="AA1246" s="9">
        <v>46233</v>
      </c>
    </row>
    <row r="1247" spans="1:29" ht="13.95" hidden="1" customHeight="1" x14ac:dyDescent="0.65">
      <c r="A1247">
        <v>1241</v>
      </c>
      <c r="B1247" t="s">
        <v>29</v>
      </c>
      <c r="C1247" s="6">
        <v>1511753.996</v>
      </c>
      <c r="D1247" s="6">
        <v>693934.40899999999</v>
      </c>
      <c r="E1247" s="2" t="s">
        <v>35</v>
      </c>
      <c r="F1247" s="1">
        <v>24</v>
      </c>
      <c r="G1247" s="2" t="s">
        <v>50</v>
      </c>
      <c r="J1247"/>
      <c r="K1247" s="19"/>
      <c r="L1247" s="21"/>
      <c r="M1247" s="27"/>
      <c r="N1247" s="19"/>
      <c r="O1247" s="21"/>
      <c r="Q1247" s="7">
        <f>Table2[[#This Row],[Elevation
PILE TOP]]-Table2[[#This Row],[LENGTH(m.)
(Actual)]]</f>
        <v>0</v>
      </c>
      <c r="R1247" s="2"/>
      <c r="S1247" s="7">
        <f>Table2[[#This Row],[N]]+Table2[[#This Row],[Pile 
Deviation 
N (m)]]</f>
        <v>1511753.996</v>
      </c>
      <c r="T1247" s="7">
        <f>Table2[[#This Row],[E]]+Table2[[#This Row],[Pile 
Deviation 
E (m)]]</f>
        <v>693934.40899999999</v>
      </c>
      <c r="W1247" s="7">
        <v>0.24</v>
      </c>
      <c r="X1247" s="2" t="s">
        <v>51</v>
      </c>
      <c r="AA1247" s="9">
        <v>46233</v>
      </c>
    </row>
    <row r="1248" spans="1:29" hidden="1" x14ac:dyDescent="0.65">
      <c r="A1248">
        <v>1242</v>
      </c>
      <c r="B1248" t="s">
        <v>29</v>
      </c>
      <c r="C1248" s="6">
        <v>1511753.9569999999</v>
      </c>
      <c r="D1248" s="6">
        <v>694067.13699999999</v>
      </c>
      <c r="E1248" s="2" t="s">
        <v>35</v>
      </c>
      <c r="F1248" s="1">
        <v>24</v>
      </c>
      <c r="G1248" s="2" t="s">
        <v>50</v>
      </c>
      <c r="J1248"/>
      <c r="K1248" s="19"/>
      <c r="L1248" s="21"/>
      <c r="M1248" s="27"/>
      <c r="N1248" s="19"/>
      <c r="O1248" s="21"/>
      <c r="Q1248" s="7">
        <f>Table2[[#This Row],[Elevation
PILE TOP]]-Table2[[#This Row],[LENGTH(m.)
(Actual)]]</f>
        <v>0</v>
      </c>
      <c r="R1248" s="2"/>
      <c r="S1248" s="7">
        <f>Table2[[#This Row],[N]]+Table2[[#This Row],[Pile 
Deviation 
N (m)]]</f>
        <v>1511753.9569999999</v>
      </c>
      <c r="T1248" s="7">
        <f>Table2[[#This Row],[E]]+Table2[[#This Row],[Pile 
Deviation 
E (m)]]</f>
        <v>694067.13699999999</v>
      </c>
      <c r="W1248" s="7">
        <v>0.24</v>
      </c>
      <c r="X1248" s="2" t="s">
        <v>51</v>
      </c>
    </row>
    <row r="1249" spans="1:28" ht="13.95" hidden="1" customHeight="1" x14ac:dyDescent="0.65">
      <c r="A1249">
        <v>1243</v>
      </c>
      <c r="B1249" t="s">
        <v>29</v>
      </c>
      <c r="C1249" s="6">
        <v>1511753.923</v>
      </c>
      <c r="D1249" s="6">
        <v>694049.29</v>
      </c>
      <c r="E1249" s="2" t="s">
        <v>35</v>
      </c>
      <c r="F1249" s="1">
        <v>24</v>
      </c>
      <c r="G1249" s="2" t="s">
        <v>50</v>
      </c>
      <c r="J1249"/>
      <c r="K1249" s="19"/>
      <c r="L1249" s="21"/>
      <c r="M1249" s="27"/>
      <c r="N1249" s="19"/>
      <c r="O1249" s="21"/>
      <c r="Q1249" s="7">
        <f>Table2[[#This Row],[Elevation
PILE TOP]]-Table2[[#This Row],[LENGTH(m.)
(Actual)]]</f>
        <v>0</v>
      </c>
      <c r="R1249" s="2"/>
      <c r="S1249" s="7">
        <f>Table2[[#This Row],[N]]+Table2[[#This Row],[Pile 
Deviation 
N (m)]]</f>
        <v>1511753.923</v>
      </c>
      <c r="T1249" s="7">
        <f>Table2[[#This Row],[E]]+Table2[[#This Row],[Pile 
Deviation 
E (m)]]</f>
        <v>694049.29</v>
      </c>
      <c r="W1249" s="7">
        <v>0.24</v>
      </c>
      <c r="X1249" s="2" t="s">
        <v>51</v>
      </c>
    </row>
    <row r="1250" spans="1:28" hidden="1" x14ac:dyDescent="0.65">
      <c r="A1250">
        <v>1244</v>
      </c>
      <c r="B1250" t="s">
        <v>29</v>
      </c>
      <c r="C1250" s="6">
        <v>1511753.6569999999</v>
      </c>
      <c r="D1250" s="6">
        <v>693959.56700000004</v>
      </c>
      <c r="E1250" s="2" t="s">
        <v>35</v>
      </c>
      <c r="F1250" s="1">
        <v>24</v>
      </c>
      <c r="G1250" s="2" t="s">
        <v>50</v>
      </c>
      <c r="J1250">
        <v>2</v>
      </c>
      <c r="K1250" s="19"/>
      <c r="L1250" s="21">
        <v>0.4375</v>
      </c>
      <c r="M1250" s="27" t="s">
        <v>32</v>
      </c>
      <c r="N1250" s="19"/>
      <c r="O1250" s="21">
        <v>0.46597222222222223</v>
      </c>
      <c r="Q1250" s="7">
        <f>Table2[[#This Row],[Elevation
PILE TOP]]-Table2[[#This Row],[LENGTH(m.)
(Actual)]]</f>
        <v>-26</v>
      </c>
      <c r="R1250" s="2">
        <v>26</v>
      </c>
      <c r="S1250" s="7">
        <f>Table2[[#This Row],[N]]+Table2[[#This Row],[Pile 
Deviation 
N (m)]]</f>
        <v>1511753.6469999999</v>
      </c>
      <c r="T1250" s="7">
        <f>Table2[[#This Row],[E]]+Table2[[#This Row],[Pile 
Deviation 
E (m)]]</f>
        <v>693959.56700000004</v>
      </c>
      <c r="U1250" s="7">
        <v>-0.01</v>
      </c>
      <c r="V1250" s="7">
        <v>0</v>
      </c>
      <c r="W1250" s="7">
        <v>0.24</v>
      </c>
      <c r="X1250" s="2" t="s">
        <v>51</v>
      </c>
      <c r="Y1250" t="s">
        <v>34</v>
      </c>
      <c r="Z1250" s="9">
        <v>46187</v>
      </c>
      <c r="AB1250">
        <v>4</v>
      </c>
    </row>
    <row r="1251" spans="1:28" ht="13.95" hidden="1" customHeight="1" x14ac:dyDescent="0.65">
      <c r="A1251">
        <v>1245</v>
      </c>
      <c r="B1251" t="s">
        <v>29</v>
      </c>
      <c r="C1251" s="6">
        <v>1511753.6240000001</v>
      </c>
      <c r="D1251" s="6">
        <v>693941.72100000002</v>
      </c>
      <c r="E1251" s="2" t="s">
        <v>35</v>
      </c>
      <c r="F1251" s="1">
        <v>24</v>
      </c>
      <c r="G1251" s="2" t="s">
        <v>50</v>
      </c>
      <c r="J1251"/>
      <c r="K1251" s="19"/>
      <c r="L1251" s="21"/>
      <c r="M1251" s="27"/>
      <c r="N1251" s="19"/>
      <c r="O1251" s="21"/>
      <c r="Q1251" s="7">
        <f>Table2[[#This Row],[Elevation
PILE TOP]]-Table2[[#This Row],[LENGTH(m.)
(Actual)]]</f>
        <v>0</v>
      </c>
      <c r="R1251" s="2"/>
      <c r="S1251" s="7">
        <f>Table2[[#This Row],[N]]+Table2[[#This Row],[Pile 
Deviation 
N (m)]]</f>
        <v>1511753.6240000001</v>
      </c>
      <c r="T1251" s="7">
        <f>Table2[[#This Row],[E]]+Table2[[#This Row],[Pile 
Deviation 
E (m)]]</f>
        <v>693941.72100000002</v>
      </c>
      <c r="W1251" s="7">
        <v>0.24</v>
      </c>
      <c r="X1251" s="2" t="s">
        <v>51</v>
      </c>
    </row>
    <row r="1252" spans="1:28" hidden="1" x14ac:dyDescent="0.65">
      <c r="A1252">
        <v>1246</v>
      </c>
      <c r="B1252" t="s">
        <v>29</v>
      </c>
      <c r="C1252" s="6">
        <v>1511753.368</v>
      </c>
      <c r="D1252" s="6">
        <v>693945.34299999999</v>
      </c>
      <c r="E1252" s="2" t="s">
        <v>35</v>
      </c>
      <c r="F1252" s="1">
        <v>24</v>
      </c>
      <c r="G1252" s="2" t="s">
        <v>50</v>
      </c>
      <c r="J1252"/>
      <c r="K1252" s="19"/>
      <c r="L1252" s="21"/>
      <c r="M1252" s="27"/>
      <c r="N1252" s="19"/>
      <c r="O1252" s="21"/>
      <c r="Q1252" s="7">
        <f>Table2[[#This Row],[Elevation
PILE TOP]]-Table2[[#This Row],[LENGTH(m.)
(Actual)]]</f>
        <v>0</v>
      </c>
      <c r="R1252" s="2"/>
      <c r="S1252" s="7">
        <f>Table2[[#This Row],[N]]+Table2[[#This Row],[Pile 
Deviation 
N (m)]]</f>
        <v>1511753.368</v>
      </c>
      <c r="T1252" s="7">
        <f>Table2[[#This Row],[E]]+Table2[[#This Row],[Pile 
Deviation 
E (m)]]</f>
        <v>693945.34299999999</v>
      </c>
      <c r="W1252" s="7">
        <v>0.24</v>
      </c>
      <c r="X1252" s="2" t="s">
        <v>51</v>
      </c>
    </row>
    <row r="1253" spans="1:28" ht="13.95" hidden="1" customHeight="1" x14ac:dyDescent="0.65">
      <c r="A1253">
        <v>1247</v>
      </c>
      <c r="B1253" t="s">
        <v>29</v>
      </c>
      <c r="C1253" s="6">
        <v>1511753.264</v>
      </c>
      <c r="D1253" s="6">
        <v>694063.70600000001</v>
      </c>
      <c r="E1253" s="2" t="s">
        <v>35</v>
      </c>
      <c r="F1253" s="1">
        <v>24</v>
      </c>
      <c r="G1253" s="2" t="s">
        <v>50</v>
      </c>
      <c r="J1253"/>
      <c r="K1253" s="19"/>
      <c r="L1253" s="21"/>
      <c r="M1253" s="27"/>
      <c r="N1253" s="19"/>
      <c r="O1253" s="21"/>
      <c r="Q1253" s="7">
        <f>Table2[[#This Row],[Elevation
PILE TOP]]-Table2[[#This Row],[LENGTH(m.)
(Actual)]]</f>
        <v>0</v>
      </c>
      <c r="R1253" s="2"/>
      <c r="S1253" s="7">
        <f>Table2[[#This Row],[N]]+Table2[[#This Row],[Pile 
Deviation 
N (m)]]</f>
        <v>1511753.264</v>
      </c>
      <c r="T1253" s="7">
        <f>Table2[[#This Row],[E]]+Table2[[#This Row],[Pile 
Deviation 
E (m)]]</f>
        <v>694063.70600000001</v>
      </c>
      <c r="W1253" s="7">
        <v>0.24</v>
      </c>
      <c r="X1253" s="2" t="s">
        <v>51</v>
      </c>
    </row>
    <row r="1254" spans="1:28" hidden="1" x14ac:dyDescent="0.65">
      <c r="A1254">
        <v>1248</v>
      </c>
      <c r="B1254" t="s">
        <v>29</v>
      </c>
      <c r="C1254" s="6">
        <v>1511753.2309999999</v>
      </c>
      <c r="D1254" s="6">
        <v>694045.85900000005</v>
      </c>
      <c r="E1254" s="2" t="s">
        <v>35</v>
      </c>
      <c r="F1254" s="1">
        <v>24</v>
      </c>
      <c r="G1254" s="2" t="s">
        <v>50</v>
      </c>
      <c r="J1254"/>
      <c r="K1254" s="19"/>
      <c r="L1254" s="21"/>
      <c r="M1254" s="27"/>
      <c r="N1254" s="19"/>
      <c r="O1254" s="21"/>
      <c r="Q1254" s="7">
        <f>Table2[[#This Row],[Elevation
PILE TOP]]-Table2[[#This Row],[LENGTH(m.)
(Actual)]]</f>
        <v>0</v>
      </c>
      <c r="R1254" s="2"/>
      <c r="S1254" s="7">
        <f>Table2[[#This Row],[N]]+Table2[[#This Row],[Pile 
Deviation 
N (m)]]</f>
        <v>1511753.2309999999</v>
      </c>
      <c r="T1254" s="7">
        <f>Table2[[#This Row],[E]]+Table2[[#This Row],[Pile 
Deviation 
E (m)]]</f>
        <v>694045.85900000005</v>
      </c>
      <c r="W1254" s="7">
        <v>0.24</v>
      </c>
      <c r="X1254" s="2" t="s">
        <v>51</v>
      </c>
    </row>
    <row r="1255" spans="1:28" ht="13.95" hidden="1" customHeight="1" x14ac:dyDescent="0.65">
      <c r="A1255">
        <v>1249</v>
      </c>
      <c r="B1255" t="s">
        <v>29</v>
      </c>
      <c r="C1255" s="6">
        <v>1511752.9639999999</v>
      </c>
      <c r="D1255" s="6">
        <v>693956.13600000006</v>
      </c>
      <c r="E1255" s="2" t="s">
        <v>35</v>
      </c>
      <c r="F1255" s="1">
        <v>24</v>
      </c>
      <c r="G1255" s="2" t="s">
        <v>50</v>
      </c>
      <c r="J1255">
        <v>2</v>
      </c>
      <c r="K1255" s="19"/>
      <c r="L1255" s="21">
        <v>0.375</v>
      </c>
      <c r="M1255" s="27" t="s">
        <v>32</v>
      </c>
      <c r="N1255" s="19"/>
      <c r="O1255" s="21">
        <v>0.40833333333333338</v>
      </c>
      <c r="Q1255" s="7">
        <f>Table2[[#This Row],[Elevation
PILE TOP]]-Table2[[#This Row],[LENGTH(m.)
(Actual)]]</f>
        <v>-25</v>
      </c>
      <c r="R1255" s="2">
        <v>25</v>
      </c>
      <c r="S1255" s="7">
        <f>Table2[[#This Row],[N]]+Table2[[#This Row],[Pile 
Deviation 
N (m)]]</f>
        <v>1511752.9539999999</v>
      </c>
      <c r="T1255" s="7">
        <f>Table2[[#This Row],[E]]+Table2[[#This Row],[Pile 
Deviation 
E (m)]]</f>
        <v>693956.15600000008</v>
      </c>
      <c r="U1255" s="7">
        <v>-0.01</v>
      </c>
      <c r="V1255" s="7">
        <v>0.02</v>
      </c>
      <c r="W1255" s="7">
        <v>0.24</v>
      </c>
      <c r="X1255" s="2" t="s">
        <v>51</v>
      </c>
      <c r="Y1255" t="s">
        <v>34</v>
      </c>
      <c r="Z1255" s="9">
        <v>46194</v>
      </c>
      <c r="AB1255">
        <v>37</v>
      </c>
    </row>
    <row r="1256" spans="1:28" hidden="1" x14ac:dyDescent="0.65">
      <c r="A1256">
        <v>1250</v>
      </c>
      <c r="B1256" t="s">
        <v>29</v>
      </c>
      <c r="C1256" s="6">
        <v>1511752.9310000001</v>
      </c>
      <c r="D1256" s="6">
        <v>693938.29</v>
      </c>
      <c r="E1256" s="2" t="s">
        <v>35</v>
      </c>
      <c r="F1256" s="1">
        <v>24</v>
      </c>
      <c r="G1256" s="2" t="s">
        <v>50</v>
      </c>
      <c r="J1256"/>
      <c r="K1256" s="19"/>
      <c r="L1256" s="21"/>
      <c r="M1256" s="27"/>
      <c r="N1256" s="19"/>
      <c r="O1256" s="21"/>
      <c r="Q1256" s="7">
        <f>Table2[[#This Row],[Elevation
PILE TOP]]-Table2[[#This Row],[LENGTH(m.)
(Actual)]]</f>
        <v>0</v>
      </c>
      <c r="R1256" s="2"/>
      <c r="S1256" s="7">
        <f>Table2[[#This Row],[N]]+Table2[[#This Row],[Pile 
Deviation 
N (m)]]</f>
        <v>1511752.9310000001</v>
      </c>
      <c r="T1256" s="7">
        <f>Table2[[#This Row],[E]]+Table2[[#This Row],[Pile 
Deviation 
E (m)]]</f>
        <v>693938.29</v>
      </c>
      <c r="W1256" s="7">
        <v>0.24</v>
      </c>
      <c r="X1256" s="2" t="s">
        <v>51</v>
      </c>
      <c r="AA1256" s="9">
        <v>46233</v>
      </c>
    </row>
    <row r="1257" spans="1:28" ht="13.95" hidden="1" customHeight="1" x14ac:dyDescent="0.65">
      <c r="A1257">
        <v>1251</v>
      </c>
      <c r="B1257" t="s">
        <v>29</v>
      </c>
      <c r="C1257" s="6">
        <v>1511752.6939999999</v>
      </c>
      <c r="D1257" s="6">
        <v>693937.11699999997</v>
      </c>
      <c r="E1257" s="2" t="s">
        <v>35</v>
      </c>
      <c r="F1257" s="1">
        <v>24</v>
      </c>
      <c r="G1257" s="2" t="s">
        <v>50</v>
      </c>
      <c r="J1257"/>
      <c r="K1257" s="19"/>
      <c r="L1257" s="21"/>
      <c r="M1257" s="27"/>
      <c r="N1257" s="19"/>
      <c r="O1257" s="21"/>
      <c r="Q1257" s="7">
        <f>Table2[[#This Row],[Elevation
PILE TOP]]-Table2[[#This Row],[LENGTH(m.)
(Actual)]]</f>
        <v>0</v>
      </c>
      <c r="R1257" s="2"/>
      <c r="S1257" s="7">
        <f>Table2[[#This Row],[N]]+Table2[[#This Row],[Pile 
Deviation 
N (m)]]</f>
        <v>1511752.6939999999</v>
      </c>
      <c r="T1257" s="7">
        <f>Table2[[#This Row],[E]]+Table2[[#This Row],[Pile 
Deviation 
E (m)]]</f>
        <v>693937.11699999997</v>
      </c>
      <c r="W1257" s="7">
        <v>0.24</v>
      </c>
      <c r="X1257" s="2" t="s">
        <v>51</v>
      </c>
      <c r="AA1257" s="9">
        <v>46233</v>
      </c>
    </row>
    <row r="1258" spans="1:28" hidden="1" x14ac:dyDescent="0.65">
      <c r="A1258">
        <v>1252</v>
      </c>
      <c r="B1258" t="s">
        <v>29</v>
      </c>
      <c r="C1258" s="6">
        <v>1511752.571</v>
      </c>
      <c r="D1258" s="6">
        <v>694060.27500000002</v>
      </c>
      <c r="E1258" s="2" t="s">
        <v>35</v>
      </c>
      <c r="F1258" s="1">
        <v>24</v>
      </c>
      <c r="G1258" s="2" t="s">
        <v>50</v>
      </c>
      <c r="J1258"/>
      <c r="K1258" s="19"/>
      <c r="L1258" s="21"/>
      <c r="M1258" s="27"/>
      <c r="N1258" s="19"/>
      <c r="O1258" s="21"/>
      <c r="Q1258" s="7">
        <f>Table2[[#This Row],[Elevation
PILE TOP]]-Table2[[#This Row],[LENGTH(m.)
(Actual)]]</f>
        <v>0</v>
      </c>
      <c r="R1258" s="2"/>
      <c r="S1258" s="7">
        <f>Table2[[#This Row],[N]]+Table2[[#This Row],[Pile 
Deviation 
N (m)]]</f>
        <v>1511752.571</v>
      </c>
      <c r="T1258" s="7">
        <f>Table2[[#This Row],[E]]+Table2[[#This Row],[Pile 
Deviation 
E (m)]]</f>
        <v>694060.27500000002</v>
      </c>
      <c r="W1258" s="7">
        <v>0.24</v>
      </c>
      <c r="X1258" s="2" t="s">
        <v>51</v>
      </c>
    </row>
    <row r="1259" spans="1:28" ht="13.95" hidden="1" customHeight="1" x14ac:dyDescent="0.65">
      <c r="A1259">
        <v>1253</v>
      </c>
      <c r="B1259" t="s">
        <v>29</v>
      </c>
      <c r="C1259" s="6">
        <v>1511752.2709999999</v>
      </c>
      <c r="D1259" s="6">
        <v>693952.70600000001</v>
      </c>
      <c r="E1259" s="2" t="s">
        <v>35</v>
      </c>
      <c r="F1259" s="1">
        <v>24</v>
      </c>
      <c r="G1259" s="2" t="s">
        <v>50</v>
      </c>
      <c r="J1259">
        <v>2</v>
      </c>
      <c r="K1259" s="19"/>
      <c r="L1259" s="21">
        <v>0.42291666666666666</v>
      </c>
      <c r="M1259" s="27" t="s">
        <v>32</v>
      </c>
      <c r="N1259" s="19"/>
      <c r="O1259" s="21">
        <v>0.45347222222222222</v>
      </c>
      <c r="Q1259" s="7">
        <f>Table2[[#This Row],[Elevation
PILE TOP]]-Table2[[#This Row],[LENGTH(m.)
(Actual)]]</f>
        <v>-25</v>
      </c>
      <c r="R1259" s="2">
        <v>25</v>
      </c>
      <c r="S1259" s="7">
        <f>Table2[[#This Row],[N]]+Table2[[#This Row],[Pile 
Deviation 
N (m)]]</f>
        <v>1511752.2709999999</v>
      </c>
      <c r="T1259" s="7">
        <f>Table2[[#This Row],[E]]+Table2[[#This Row],[Pile 
Deviation 
E (m)]]</f>
        <v>693952.72600000002</v>
      </c>
      <c r="U1259" s="7">
        <v>0</v>
      </c>
      <c r="V1259" s="7">
        <v>0.02</v>
      </c>
      <c r="W1259" s="7">
        <v>0.24</v>
      </c>
      <c r="X1259" s="2" t="s">
        <v>51</v>
      </c>
      <c r="Y1259" t="s">
        <v>34</v>
      </c>
      <c r="Z1259" s="9">
        <v>46194</v>
      </c>
      <c r="AB1259">
        <v>38</v>
      </c>
    </row>
    <row r="1260" spans="1:28" hidden="1" x14ac:dyDescent="0.65">
      <c r="A1260">
        <v>1254</v>
      </c>
      <c r="B1260" t="s">
        <v>29</v>
      </c>
      <c r="C1260" s="6">
        <v>1511751.878</v>
      </c>
      <c r="D1260" s="6">
        <v>694056.84400000004</v>
      </c>
      <c r="E1260" s="2" t="s">
        <v>35</v>
      </c>
      <c r="F1260" s="1">
        <v>24</v>
      </c>
      <c r="G1260" s="2" t="s">
        <v>50</v>
      </c>
      <c r="J1260"/>
      <c r="K1260" s="19"/>
      <c r="L1260" s="21"/>
      <c r="M1260" s="27"/>
      <c r="N1260" s="19"/>
      <c r="O1260" s="21"/>
      <c r="Q1260" s="7">
        <f>Table2[[#This Row],[Elevation
PILE TOP]]-Table2[[#This Row],[LENGTH(m.)
(Actual)]]</f>
        <v>0</v>
      </c>
      <c r="R1260" s="2"/>
      <c r="S1260" s="7">
        <f>Table2[[#This Row],[N]]+Table2[[#This Row],[Pile 
Deviation 
N (m)]]</f>
        <v>1511751.878</v>
      </c>
      <c r="T1260" s="7">
        <f>Table2[[#This Row],[E]]+Table2[[#This Row],[Pile 
Deviation 
E (m)]]</f>
        <v>694056.84400000004</v>
      </c>
      <c r="W1260" s="7">
        <v>0.24</v>
      </c>
      <c r="X1260" s="2" t="s">
        <v>51</v>
      </c>
    </row>
    <row r="1261" spans="1:28" ht="13.95" hidden="1" customHeight="1" x14ac:dyDescent="0.65">
      <c r="A1261">
        <v>1255</v>
      </c>
      <c r="B1261" t="s">
        <v>29</v>
      </c>
      <c r="C1261" s="6">
        <v>1511751.5789999999</v>
      </c>
      <c r="D1261" s="6">
        <v>693949.27500000002</v>
      </c>
      <c r="E1261" s="2" t="s">
        <v>35</v>
      </c>
      <c r="F1261" s="1">
        <v>24</v>
      </c>
      <c r="G1261" s="2" t="s">
        <v>50</v>
      </c>
      <c r="J1261">
        <v>2</v>
      </c>
      <c r="K1261" s="19"/>
      <c r="L1261" s="21">
        <v>0.46666666666666662</v>
      </c>
      <c r="M1261" s="27" t="s">
        <v>32</v>
      </c>
      <c r="N1261" s="19"/>
      <c r="O1261" s="21">
        <v>0.50347222222222221</v>
      </c>
      <c r="Q1261" s="7">
        <f>Table2[[#This Row],[Elevation
PILE TOP]]-Table2[[#This Row],[LENGTH(m.)
(Actual)]]</f>
        <v>-25</v>
      </c>
      <c r="R1261" s="2">
        <v>25</v>
      </c>
      <c r="S1261" s="7">
        <f>Table2[[#This Row],[N]]+Table2[[#This Row],[Pile 
Deviation 
N (m)]]</f>
        <v>1511751.5789999999</v>
      </c>
      <c r="T1261" s="7">
        <f>Table2[[#This Row],[E]]+Table2[[#This Row],[Pile 
Deviation 
E (m)]]</f>
        <v>693949.28500000003</v>
      </c>
      <c r="U1261" s="7">
        <v>0</v>
      </c>
      <c r="V1261" s="7">
        <v>0.01</v>
      </c>
      <c r="W1261" s="7">
        <v>0.24</v>
      </c>
      <c r="X1261" s="2" t="s">
        <v>51</v>
      </c>
      <c r="Y1261" t="s">
        <v>34</v>
      </c>
      <c r="Z1261" s="9">
        <v>46194</v>
      </c>
      <c r="AB1261">
        <v>39</v>
      </c>
    </row>
    <row r="1262" spans="1:28" hidden="1" x14ac:dyDescent="0.65">
      <c r="A1262">
        <v>1256</v>
      </c>
      <c r="B1262" t="s">
        <v>29</v>
      </c>
      <c r="C1262" s="6">
        <v>1511751.1850000001</v>
      </c>
      <c r="D1262" s="6">
        <v>694053.41399999999</v>
      </c>
      <c r="E1262" s="2" t="s">
        <v>35</v>
      </c>
      <c r="F1262" s="1">
        <v>24</v>
      </c>
      <c r="G1262" s="2" t="s">
        <v>50</v>
      </c>
      <c r="J1262"/>
      <c r="K1262" s="19"/>
      <c r="L1262" s="21"/>
      <c r="M1262" s="27"/>
      <c r="N1262" s="19"/>
      <c r="O1262" s="21"/>
      <c r="Q1262" s="7">
        <f>Table2[[#This Row],[Elevation
PILE TOP]]-Table2[[#This Row],[LENGTH(m.)
(Actual)]]</f>
        <v>0</v>
      </c>
      <c r="R1262" s="2"/>
      <c r="S1262" s="7">
        <f>Table2[[#This Row],[N]]+Table2[[#This Row],[Pile 
Deviation 
N (m)]]</f>
        <v>1511751.1850000001</v>
      </c>
      <c r="T1262" s="7">
        <f>Table2[[#This Row],[E]]+Table2[[#This Row],[Pile 
Deviation 
E (m)]]</f>
        <v>694053.41399999999</v>
      </c>
      <c r="W1262" s="7">
        <v>0.24</v>
      </c>
      <c r="X1262" s="2" t="s">
        <v>51</v>
      </c>
    </row>
    <row r="1263" spans="1:28" ht="13.95" hidden="1" customHeight="1" x14ac:dyDescent="0.65">
      <c r="A1263">
        <v>1257</v>
      </c>
      <c r="B1263" t="s">
        <v>29</v>
      </c>
      <c r="C1263" s="6">
        <v>1511750.8859999999</v>
      </c>
      <c r="D1263" s="6">
        <v>693945.84400000004</v>
      </c>
      <c r="E1263" s="2" t="s">
        <v>35</v>
      </c>
      <c r="F1263" s="1">
        <v>24</v>
      </c>
      <c r="G1263" s="2" t="s">
        <v>50</v>
      </c>
      <c r="J1263">
        <v>2</v>
      </c>
      <c r="K1263" s="19"/>
      <c r="L1263" s="21">
        <v>0.55138888888888882</v>
      </c>
      <c r="M1263" s="27" t="s">
        <v>32</v>
      </c>
      <c r="N1263" s="19"/>
      <c r="O1263" s="21">
        <v>0.61527777777777781</v>
      </c>
      <c r="Q1263" s="7">
        <f>Table2[[#This Row],[Elevation
PILE TOP]]-Table2[[#This Row],[LENGTH(m.)
(Actual)]]</f>
        <v>-25</v>
      </c>
      <c r="R1263" s="2">
        <v>25</v>
      </c>
      <c r="S1263" s="7">
        <f>Table2[[#This Row],[N]]+Table2[[#This Row],[Pile 
Deviation 
N (m)]]</f>
        <v>1511750.8859999999</v>
      </c>
      <c r="T1263" s="7">
        <f>Table2[[#This Row],[E]]+Table2[[#This Row],[Pile 
Deviation 
E (m)]]</f>
        <v>693945.83400000003</v>
      </c>
      <c r="U1263" s="7">
        <v>0</v>
      </c>
      <c r="V1263" s="7">
        <v>-0.01</v>
      </c>
      <c r="W1263" s="7">
        <v>0.24</v>
      </c>
      <c r="X1263" s="2" t="s">
        <v>51</v>
      </c>
      <c r="Y1263" t="s">
        <v>34</v>
      </c>
      <c r="Z1263" s="9">
        <v>46194</v>
      </c>
      <c r="AB1263">
        <v>40</v>
      </c>
    </row>
    <row r="1264" spans="1:28" hidden="1" x14ac:dyDescent="0.65">
      <c r="A1264">
        <v>1258</v>
      </c>
      <c r="B1264" t="s">
        <v>29</v>
      </c>
      <c r="C1264" s="6">
        <v>1511750.493</v>
      </c>
      <c r="D1264" s="6">
        <v>694049.98300000001</v>
      </c>
      <c r="E1264" s="2" t="s">
        <v>35</v>
      </c>
      <c r="F1264" s="1">
        <v>24</v>
      </c>
      <c r="G1264" s="2" t="s">
        <v>50</v>
      </c>
      <c r="J1264"/>
      <c r="K1264" s="19"/>
      <c r="L1264" s="21"/>
      <c r="M1264" s="27"/>
      <c r="N1264" s="19"/>
      <c r="O1264" s="21"/>
      <c r="Q1264" s="7">
        <f>Table2[[#This Row],[Elevation
PILE TOP]]-Table2[[#This Row],[LENGTH(m.)
(Actual)]]</f>
        <v>0</v>
      </c>
      <c r="R1264" s="2"/>
      <c r="S1264" s="7">
        <f>Table2[[#This Row],[N]]+Table2[[#This Row],[Pile 
Deviation 
N (m)]]</f>
        <v>1511750.493</v>
      </c>
      <c r="T1264" s="7">
        <f>Table2[[#This Row],[E]]+Table2[[#This Row],[Pile 
Deviation 
E (m)]]</f>
        <v>694049.98300000001</v>
      </c>
      <c r="W1264" s="7">
        <v>0.24</v>
      </c>
      <c r="X1264" s="2" t="s">
        <v>51</v>
      </c>
    </row>
    <row r="1265" spans="1:28" ht="13.95" hidden="1" customHeight="1" x14ac:dyDescent="0.65">
      <c r="A1265">
        <v>1259</v>
      </c>
      <c r="B1265" t="s">
        <v>29</v>
      </c>
      <c r="C1265" s="6">
        <v>1511750.3359999999</v>
      </c>
      <c r="D1265" s="6">
        <v>694066.88699999999</v>
      </c>
      <c r="E1265" s="2" t="s">
        <v>35</v>
      </c>
      <c r="F1265" s="1">
        <v>24</v>
      </c>
      <c r="G1265" s="2" t="s">
        <v>50</v>
      </c>
      <c r="J1265"/>
      <c r="K1265" s="19"/>
      <c r="L1265" s="21"/>
      <c r="M1265" s="27"/>
      <c r="N1265" s="19"/>
      <c r="O1265" s="21"/>
      <c r="Q1265" s="7">
        <f>Table2[[#This Row],[Elevation
PILE TOP]]-Table2[[#This Row],[LENGTH(m.)
(Actual)]]</f>
        <v>0</v>
      </c>
      <c r="R1265" s="2"/>
      <c r="S1265" s="7">
        <f>Table2[[#This Row],[N]]+Table2[[#This Row],[Pile 
Deviation 
N (m)]]</f>
        <v>1511750.3359999999</v>
      </c>
      <c r="T1265" s="7">
        <f>Table2[[#This Row],[E]]+Table2[[#This Row],[Pile 
Deviation 
E (m)]]</f>
        <v>694066.88699999999</v>
      </c>
      <c r="W1265" s="7">
        <v>0.24</v>
      </c>
      <c r="X1265" s="2" t="s">
        <v>51</v>
      </c>
    </row>
    <row r="1266" spans="1:28" hidden="1" x14ac:dyDescent="0.65">
      <c r="A1266">
        <v>1260</v>
      </c>
      <c r="B1266" t="s">
        <v>29</v>
      </c>
      <c r="C1266" s="6">
        <v>1511750.193</v>
      </c>
      <c r="D1266" s="6">
        <v>693942.41399999999</v>
      </c>
      <c r="E1266" s="2" t="s">
        <v>35</v>
      </c>
      <c r="F1266" s="1">
        <v>24</v>
      </c>
      <c r="G1266" s="2" t="s">
        <v>50</v>
      </c>
      <c r="J1266"/>
      <c r="K1266" s="19"/>
      <c r="L1266" s="21"/>
      <c r="M1266" s="27"/>
      <c r="N1266" s="19"/>
      <c r="O1266" s="21"/>
      <c r="Q1266" s="7">
        <f>Table2[[#This Row],[Elevation
PILE TOP]]-Table2[[#This Row],[LENGTH(m.)
(Actual)]]</f>
        <v>0</v>
      </c>
      <c r="R1266" s="2"/>
      <c r="S1266" s="7">
        <f>Table2[[#This Row],[N]]+Table2[[#This Row],[Pile 
Deviation 
N (m)]]</f>
        <v>1511750.193</v>
      </c>
      <c r="T1266" s="7">
        <f>Table2[[#This Row],[E]]+Table2[[#This Row],[Pile 
Deviation 
E (m)]]</f>
        <v>693942.41399999999</v>
      </c>
      <c r="W1266" s="7">
        <v>0.24</v>
      </c>
      <c r="X1266" s="2" t="s">
        <v>51</v>
      </c>
    </row>
    <row r="1267" spans="1:28" ht="13.95" hidden="1" customHeight="1" x14ac:dyDescent="0.65">
      <c r="A1267">
        <v>1261</v>
      </c>
      <c r="B1267" t="s">
        <v>29</v>
      </c>
      <c r="C1267" s="6">
        <v>1511749.8330000001</v>
      </c>
      <c r="D1267" s="6">
        <v>694064.39899999998</v>
      </c>
      <c r="E1267" s="2" t="s">
        <v>35</v>
      </c>
      <c r="F1267" s="1">
        <v>24</v>
      </c>
      <c r="G1267" s="2" t="s">
        <v>50</v>
      </c>
      <c r="J1267"/>
      <c r="K1267" s="19"/>
      <c r="L1267" s="21"/>
      <c r="M1267" s="27"/>
      <c r="N1267" s="19"/>
      <c r="O1267" s="21"/>
      <c r="Q1267" s="7">
        <f>Table2[[#This Row],[Elevation
PILE TOP]]-Table2[[#This Row],[LENGTH(m.)
(Actual)]]</f>
        <v>0</v>
      </c>
      <c r="R1267" s="2"/>
      <c r="S1267" s="7">
        <f>Table2[[#This Row],[N]]+Table2[[#This Row],[Pile 
Deviation 
N (m)]]</f>
        <v>1511749.8330000001</v>
      </c>
      <c r="T1267" s="7">
        <f>Table2[[#This Row],[E]]+Table2[[#This Row],[Pile 
Deviation 
E (m)]]</f>
        <v>694064.39899999998</v>
      </c>
      <c r="W1267" s="7">
        <v>0.24</v>
      </c>
      <c r="X1267" s="2" t="s">
        <v>51</v>
      </c>
    </row>
    <row r="1268" spans="1:28" hidden="1" x14ac:dyDescent="0.65">
      <c r="A1268">
        <v>1262</v>
      </c>
      <c r="B1268" t="s">
        <v>29</v>
      </c>
      <c r="C1268" s="6">
        <v>1511749.8</v>
      </c>
      <c r="D1268" s="6">
        <v>694046.55200000003</v>
      </c>
      <c r="E1268" s="2" t="s">
        <v>35</v>
      </c>
      <c r="F1268" s="1">
        <v>24</v>
      </c>
      <c r="G1268" s="2" t="s">
        <v>50</v>
      </c>
      <c r="J1268"/>
      <c r="K1268" s="19"/>
      <c r="L1268" s="21"/>
      <c r="M1268" s="27"/>
      <c r="N1268" s="19"/>
      <c r="O1268" s="21"/>
      <c r="Q1268" s="7">
        <f>Table2[[#This Row],[Elevation
PILE TOP]]-Table2[[#This Row],[LENGTH(m.)
(Actual)]]</f>
        <v>0</v>
      </c>
      <c r="R1268" s="2"/>
      <c r="S1268" s="7">
        <f>Table2[[#This Row],[N]]+Table2[[#This Row],[Pile 
Deviation 
N (m)]]</f>
        <v>1511749.8</v>
      </c>
      <c r="T1268" s="7">
        <f>Table2[[#This Row],[E]]+Table2[[#This Row],[Pile 
Deviation 
E (m)]]</f>
        <v>694046.55200000003</v>
      </c>
      <c r="W1268" s="7">
        <v>0.24</v>
      </c>
      <c r="X1268" s="2" t="s">
        <v>51</v>
      </c>
    </row>
    <row r="1269" spans="1:28" ht="13.95" hidden="1" customHeight="1" x14ac:dyDescent="0.65">
      <c r="A1269">
        <v>1263</v>
      </c>
      <c r="B1269" t="s">
        <v>29</v>
      </c>
      <c r="C1269" s="6">
        <v>1511749.534</v>
      </c>
      <c r="D1269" s="6">
        <v>693956.82900000003</v>
      </c>
      <c r="E1269" s="2" t="s">
        <v>35</v>
      </c>
      <c r="F1269" s="1">
        <v>24</v>
      </c>
      <c r="G1269" s="2" t="s">
        <v>50</v>
      </c>
      <c r="J1269">
        <v>2</v>
      </c>
      <c r="K1269" s="19"/>
      <c r="L1269" s="21">
        <v>0.62222222222222223</v>
      </c>
      <c r="M1269" s="27" t="s">
        <v>32</v>
      </c>
      <c r="N1269" s="19"/>
      <c r="O1269" s="21">
        <v>0.65902777777777777</v>
      </c>
      <c r="Q1269" s="7">
        <f>Table2[[#This Row],[Elevation
PILE TOP]]-Table2[[#This Row],[LENGTH(m.)
(Actual)]]</f>
        <v>-26</v>
      </c>
      <c r="R1269" s="2">
        <v>26</v>
      </c>
      <c r="S1269" s="7">
        <f>Table2[[#This Row],[N]]+Table2[[#This Row],[Pile 
Deviation 
N (m)]]</f>
        <v>1511749.544</v>
      </c>
      <c r="T1269" s="7">
        <f>Table2[[#This Row],[E]]+Table2[[#This Row],[Pile 
Deviation 
E (m)]]</f>
        <v>693956.82900000003</v>
      </c>
      <c r="U1269" s="7">
        <v>0.01</v>
      </c>
      <c r="V1269" s="7">
        <v>0</v>
      </c>
      <c r="W1269" s="7">
        <v>0.24</v>
      </c>
      <c r="X1269" s="2" t="s">
        <v>51</v>
      </c>
      <c r="Y1269" t="s">
        <v>34</v>
      </c>
      <c r="Z1269" s="9">
        <v>46186</v>
      </c>
      <c r="AB1269">
        <v>3</v>
      </c>
    </row>
    <row r="1270" spans="1:28" hidden="1" x14ac:dyDescent="0.65">
      <c r="A1270">
        <v>1264</v>
      </c>
      <c r="B1270" t="s">
        <v>29</v>
      </c>
      <c r="C1270" s="6">
        <v>1511749.5</v>
      </c>
      <c r="D1270" s="6">
        <v>693938.98300000001</v>
      </c>
      <c r="E1270" s="2" t="s">
        <v>35</v>
      </c>
      <c r="F1270" s="1">
        <v>24</v>
      </c>
      <c r="G1270" s="2" t="s">
        <v>50</v>
      </c>
      <c r="J1270"/>
      <c r="K1270" s="19"/>
      <c r="L1270" s="21"/>
      <c r="M1270" s="27"/>
      <c r="N1270" s="19"/>
      <c r="O1270" s="21"/>
      <c r="Q1270" s="7">
        <f>Table2[[#This Row],[Elevation
PILE TOP]]-Table2[[#This Row],[LENGTH(m.)
(Actual)]]</f>
        <v>0</v>
      </c>
      <c r="R1270" s="2"/>
      <c r="S1270" s="7">
        <f>Table2[[#This Row],[N]]+Table2[[#This Row],[Pile 
Deviation 
N (m)]]</f>
        <v>1511749.5</v>
      </c>
      <c r="T1270" s="7">
        <f>Table2[[#This Row],[E]]+Table2[[#This Row],[Pile 
Deviation 
E (m)]]</f>
        <v>693938.98300000001</v>
      </c>
      <c r="W1270" s="7">
        <v>0.24</v>
      </c>
      <c r="X1270" s="2" t="s">
        <v>51</v>
      </c>
    </row>
    <row r="1271" spans="1:28" ht="13.95" hidden="1" customHeight="1" x14ac:dyDescent="0.65">
      <c r="A1271">
        <v>1265</v>
      </c>
      <c r="B1271" t="s">
        <v>29</v>
      </c>
      <c r="C1271" s="6">
        <v>1511749.14</v>
      </c>
      <c r="D1271" s="6">
        <v>694060.96799999999</v>
      </c>
      <c r="E1271" s="2" t="s">
        <v>35</v>
      </c>
      <c r="F1271" s="1">
        <v>24</v>
      </c>
      <c r="G1271" s="2" t="s">
        <v>50</v>
      </c>
      <c r="J1271"/>
      <c r="K1271" s="19"/>
      <c r="L1271" s="21"/>
      <c r="M1271" s="27"/>
      <c r="N1271" s="19"/>
      <c r="O1271" s="21"/>
      <c r="Q1271" s="7">
        <f>Table2[[#This Row],[Elevation
PILE TOP]]-Table2[[#This Row],[LENGTH(m.)
(Actual)]]</f>
        <v>0</v>
      </c>
      <c r="R1271" s="2"/>
      <c r="S1271" s="7">
        <f>Table2[[#This Row],[N]]+Table2[[#This Row],[Pile 
Deviation 
N (m)]]</f>
        <v>1511749.14</v>
      </c>
      <c r="T1271" s="7">
        <f>Table2[[#This Row],[E]]+Table2[[#This Row],[Pile 
Deviation 
E (m)]]</f>
        <v>694060.96799999999</v>
      </c>
      <c r="W1271" s="7">
        <v>0.24</v>
      </c>
      <c r="X1271" s="2" t="s">
        <v>51</v>
      </c>
    </row>
    <row r="1272" spans="1:28" hidden="1" x14ac:dyDescent="0.65">
      <c r="A1272">
        <v>1266</v>
      </c>
      <c r="B1272" t="s">
        <v>29</v>
      </c>
      <c r="C1272" s="6">
        <v>1511749.077</v>
      </c>
      <c r="D1272" s="6">
        <v>693936.88899999997</v>
      </c>
      <c r="E1272" s="2" t="s">
        <v>35</v>
      </c>
      <c r="F1272" s="1">
        <v>24</v>
      </c>
      <c r="G1272" s="2" t="s">
        <v>50</v>
      </c>
      <c r="J1272"/>
      <c r="K1272" s="19"/>
      <c r="L1272" s="21"/>
      <c r="M1272" s="27"/>
      <c r="N1272" s="19"/>
      <c r="O1272" s="21"/>
      <c r="Q1272" s="7">
        <f>Table2[[#This Row],[Elevation
PILE TOP]]-Table2[[#This Row],[LENGTH(m.)
(Actual)]]</f>
        <v>0</v>
      </c>
      <c r="R1272" s="2"/>
      <c r="S1272" s="7">
        <f>Table2[[#This Row],[N]]+Table2[[#This Row],[Pile 
Deviation 
N (m)]]</f>
        <v>1511749.077</v>
      </c>
      <c r="T1272" s="7">
        <f>Table2[[#This Row],[E]]+Table2[[#This Row],[Pile 
Deviation 
E (m)]]</f>
        <v>693936.88899999997</v>
      </c>
      <c r="W1272" s="7">
        <v>0.24</v>
      </c>
      <c r="X1272" s="2" t="s">
        <v>51</v>
      </c>
    </row>
    <row r="1273" spans="1:28" ht="13.95" hidden="1" customHeight="1" x14ac:dyDescent="0.65">
      <c r="A1273">
        <v>1267</v>
      </c>
      <c r="B1273" t="s">
        <v>29</v>
      </c>
      <c r="C1273" s="6">
        <v>1511748.841</v>
      </c>
      <c r="D1273" s="6">
        <v>693953.39899999998</v>
      </c>
      <c r="E1273" s="2" t="s">
        <v>35</v>
      </c>
      <c r="F1273" s="1">
        <v>24</v>
      </c>
      <c r="G1273" s="2" t="s">
        <v>50</v>
      </c>
      <c r="J1273"/>
      <c r="K1273" s="19"/>
      <c r="L1273" s="21"/>
      <c r="M1273" s="27"/>
      <c r="N1273" s="19"/>
      <c r="O1273" s="21"/>
      <c r="Q1273" s="7">
        <f>Table2[[#This Row],[Elevation
PILE TOP]]-Table2[[#This Row],[LENGTH(m.)
(Actual)]]</f>
        <v>0</v>
      </c>
      <c r="R1273" s="2"/>
      <c r="S1273" s="7">
        <f>Table2[[#This Row],[N]]+Table2[[#This Row],[Pile 
Deviation 
N (m)]]</f>
        <v>1511748.841</v>
      </c>
      <c r="T1273" s="7">
        <f>Table2[[#This Row],[E]]+Table2[[#This Row],[Pile 
Deviation 
E (m)]]</f>
        <v>693953.39899999998</v>
      </c>
      <c r="W1273" s="7">
        <v>0.24</v>
      </c>
      <c r="X1273" s="2" t="s">
        <v>51</v>
      </c>
    </row>
    <row r="1274" spans="1:28" hidden="1" x14ac:dyDescent="0.65">
      <c r="A1274">
        <v>1268</v>
      </c>
      <c r="B1274" t="s">
        <v>29</v>
      </c>
      <c r="C1274" s="6">
        <v>1511748.4480000001</v>
      </c>
      <c r="D1274" s="6">
        <v>694057.53700000001</v>
      </c>
      <c r="E1274" s="2" t="s">
        <v>35</v>
      </c>
      <c r="F1274" s="1">
        <v>24</v>
      </c>
      <c r="G1274" s="2" t="s">
        <v>50</v>
      </c>
      <c r="J1274"/>
      <c r="K1274" s="19"/>
      <c r="L1274" s="21"/>
      <c r="M1274" s="27"/>
      <c r="N1274" s="19"/>
      <c r="O1274" s="21"/>
      <c r="Q1274" s="7">
        <f>Table2[[#This Row],[Elevation
PILE TOP]]-Table2[[#This Row],[LENGTH(m.)
(Actual)]]</f>
        <v>0</v>
      </c>
      <c r="R1274" s="2"/>
      <c r="S1274" s="7">
        <f>Table2[[#This Row],[N]]+Table2[[#This Row],[Pile 
Deviation 
N (m)]]</f>
        <v>1511748.4480000001</v>
      </c>
      <c r="T1274" s="7">
        <f>Table2[[#This Row],[E]]+Table2[[#This Row],[Pile 
Deviation 
E (m)]]</f>
        <v>694057.53700000001</v>
      </c>
      <c r="W1274" s="7">
        <v>0.24</v>
      </c>
      <c r="X1274" s="2" t="s">
        <v>51</v>
      </c>
    </row>
    <row r="1275" spans="1:28" ht="13.95" hidden="1" customHeight="1" x14ac:dyDescent="0.65">
      <c r="A1275">
        <v>1269</v>
      </c>
      <c r="B1275" t="s">
        <v>29</v>
      </c>
      <c r="C1275" s="6">
        <v>1511748.148</v>
      </c>
      <c r="D1275" s="6">
        <v>693949.96799999999</v>
      </c>
      <c r="E1275" s="2" t="s">
        <v>35</v>
      </c>
      <c r="F1275" s="1">
        <v>24</v>
      </c>
      <c r="G1275" s="2" t="s">
        <v>50</v>
      </c>
      <c r="J1275"/>
      <c r="K1275" s="19"/>
      <c r="L1275" s="21"/>
      <c r="M1275" s="27"/>
      <c r="N1275" s="19"/>
      <c r="O1275" s="21"/>
      <c r="Q1275" s="7">
        <f>Table2[[#This Row],[Elevation
PILE TOP]]-Table2[[#This Row],[LENGTH(m.)
(Actual)]]</f>
        <v>0</v>
      </c>
      <c r="R1275" s="2"/>
      <c r="S1275" s="7">
        <f>Table2[[#This Row],[N]]+Table2[[#This Row],[Pile 
Deviation 
N (m)]]</f>
        <v>1511748.148</v>
      </c>
      <c r="T1275" s="7">
        <f>Table2[[#This Row],[E]]+Table2[[#This Row],[Pile 
Deviation 
E (m)]]</f>
        <v>693949.96799999999</v>
      </c>
      <c r="W1275" s="7">
        <v>0.24</v>
      </c>
      <c r="X1275" s="2" t="s">
        <v>51</v>
      </c>
    </row>
    <row r="1276" spans="1:28" hidden="1" x14ac:dyDescent="0.65">
      <c r="A1276">
        <v>1270</v>
      </c>
      <c r="B1276" t="s">
        <v>29</v>
      </c>
      <c r="C1276" s="6">
        <v>1511747.7549999999</v>
      </c>
      <c r="D1276" s="6">
        <v>694054.10600000003</v>
      </c>
      <c r="E1276" s="2" t="s">
        <v>35</v>
      </c>
      <c r="F1276" s="1">
        <v>24</v>
      </c>
      <c r="G1276" s="2" t="s">
        <v>50</v>
      </c>
      <c r="J1276"/>
      <c r="K1276" s="19"/>
      <c r="L1276" s="21"/>
      <c r="M1276" s="27"/>
      <c r="N1276" s="19"/>
      <c r="O1276" s="21"/>
      <c r="Q1276" s="7">
        <f>Table2[[#This Row],[Elevation
PILE TOP]]-Table2[[#This Row],[LENGTH(m.)
(Actual)]]</f>
        <v>0</v>
      </c>
      <c r="R1276" s="2"/>
      <c r="S1276" s="7">
        <f>Table2[[#This Row],[N]]+Table2[[#This Row],[Pile 
Deviation 
N (m)]]</f>
        <v>1511747.7549999999</v>
      </c>
      <c r="T1276" s="7">
        <f>Table2[[#This Row],[E]]+Table2[[#This Row],[Pile 
Deviation 
E (m)]]</f>
        <v>694054.10600000003</v>
      </c>
      <c r="W1276" s="7">
        <v>0.24</v>
      </c>
      <c r="X1276" s="2" t="s">
        <v>51</v>
      </c>
    </row>
    <row r="1277" spans="1:28" ht="13.95" hidden="1" customHeight="1" x14ac:dyDescent="0.65">
      <c r="A1277">
        <v>1271</v>
      </c>
      <c r="B1277" t="s">
        <v>29</v>
      </c>
      <c r="C1277" s="6">
        <v>1511747.4550000001</v>
      </c>
      <c r="D1277" s="6">
        <v>693946.53700000001</v>
      </c>
      <c r="E1277" s="2" t="s">
        <v>35</v>
      </c>
      <c r="F1277" s="1">
        <v>24</v>
      </c>
      <c r="G1277" s="2" t="s">
        <v>50</v>
      </c>
      <c r="J1277"/>
      <c r="K1277" s="19"/>
      <c r="L1277" s="21"/>
      <c r="M1277" s="27"/>
      <c r="N1277" s="19"/>
      <c r="O1277" s="21"/>
      <c r="Q1277" s="7">
        <f>Table2[[#This Row],[Elevation
PILE TOP]]-Table2[[#This Row],[LENGTH(m.)
(Actual)]]</f>
        <v>0</v>
      </c>
      <c r="R1277" s="2"/>
      <c r="S1277" s="7">
        <f>Table2[[#This Row],[N]]+Table2[[#This Row],[Pile 
Deviation 
N (m)]]</f>
        <v>1511747.4550000001</v>
      </c>
      <c r="T1277" s="7">
        <f>Table2[[#This Row],[E]]+Table2[[#This Row],[Pile 
Deviation 
E (m)]]</f>
        <v>693946.53700000001</v>
      </c>
      <c r="W1277" s="7">
        <v>0.24</v>
      </c>
      <c r="X1277" s="2" t="s">
        <v>51</v>
      </c>
    </row>
    <row r="1278" spans="1:28" hidden="1" x14ac:dyDescent="0.65">
      <c r="A1278">
        <v>1272</v>
      </c>
      <c r="B1278" t="s">
        <v>29</v>
      </c>
      <c r="C1278" s="6">
        <v>1511747.0619999999</v>
      </c>
      <c r="D1278" s="6">
        <v>694050.67599999998</v>
      </c>
      <c r="E1278" s="2" t="s">
        <v>35</v>
      </c>
      <c r="F1278" s="1">
        <v>24</v>
      </c>
      <c r="G1278" s="2" t="s">
        <v>50</v>
      </c>
      <c r="J1278"/>
      <c r="K1278" s="19"/>
      <c r="L1278" s="21"/>
      <c r="M1278" s="27"/>
      <c r="N1278" s="19"/>
      <c r="O1278" s="21"/>
      <c r="Q1278" s="7">
        <f>Table2[[#This Row],[Elevation
PILE TOP]]-Table2[[#This Row],[LENGTH(m.)
(Actual)]]</f>
        <v>0</v>
      </c>
      <c r="R1278" s="2"/>
      <c r="S1278" s="7">
        <f>Table2[[#This Row],[N]]+Table2[[#This Row],[Pile 
Deviation 
N (m)]]</f>
        <v>1511747.0619999999</v>
      </c>
      <c r="T1278" s="7">
        <f>Table2[[#This Row],[E]]+Table2[[#This Row],[Pile 
Deviation 
E (m)]]</f>
        <v>694050.67599999998</v>
      </c>
      <c r="W1278" s="7">
        <v>0.24</v>
      </c>
      <c r="X1278" s="2" t="s">
        <v>51</v>
      </c>
    </row>
    <row r="1279" spans="1:28" ht="13.95" hidden="1" customHeight="1" x14ac:dyDescent="0.65">
      <c r="A1279">
        <v>1273</v>
      </c>
      <c r="B1279" t="s">
        <v>29</v>
      </c>
      <c r="C1279" s="6">
        <v>1511746.7620000001</v>
      </c>
      <c r="D1279" s="6">
        <v>693943.10600000003</v>
      </c>
      <c r="E1279" s="2" t="s">
        <v>35</v>
      </c>
      <c r="F1279" s="1">
        <v>24</v>
      </c>
      <c r="G1279" s="2" t="s">
        <v>50</v>
      </c>
      <c r="J1279"/>
      <c r="K1279" s="19"/>
      <c r="L1279" s="21"/>
      <c r="M1279" s="27"/>
      <c r="N1279" s="19"/>
      <c r="O1279" s="21"/>
      <c r="Q1279" s="7">
        <f>Table2[[#This Row],[Elevation
PILE TOP]]-Table2[[#This Row],[LENGTH(m.)
(Actual)]]</f>
        <v>0</v>
      </c>
      <c r="R1279" s="2"/>
      <c r="S1279" s="7">
        <f>Table2[[#This Row],[N]]+Table2[[#This Row],[Pile 
Deviation 
N (m)]]</f>
        <v>1511746.7620000001</v>
      </c>
      <c r="T1279" s="7">
        <f>Table2[[#This Row],[E]]+Table2[[#This Row],[Pile 
Deviation 
E (m)]]</f>
        <v>693943.10600000003</v>
      </c>
      <c r="W1279" s="7">
        <v>0.24</v>
      </c>
      <c r="X1279" s="2" t="s">
        <v>51</v>
      </c>
    </row>
    <row r="1280" spans="1:28" hidden="1" x14ac:dyDescent="0.65">
      <c r="A1280">
        <v>1274</v>
      </c>
      <c r="B1280" t="s">
        <v>29</v>
      </c>
      <c r="C1280" s="6">
        <v>1511746.402</v>
      </c>
      <c r="D1280" s="6">
        <v>694065.09100000001</v>
      </c>
      <c r="E1280" s="2" t="s">
        <v>35</v>
      </c>
      <c r="F1280" s="1">
        <v>24</v>
      </c>
      <c r="G1280" s="2" t="s">
        <v>50</v>
      </c>
      <c r="J1280"/>
      <c r="K1280" s="19"/>
      <c r="L1280" s="21"/>
      <c r="M1280" s="27"/>
      <c r="N1280" s="19"/>
      <c r="O1280" s="21"/>
      <c r="Q1280" s="7">
        <f>Table2[[#This Row],[Elevation
PILE TOP]]-Table2[[#This Row],[LENGTH(m.)
(Actual)]]</f>
        <v>0</v>
      </c>
      <c r="R1280" s="2"/>
      <c r="S1280" s="7">
        <f>Table2[[#This Row],[N]]+Table2[[#This Row],[Pile 
Deviation 
N (m)]]</f>
        <v>1511746.402</v>
      </c>
      <c r="T1280" s="7">
        <f>Table2[[#This Row],[E]]+Table2[[#This Row],[Pile 
Deviation 
E (m)]]</f>
        <v>694065.09100000001</v>
      </c>
      <c r="W1280" s="7">
        <v>0.24</v>
      </c>
      <c r="X1280" s="2" t="s">
        <v>51</v>
      </c>
    </row>
    <row r="1281" spans="1:24" ht="13.95" hidden="1" customHeight="1" x14ac:dyDescent="0.65">
      <c r="A1281">
        <v>1275</v>
      </c>
      <c r="B1281" t="s">
        <v>29</v>
      </c>
      <c r="C1281" s="6">
        <v>1511746.3689999999</v>
      </c>
      <c r="D1281" s="6">
        <v>694047.245</v>
      </c>
      <c r="E1281" s="2" t="s">
        <v>35</v>
      </c>
      <c r="F1281" s="1">
        <v>24</v>
      </c>
      <c r="G1281" s="2" t="s">
        <v>50</v>
      </c>
      <c r="J1281"/>
      <c r="K1281" s="19"/>
      <c r="L1281" s="21"/>
      <c r="M1281" s="27"/>
      <c r="N1281" s="19"/>
      <c r="O1281" s="21"/>
      <c r="Q1281" s="7">
        <f>Table2[[#This Row],[Elevation
PILE TOP]]-Table2[[#This Row],[LENGTH(m.)
(Actual)]]</f>
        <v>0</v>
      </c>
      <c r="R1281" s="2"/>
      <c r="S1281" s="7">
        <f>Table2[[#This Row],[N]]+Table2[[#This Row],[Pile 
Deviation 
N (m)]]</f>
        <v>1511746.3689999999</v>
      </c>
      <c r="T1281" s="7">
        <f>Table2[[#This Row],[E]]+Table2[[#This Row],[Pile 
Deviation 
E (m)]]</f>
        <v>694047.245</v>
      </c>
      <c r="W1281" s="7">
        <v>0.24</v>
      </c>
      <c r="X1281" s="2" t="s">
        <v>51</v>
      </c>
    </row>
    <row r="1282" spans="1:24" hidden="1" x14ac:dyDescent="0.65">
      <c r="A1282">
        <v>1276</v>
      </c>
      <c r="B1282" t="s">
        <v>29</v>
      </c>
      <c r="C1282" s="6">
        <v>1511746.1029999999</v>
      </c>
      <c r="D1282" s="6">
        <v>693957.522</v>
      </c>
      <c r="E1282" s="2" t="s">
        <v>35</v>
      </c>
      <c r="F1282" s="1">
        <v>24</v>
      </c>
      <c r="G1282" s="2" t="s">
        <v>50</v>
      </c>
      <c r="J1282"/>
      <c r="K1282" s="19"/>
      <c r="L1282" s="21"/>
      <c r="M1282" s="27"/>
      <c r="N1282" s="19"/>
      <c r="O1282" s="21"/>
      <c r="Q1282" s="7">
        <f>Table2[[#This Row],[Elevation
PILE TOP]]-Table2[[#This Row],[LENGTH(m.)
(Actual)]]</f>
        <v>0</v>
      </c>
      <c r="R1282" s="2"/>
      <c r="S1282" s="7">
        <f>Table2[[#This Row],[N]]+Table2[[#This Row],[Pile 
Deviation 
N (m)]]</f>
        <v>1511746.1029999999</v>
      </c>
      <c r="T1282" s="7">
        <f>Table2[[#This Row],[E]]+Table2[[#This Row],[Pile 
Deviation 
E (m)]]</f>
        <v>693957.522</v>
      </c>
      <c r="W1282" s="7">
        <v>0.24</v>
      </c>
      <c r="X1282" s="2" t="s">
        <v>51</v>
      </c>
    </row>
    <row r="1283" spans="1:24" ht="13.95" hidden="1" customHeight="1" x14ac:dyDescent="0.65">
      <c r="A1283">
        <v>1277</v>
      </c>
      <c r="B1283" t="s">
        <v>29</v>
      </c>
      <c r="C1283" s="6">
        <v>1511746.0689999999</v>
      </c>
      <c r="D1283" s="6">
        <v>693939.67599999998</v>
      </c>
      <c r="E1283" s="2" t="s">
        <v>35</v>
      </c>
      <c r="F1283" s="1">
        <v>24</v>
      </c>
      <c r="G1283" s="2" t="s">
        <v>50</v>
      </c>
      <c r="J1283"/>
      <c r="K1283" s="19"/>
      <c r="L1283" s="21"/>
      <c r="M1283" s="27"/>
      <c r="N1283" s="19"/>
      <c r="O1283" s="21"/>
      <c r="Q1283" s="7">
        <f>Table2[[#This Row],[Elevation
PILE TOP]]-Table2[[#This Row],[LENGTH(m.)
(Actual)]]</f>
        <v>0</v>
      </c>
      <c r="R1283" s="2"/>
      <c r="S1283" s="7">
        <f>Table2[[#This Row],[N]]+Table2[[#This Row],[Pile 
Deviation 
N (m)]]</f>
        <v>1511746.0689999999</v>
      </c>
      <c r="T1283" s="7">
        <f>Table2[[#This Row],[E]]+Table2[[#This Row],[Pile 
Deviation 
E (m)]]</f>
        <v>693939.67599999998</v>
      </c>
      <c r="W1283" s="7">
        <v>0.24</v>
      </c>
      <c r="X1283" s="2" t="s">
        <v>51</v>
      </c>
    </row>
    <row r="1284" spans="1:24" hidden="1" x14ac:dyDescent="0.65">
      <c r="A1284">
        <v>1278</v>
      </c>
      <c r="B1284" t="s">
        <v>29</v>
      </c>
      <c r="C1284" s="6">
        <v>1511745.7860000001</v>
      </c>
      <c r="D1284" s="6">
        <v>693931.772</v>
      </c>
      <c r="E1284" s="2" t="s">
        <v>35</v>
      </c>
      <c r="F1284" s="1">
        <v>24</v>
      </c>
      <c r="G1284" s="2" t="s">
        <v>50</v>
      </c>
      <c r="J1284"/>
      <c r="K1284" s="19"/>
      <c r="L1284" s="21"/>
      <c r="M1284" s="27"/>
      <c r="N1284" s="19"/>
      <c r="O1284" s="21"/>
      <c r="Q1284" s="7">
        <f>Table2[[#This Row],[Elevation
PILE TOP]]-Table2[[#This Row],[LENGTH(m.)
(Actual)]]</f>
        <v>0</v>
      </c>
      <c r="R1284" s="2"/>
      <c r="S1284" s="7">
        <f>Table2[[#This Row],[N]]+Table2[[#This Row],[Pile 
Deviation 
N (m)]]</f>
        <v>1511745.7860000001</v>
      </c>
      <c r="T1284" s="7">
        <f>Table2[[#This Row],[E]]+Table2[[#This Row],[Pile 
Deviation 
E (m)]]</f>
        <v>693931.772</v>
      </c>
      <c r="W1284" s="7">
        <v>0.24</v>
      </c>
      <c r="X1284" s="2" t="s">
        <v>51</v>
      </c>
    </row>
    <row r="1285" spans="1:24" ht="13.95" hidden="1" customHeight="1" x14ac:dyDescent="0.65">
      <c r="A1285">
        <v>1279</v>
      </c>
      <c r="B1285" t="s">
        <v>29</v>
      </c>
      <c r="C1285" s="6">
        <v>1511745.71</v>
      </c>
      <c r="D1285" s="6">
        <v>694061.66099999996</v>
      </c>
      <c r="E1285" s="2" t="s">
        <v>35</v>
      </c>
      <c r="F1285" s="1">
        <v>24</v>
      </c>
      <c r="G1285" s="2" t="s">
        <v>50</v>
      </c>
      <c r="J1285"/>
      <c r="K1285" s="19"/>
      <c r="L1285" s="21"/>
      <c r="M1285" s="27"/>
      <c r="N1285" s="19"/>
      <c r="O1285" s="21"/>
      <c r="Q1285" s="7">
        <f>Table2[[#This Row],[Elevation
PILE TOP]]-Table2[[#This Row],[LENGTH(m.)
(Actual)]]</f>
        <v>0</v>
      </c>
      <c r="R1285" s="2"/>
      <c r="S1285" s="7">
        <f>Table2[[#This Row],[N]]+Table2[[#This Row],[Pile 
Deviation 
N (m)]]</f>
        <v>1511745.71</v>
      </c>
      <c r="T1285" s="7">
        <f>Table2[[#This Row],[E]]+Table2[[#This Row],[Pile 
Deviation 
E (m)]]</f>
        <v>694061.66099999996</v>
      </c>
      <c r="W1285" s="7">
        <v>0.24</v>
      </c>
      <c r="X1285" s="2" t="s">
        <v>51</v>
      </c>
    </row>
    <row r="1286" spans="1:24" hidden="1" x14ac:dyDescent="0.65">
      <c r="A1286">
        <v>1280</v>
      </c>
      <c r="B1286" t="s">
        <v>29</v>
      </c>
      <c r="C1286" s="6">
        <v>1511745.4609999999</v>
      </c>
      <c r="D1286" s="6">
        <v>693936.66099999996</v>
      </c>
      <c r="E1286" s="2" t="s">
        <v>35</v>
      </c>
      <c r="F1286" s="1">
        <v>24</v>
      </c>
      <c r="G1286" s="2" t="s">
        <v>50</v>
      </c>
      <c r="J1286"/>
      <c r="K1286" s="19"/>
      <c r="L1286" s="21"/>
      <c r="M1286" s="27"/>
      <c r="N1286" s="19"/>
      <c r="O1286" s="21"/>
      <c r="Q1286" s="7">
        <f>Table2[[#This Row],[Elevation
PILE TOP]]-Table2[[#This Row],[LENGTH(m.)
(Actual)]]</f>
        <v>0</v>
      </c>
      <c r="R1286" s="2"/>
      <c r="S1286" s="7">
        <f>Table2[[#This Row],[N]]+Table2[[#This Row],[Pile 
Deviation 
N (m)]]</f>
        <v>1511745.4609999999</v>
      </c>
      <c r="T1286" s="7">
        <f>Table2[[#This Row],[E]]+Table2[[#This Row],[Pile 
Deviation 
E (m)]]</f>
        <v>693936.66099999996</v>
      </c>
      <c r="W1286" s="7">
        <v>0.24</v>
      </c>
      <c r="X1286" s="2" t="s">
        <v>51</v>
      </c>
    </row>
    <row r="1287" spans="1:24" ht="13.95" hidden="1" customHeight="1" x14ac:dyDescent="0.65">
      <c r="A1287">
        <v>1281</v>
      </c>
      <c r="B1287" t="s">
        <v>29</v>
      </c>
      <c r="C1287" s="6">
        <v>1511745.41</v>
      </c>
      <c r="D1287" s="6">
        <v>693954.09100000001</v>
      </c>
      <c r="E1287" s="2" t="s">
        <v>35</v>
      </c>
      <c r="F1287" s="1">
        <v>24</v>
      </c>
      <c r="G1287" s="2" t="s">
        <v>50</v>
      </c>
      <c r="J1287"/>
      <c r="K1287" s="19"/>
      <c r="L1287" s="21"/>
      <c r="M1287" s="27"/>
      <c r="N1287" s="19"/>
      <c r="O1287" s="21"/>
      <c r="Q1287" s="7">
        <f>Table2[[#This Row],[Elevation
PILE TOP]]-Table2[[#This Row],[LENGTH(m.)
(Actual)]]</f>
        <v>0</v>
      </c>
      <c r="R1287" s="2"/>
      <c r="S1287" s="7">
        <f>Table2[[#This Row],[N]]+Table2[[#This Row],[Pile 
Deviation 
N (m)]]</f>
        <v>1511745.41</v>
      </c>
      <c r="T1287" s="7">
        <f>Table2[[#This Row],[E]]+Table2[[#This Row],[Pile 
Deviation 
E (m)]]</f>
        <v>693954.09100000001</v>
      </c>
      <c r="W1287" s="7">
        <v>0.24</v>
      </c>
      <c r="X1287" s="2" t="s">
        <v>51</v>
      </c>
    </row>
    <row r="1288" spans="1:24" hidden="1" x14ac:dyDescent="0.65">
      <c r="A1288">
        <v>1282</v>
      </c>
      <c r="B1288" t="s">
        <v>29</v>
      </c>
      <c r="C1288" s="6">
        <v>1511745.017</v>
      </c>
      <c r="D1288" s="6">
        <v>694058.23</v>
      </c>
      <c r="E1288" s="2" t="s">
        <v>35</v>
      </c>
      <c r="F1288" s="1">
        <v>24</v>
      </c>
      <c r="G1288" s="2" t="s">
        <v>50</v>
      </c>
      <c r="J1288"/>
      <c r="K1288" s="19"/>
      <c r="L1288" s="21"/>
      <c r="M1288" s="27"/>
      <c r="N1288" s="19"/>
      <c r="O1288" s="21"/>
      <c r="Q1288" s="7">
        <f>Table2[[#This Row],[Elevation
PILE TOP]]-Table2[[#This Row],[LENGTH(m.)
(Actual)]]</f>
        <v>0</v>
      </c>
      <c r="R1288" s="2"/>
      <c r="S1288" s="7">
        <f>Table2[[#This Row],[N]]+Table2[[#This Row],[Pile 
Deviation 
N (m)]]</f>
        <v>1511745.017</v>
      </c>
      <c r="T1288" s="7">
        <f>Table2[[#This Row],[E]]+Table2[[#This Row],[Pile 
Deviation 
E (m)]]</f>
        <v>694058.23</v>
      </c>
      <c r="W1288" s="7">
        <v>0.24</v>
      </c>
      <c r="X1288" s="2" t="s">
        <v>51</v>
      </c>
    </row>
    <row r="1289" spans="1:24" ht="13.95" hidden="1" customHeight="1" x14ac:dyDescent="0.65">
      <c r="A1289">
        <v>1283</v>
      </c>
      <c r="B1289" t="s">
        <v>29</v>
      </c>
      <c r="C1289" s="6">
        <v>1511744.9839999999</v>
      </c>
      <c r="D1289" s="6">
        <v>693934.82700000005</v>
      </c>
      <c r="E1289" s="2" t="s">
        <v>35</v>
      </c>
      <c r="F1289" s="1">
        <v>24</v>
      </c>
      <c r="G1289" s="2" t="s">
        <v>50</v>
      </c>
      <c r="J1289"/>
      <c r="K1289" s="19"/>
      <c r="L1289" s="21"/>
      <c r="M1289" s="27"/>
      <c r="N1289" s="19"/>
      <c r="O1289" s="21"/>
      <c r="Q1289" s="7">
        <f>Table2[[#This Row],[Elevation
PILE TOP]]-Table2[[#This Row],[LENGTH(m.)
(Actual)]]</f>
        <v>0</v>
      </c>
      <c r="R1289" s="2"/>
      <c r="S1289" s="7">
        <f>Table2[[#This Row],[N]]+Table2[[#This Row],[Pile 
Deviation 
N (m)]]</f>
        <v>1511744.9839999999</v>
      </c>
      <c r="T1289" s="7">
        <f>Table2[[#This Row],[E]]+Table2[[#This Row],[Pile 
Deviation 
E (m)]]</f>
        <v>693934.82700000005</v>
      </c>
      <c r="W1289" s="7">
        <v>0.24</v>
      </c>
      <c r="X1289" s="2" t="s">
        <v>51</v>
      </c>
    </row>
    <row r="1290" spans="1:24" hidden="1" x14ac:dyDescent="0.65">
      <c r="A1290">
        <v>1284</v>
      </c>
      <c r="B1290" t="s">
        <v>29</v>
      </c>
      <c r="C1290" s="6">
        <v>1511744.9739999999</v>
      </c>
      <c r="D1290" s="6">
        <v>693927.94</v>
      </c>
      <c r="E1290" s="2" t="s">
        <v>35</v>
      </c>
      <c r="F1290" s="1">
        <v>24</v>
      </c>
      <c r="G1290" s="2" t="s">
        <v>50</v>
      </c>
      <c r="J1290"/>
      <c r="K1290" s="19"/>
      <c r="L1290" s="21"/>
      <c r="M1290" s="27"/>
      <c r="N1290" s="19"/>
      <c r="O1290" s="21"/>
      <c r="Q1290" s="7">
        <f>Table2[[#This Row],[Elevation
PILE TOP]]-Table2[[#This Row],[LENGTH(m.)
(Actual)]]</f>
        <v>0</v>
      </c>
      <c r="R1290" s="2"/>
      <c r="S1290" s="7">
        <f>Table2[[#This Row],[N]]+Table2[[#This Row],[Pile 
Deviation 
N (m)]]</f>
        <v>1511744.9739999999</v>
      </c>
      <c r="T1290" s="7">
        <f>Table2[[#This Row],[E]]+Table2[[#This Row],[Pile 
Deviation 
E (m)]]</f>
        <v>693927.94</v>
      </c>
      <c r="W1290" s="7">
        <v>0.24</v>
      </c>
      <c r="X1290" s="2" t="s">
        <v>51</v>
      </c>
    </row>
    <row r="1291" spans="1:24" ht="13.95" hidden="1" customHeight="1" x14ac:dyDescent="0.65">
      <c r="A1291">
        <v>1285</v>
      </c>
      <c r="B1291" t="s">
        <v>29</v>
      </c>
      <c r="C1291" s="6">
        <v>1511744.7169999999</v>
      </c>
      <c r="D1291" s="6">
        <v>693950.66099999996</v>
      </c>
      <c r="E1291" s="2" t="s">
        <v>35</v>
      </c>
      <c r="F1291" s="1">
        <v>24</v>
      </c>
      <c r="G1291" s="2" t="s">
        <v>50</v>
      </c>
      <c r="J1291"/>
      <c r="K1291" s="19"/>
      <c r="L1291" s="21"/>
      <c r="M1291" s="27"/>
      <c r="N1291" s="19"/>
      <c r="O1291" s="21"/>
      <c r="Q1291" s="7">
        <f>Table2[[#This Row],[Elevation
PILE TOP]]-Table2[[#This Row],[LENGTH(m.)
(Actual)]]</f>
        <v>0</v>
      </c>
      <c r="R1291" s="2"/>
      <c r="S1291" s="7">
        <f>Table2[[#This Row],[N]]+Table2[[#This Row],[Pile 
Deviation 
N (m)]]</f>
        <v>1511744.7169999999</v>
      </c>
      <c r="T1291" s="7">
        <f>Table2[[#This Row],[E]]+Table2[[#This Row],[Pile 
Deviation 
E (m)]]</f>
        <v>693950.66099999996</v>
      </c>
      <c r="W1291" s="7">
        <v>0.24</v>
      </c>
      <c r="X1291" s="2" t="s">
        <v>51</v>
      </c>
    </row>
    <row r="1292" spans="1:24" hidden="1" x14ac:dyDescent="0.65">
      <c r="A1292">
        <v>1286</v>
      </c>
      <c r="B1292" t="s">
        <v>29</v>
      </c>
      <c r="C1292" s="6">
        <v>1511744.324</v>
      </c>
      <c r="D1292" s="6">
        <v>694054.799</v>
      </c>
      <c r="E1292" s="2" t="s">
        <v>35</v>
      </c>
      <c r="F1292" s="1">
        <v>24</v>
      </c>
      <c r="G1292" s="2" t="s">
        <v>50</v>
      </c>
      <c r="J1292"/>
      <c r="K1292" s="19"/>
      <c r="L1292" s="21"/>
      <c r="M1292" s="27"/>
      <c r="N1292" s="19"/>
      <c r="O1292" s="21"/>
      <c r="Q1292" s="7">
        <f>Table2[[#This Row],[Elevation
PILE TOP]]-Table2[[#This Row],[LENGTH(m.)
(Actual)]]</f>
        <v>0</v>
      </c>
      <c r="R1292" s="2"/>
      <c r="S1292" s="7">
        <f>Table2[[#This Row],[N]]+Table2[[#This Row],[Pile 
Deviation 
N (m)]]</f>
        <v>1511744.324</v>
      </c>
      <c r="T1292" s="7">
        <f>Table2[[#This Row],[E]]+Table2[[#This Row],[Pile 
Deviation 
E (m)]]</f>
        <v>694054.799</v>
      </c>
      <c r="W1292" s="7">
        <v>0.24</v>
      </c>
      <c r="X1292" s="2" t="s">
        <v>51</v>
      </c>
    </row>
    <row r="1293" spans="1:24" ht="13.95" hidden="1" customHeight="1" x14ac:dyDescent="0.65">
      <c r="A1293">
        <v>1287</v>
      </c>
      <c r="B1293" t="s">
        <v>29</v>
      </c>
      <c r="C1293" s="6">
        <v>1511744.098</v>
      </c>
      <c r="D1293" s="6">
        <v>693924.42299999995</v>
      </c>
      <c r="E1293" s="2" t="s">
        <v>35</v>
      </c>
      <c r="F1293" s="1">
        <v>24</v>
      </c>
      <c r="G1293" s="2" t="s">
        <v>50</v>
      </c>
      <c r="J1293"/>
      <c r="K1293" s="19"/>
      <c r="L1293" s="21"/>
      <c r="M1293" s="27"/>
      <c r="N1293" s="19"/>
      <c r="O1293" s="21"/>
      <c r="Q1293" s="7">
        <f>Table2[[#This Row],[Elevation
PILE TOP]]-Table2[[#This Row],[LENGTH(m.)
(Actual)]]</f>
        <v>0</v>
      </c>
      <c r="R1293" s="2"/>
      <c r="S1293" s="7">
        <f>Table2[[#This Row],[N]]+Table2[[#This Row],[Pile 
Deviation 
N (m)]]</f>
        <v>1511744.098</v>
      </c>
      <c r="T1293" s="7">
        <f>Table2[[#This Row],[E]]+Table2[[#This Row],[Pile 
Deviation 
E (m)]]</f>
        <v>693924.42299999995</v>
      </c>
      <c r="W1293" s="7">
        <v>0.24</v>
      </c>
      <c r="X1293" s="2" t="s">
        <v>51</v>
      </c>
    </row>
    <row r="1294" spans="1:24" hidden="1" x14ac:dyDescent="0.65">
      <c r="A1294">
        <v>1288</v>
      </c>
      <c r="B1294" t="s">
        <v>29</v>
      </c>
      <c r="C1294" s="6">
        <v>1511744.024</v>
      </c>
      <c r="D1294" s="6">
        <v>693947.23</v>
      </c>
      <c r="E1294" s="2" t="s">
        <v>35</v>
      </c>
      <c r="F1294" s="1">
        <v>24</v>
      </c>
      <c r="G1294" s="2" t="s">
        <v>50</v>
      </c>
      <c r="J1294"/>
      <c r="K1294" s="19"/>
      <c r="L1294" s="21"/>
      <c r="M1294" s="27"/>
      <c r="N1294" s="19"/>
      <c r="O1294" s="21"/>
      <c r="Q1294" s="7">
        <f>Table2[[#This Row],[Elevation
PILE TOP]]-Table2[[#This Row],[LENGTH(m.)
(Actual)]]</f>
        <v>0</v>
      </c>
      <c r="R1294" s="2"/>
      <c r="S1294" s="7">
        <f>Table2[[#This Row],[N]]+Table2[[#This Row],[Pile 
Deviation 
N (m)]]</f>
        <v>1511744.024</v>
      </c>
      <c r="T1294" s="7">
        <f>Table2[[#This Row],[E]]+Table2[[#This Row],[Pile 
Deviation 
E (m)]]</f>
        <v>693947.23</v>
      </c>
      <c r="W1294" s="7">
        <v>0.24</v>
      </c>
      <c r="X1294" s="2" t="s">
        <v>51</v>
      </c>
    </row>
    <row r="1295" spans="1:24" ht="13.95" hidden="1" customHeight="1" x14ac:dyDescent="0.65">
      <c r="A1295">
        <v>1289</v>
      </c>
      <c r="B1295" t="s">
        <v>29</v>
      </c>
      <c r="C1295" s="6">
        <v>1511743.6310000001</v>
      </c>
      <c r="D1295" s="6">
        <v>694051.36899999995</v>
      </c>
      <c r="E1295" s="2" t="s">
        <v>35</v>
      </c>
      <c r="F1295" s="1">
        <v>24</v>
      </c>
      <c r="G1295" s="2" t="s">
        <v>50</v>
      </c>
      <c r="J1295"/>
      <c r="K1295" s="19"/>
      <c r="L1295" s="21"/>
      <c r="M1295" s="27"/>
      <c r="N1295" s="19"/>
      <c r="O1295" s="21"/>
      <c r="Q1295" s="7">
        <f>Table2[[#This Row],[Elevation
PILE TOP]]-Table2[[#This Row],[LENGTH(m.)
(Actual)]]</f>
        <v>0</v>
      </c>
      <c r="R1295" s="2"/>
      <c r="S1295" s="7">
        <f>Table2[[#This Row],[N]]+Table2[[#This Row],[Pile 
Deviation 
N (m)]]</f>
        <v>1511743.6310000001</v>
      </c>
      <c r="T1295" s="7">
        <f>Table2[[#This Row],[E]]+Table2[[#This Row],[Pile 
Deviation 
E (m)]]</f>
        <v>694051.36899999995</v>
      </c>
      <c r="W1295" s="7">
        <v>0.24</v>
      </c>
      <c r="X1295" s="2" t="s">
        <v>51</v>
      </c>
    </row>
    <row r="1296" spans="1:24" hidden="1" x14ac:dyDescent="0.65">
      <c r="A1296">
        <v>1290</v>
      </c>
      <c r="B1296" t="s">
        <v>29</v>
      </c>
      <c r="C1296" s="6">
        <v>1511743.3319999999</v>
      </c>
      <c r="D1296" s="6">
        <v>693943.799</v>
      </c>
      <c r="E1296" s="2" t="s">
        <v>35</v>
      </c>
      <c r="F1296" s="1">
        <v>24</v>
      </c>
      <c r="G1296" s="2" t="s">
        <v>50</v>
      </c>
      <c r="J1296"/>
      <c r="K1296" s="19"/>
      <c r="L1296" s="21"/>
      <c r="M1296" s="27"/>
      <c r="N1296" s="19"/>
      <c r="O1296" s="21"/>
      <c r="Q1296" s="7">
        <f>Table2[[#This Row],[Elevation
PILE TOP]]-Table2[[#This Row],[LENGTH(m.)
(Actual)]]</f>
        <v>0</v>
      </c>
      <c r="R1296" s="2"/>
      <c r="S1296" s="7">
        <f>Table2[[#This Row],[N]]+Table2[[#This Row],[Pile 
Deviation 
N (m)]]</f>
        <v>1511743.3319999999</v>
      </c>
      <c r="T1296" s="7">
        <f>Table2[[#This Row],[E]]+Table2[[#This Row],[Pile 
Deviation 
E (m)]]</f>
        <v>693943.799</v>
      </c>
      <c r="W1296" s="7">
        <v>0.24</v>
      </c>
      <c r="X1296" s="2" t="s">
        <v>51</v>
      </c>
    </row>
    <row r="1297" spans="1:24" ht="13.95" hidden="1" customHeight="1" x14ac:dyDescent="0.65">
      <c r="A1297">
        <v>1291</v>
      </c>
      <c r="B1297" t="s">
        <v>29</v>
      </c>
      <c r="C1297" s="6">
        <v>1511743.29</v>
      </c>
      <c r="D1297" s="6">
        <v>693927.49699999997</v>
      </c>
      <c r="E1297" s="2" t="s">
        <v>35</v>
      </c>
      <c r="F1297" s="1">
        <v>24</v>
      </c>
      <c r="G1297" s="2" t="s">
        <v>50</v>
      </c>
      <c r="J1297"/>
      <c r="K1297" s="19"/>
      <c r="L1297" s="21"/>
      <c r="M1297" s="27"/>
      <c r="N1297" s="19"/>
      <c r="O1297" s="21"/>
      <c r="Q1297" s="7">
        <f>Table2[[#This Row],[Elevation
PILE TOP]]-Table2[[#This Row],[LENGTH(m.)
(Actual)]]</f>
        <v>0</v>
      </c>
      <c r="R1297" s="2"/>
      <c r="S1297" s="7">
        <f>Table2[[#This Row],[N]]+Table2[[#This Row],[Pile 
Deviation 
N (m)]]</f>
        <v>1511743.29</v>
      </c>
      <c r="T1297" s="7">
        <f>Table2[[#This Row],[E]]+Table2[[#This Row],[Pile 
Deviation 
E (m)]]</f>
        <v>693927.49699999997</v>
      </c>
      <c r="W1297" s="7">
        <v>0.24</v>
      </c>
      <c r="X1297" s="2" t="s">
        <v>51</v>
      </c>
    </row>
    <row r="1298" spans="1:24" hidden="1" x14ac:dyDescent="0.65">
      <c r="A1298">
        <v>1292</v>
      </c>
      <c r="B1298" t="s">
        <v>29</v>
      </c>
      <c r="C1298" s="6">
        <v>1511743.1969999999</v>
      </c>
      <c r="D1298" s="6">
        <v>693920.80599999998</v>
      </c>
      <c r="E1298" s="2" t="s">
        <v>35</v>
      </c>
      <c r="F1298" s="1">
        <v>24</v>
      </c>
      <c r="G1298" s="2" t="s">
        <v>50</v>
      </c>
      <c r="J1298"/>
      <c r="K1298" s="19"/>
      <c r="L1298" s="21"/>
      <c r="M1298" s="27"/>
      <c r="N1298" s="19"/>
      <c r="O1298" s="21"/>
      <c r="Q1298" s="7">
        <f>Table2[[#This Row],[Elevation
PILE TOP]]-Table2[[#This Row],[LENGTH(m.)
(Actual)]]</f>
        <v>0</v>
      </c>
      <c r="R1298" s="2"/>
      <c r="S1298" s="7">
        <f>Table2[[#This Row],[N]]+Table2[[#This Row],[Pile 
Deviation 
N (m)]]</f>
        <v>1511743.1969999999</v>
      </c>
      <c r="T1298" s="7">
        <f>Table2[[#This Row],[E]]+Table2[[#This Row],[Pile 
Deviation 
E (m)]]</f>
        <v>693920.80599999998</v>
      </c>
      <c r="W1298" s="7">
        <v>0.24</v>
      </c>
      <c r="X1298" s="2" t="s">
        <v>51</v>
      </c>
    </row>
    <row r="1299" spans="1:24" ht="13.95" hidden="1" customHeight="1" x14ac:dyDescent="0.65">
      <c r="A1299">
        <v>1293</v>
      </c>
      <c r="B1299" t="s">
        <v>29</v>
      </c>
      <c r="C1299" s="6">
        <v>1511742.9380000001</v>
      </c>
      <c r="D1299" s="6">
        <v>694047.93799999997</v>
      </c>
      <c r="E1299" s="2" t="s">
        <v>35</v>
      </c>
      <c r="F1299" s="1">
        <v>24</v>
      </c>
      <c r="G1299" s="2" t="s">
        <v>50</v>
      </c>
      <c r="J1299"/>
      <c r="K1299" s="19"/>
      <c r="L1299" s="21"/>
      <c r="M1299" s="27"/>
      <c r="N1299" s="19"/>
      <c r="O1299" s="21"/>
      <c r="Q1299" s="7">
        <f>Table2[[#This Row],[Elevation
PILE TOP]]-Table2[[#This Row],[LENGTH(m.)
(Actual)]]</f>
        <v>0</v>
      </c>
      <c r="R1299" s="2"/>
      <c r="S1299" s="7">
        <f>Table2[[#This Row],[N]]+Table2[[#This Row],[Pile 
Deviation 
N (m)]]</f>
        <v>1511742.9380000001</v>
      </c>
      <c r="T1299" s="7">
        <f>Table2[[#This Row],[E]]+Table2[[#This Row],[Pile 
Deviation 
E (m)]]</f>
        <v>694047.93799999997</v>
      </c>
      <c r="W1299" s="7">
        <v>0.24</v>
      </c>
      <c r="X1299" s="2" t="s">
        <v>51</v>
      </c>
    </row>
    <row r="1300" spans="1:24" hidden="1" x14ac:dyDescent="0.65">
      <c r="A1300">
        <v>1294</v>
      </c>
      <c r="B1300" t="s">
        <v>29</v>
      </c>
      <c r="C1300" s="6">
        <v>1511742.672</v>
      </c>
      <c r="D1300" s="6">
        <v>693958.21499999997</v>
      </c>
      <c r="E1300" s="2" t="s">
        <v>35</v>
      </c>
      <c r="F1300" s="1">
        <v>24</v>
      </c>
      <c r="G1300" s="2" t="s">
        <v>50</v>
      </c>
      <c r="J1300"/>
      <c r="K1300" s="19"/>
      <c r="L1300" s="21"/>
      <c r="M1300" s="27"/>
      <c r="N1300" s="19"/>
      <c r="O1300" s="21"/>
      <c r="Q1300" s="7">
        <f>Table2[[#This Row],[Elevation
PILE TOP]]-Table2[[#This Row],[LENGTH(m.)
(Actual)]]</f>
        <v>0</v>
      </c>
      <c r="R1300" s="2"/>
      <c r="S1300" s="7">
        <f>Table2[[#This Row],[N]]+Table2[[#This Row],[Pile 
Deviation 
N (m)]]</f>
        <v>1511742.672</v>
      </c>
      <c r="T1300" s="7">
        <f>Table2[[#This Row],[E]]+Table2[[#This Row],[Pile 
Deviation 
E (m)]]</f>
        <v>693958.21499999997</v>
      </c>
      <c r="W1300" s="7">
        <v>0.24</v>
      </c>
      <c r="X1300" s="2" t="s">
        <v>51</v>
      </c>
    </row>
    <row r="1301" spans="1:24" ht="13.95" hidden="1" customHeight="1" x14ac:dyDescent="0.65">
      <c r="A1301">
        <v>1295</v>
      </c>
      <c r="B1301" t="s">
        <v>29</v>
      </c>
      <c r="C1301" s="6">
        <v>1511742.6580000001</v>
      </c>
      <c r="D1301" s="6">
        <v>694064.22900000005</v>
      </c>
      <c r="E1301" s="2" t="s">
        <v>35</v>
      </c>
      <c r="F1301" s="1">
        <v>24</v>
      </c>
      <c r="G1301" s="2" t="s">
        <v>50</v>
      </c>
      <c r="J1301"/>
      <c r="K1301" s="19"/>
      <c r="L1301" s="21"/>
      <c r="M1301" s="27"/>
      <c r="N1301" s="19"/>
      <c r="O1301" s="21"/>
      <c r="Q1301" s="7">
        <f>Table2[[#This Row],[Elevation
PILE TOP]]-Table2[[#This Row],[LENGTH(m.)
(Actual)]]</f>
        <v>0</v>
      </c>
      <c r="R1301" s="2"/>
      <c r="S1301" s="7">
        <f>Table2[[#This Row],[N]]+Table2[[#This Row],[Pile 
Deviation 
N (m)]]</f>
        <v>1511742.6580000001</v>
      </c>
      <c r="T1301" s="7">
        <f>Table2[[#This Row],[E]]+Table2[[#This Row],[Pile 
Deviation 
E (m)]]</f>
        <v>694064.22900000005</v>
      </c>
      <c r="W1301" s="7">
        <v>0.24</v>
      </c>
      <c r="X1301" s="2" t="s">
        <v>51</v>
      </c>
    </row>
    <row r="1302" spans="1:24" hidden="1" x14ac:dyDescent="0.65">
      <c r="A1302">
        <v>1296</v>
      </c>
      <c r="B1302" t="s">
        <v>29</v>
      </c>
      <c r="C1302" s="6">
        <v>1511742.639</v>
      </c>
      <c r="D1302" s="6">
        <v>693940.36800000002</v>
      </c>
      <c r="E1302" s="2" t="s">
        <v>35</v>
      </c>
      <c r="F1302" s="1">
        <v>24</v>
      </c>
      <c r="G1302" s="2" t="s">
        <v>50</v>
      </c>
      <c r="J1302"/>
      <c r="K1302" s="19"/>
      <c r="L1302" s="21"/>
      <c r="M1302" s="27"/>
      <c r="N1302" s="19"/>
      <c r="O1302" s="21"/>
      <c r="Q1302" s="7">
        <f>Table2[[#This Row],[Elevation
PILE TOP]]-Table2[[#This Row],[LENGTH(m.)
(Actual)]]</f>
        <v>0</v>
      </c>
      <c r="R1302" s="2"/>
      <c r="S1302" s="7">
        <f>Table2[[#This Row],[N]]+Table2[[#This Row],[Pile 
Deviation 
N (m)]]</f>
        <v>1511742.639</v>
      </c>
      <c r="T1302" s="7">
        <f>Table2[[#This Row],[E]]+Table2[[#This Row],[Pile 
Deviation 
E (m)]]</f>
        <v>693940.36800000002</v>
      </c>
      <c r="W1302" s="7">
        <v>0.24</v>
      </c>
      <c r="X1302" s="2" t="s">
        <v>51</v>
      </c>
    </row>
    <row r="1303" spans="1:24" ht="13.95" hidden="1" customHeight="1" x14ac:dyDescent="0.65">
      <c r="A1303">
        <v>1297</v>
      </c>
      <c r="B1303" t="s">
        <v>29</v>
      </c>
      <c r="C1303" s="6">
        <v>1511742.4010000001</v>
      </c>
      <c r="D1303" s="6">
        <v>693930.88300000003</v>
      </c>
      <c r="E1303" s="2" t="s">
        <v>35</v>
      </c>
      <c r="F1303" s="1">
        <v>24</v>
      </c>
      <c r="G1303" s="2" t="s">
        <v>50</v>
      </c>
      <c r="J1303"/>
      <c r="K1303" s="19"/>
      <c r="L1303" s="21"/>
      <c r="M1303" s="27"/>
      <c r="N1303" s="19"/>
      <c r="O1303" s="21"/>
      <c r="Q1303" s="7">
        <f>Table2[[#This Row],[Elevation
PILE TOP]]-Table2[[#This Row],[LENGTH(m.)
(Actual)]]</f>
        <v>0</v>
      </c>
      <c r="R1303" s="2"/>
      <c r="S1303" s="7">
        <f>Table2[[#This Row],[N]]+Table2[[#This Row],[Pile 
Deviation 
N (m)]]</f>
        <v>1511742.4010000001</v>
      </c>
      <c r="T1303" s="7">
        <f>Table2[[#This Row],[E]]+Table2[[#This Row],[Pile 
Deviation 
E (m)]]</f>
        <v>693930.88300000003</v>
      </c>
      <c r="W1303" s="7">
        <v>0.24</v>
      </c>
      <c r="X1303" s="2" t="s">
        <v>51</v>
      </c>
    </row>
    <row r="1304" spans="1:24" hidden="1" x14ac:dyDescent="0.65">
      <c r="A1304">
        <v>1298</v>
      </c>
      <c r="B1304" t="s">
        <v>29</v>
      </c>
      <c r="C1304" s="6">
        <v>1511742.2790000001</v>
      </c>
      <c r="D1304" s="6">
        <v>694062.35400000005</v>
      </c>
      <c r="E1304" s="2" t="s">
        <v>35</v>
      </c>
      <c r="F1304" s="1">
        <v>24</v>
      </c>
      <c r="G1304" s="2" t="s">
        <v>50</v>
      </c>
      <c r="J1304"/>
      <c r="K1304" s="19"/>
      <c r="L1304" s="21"/>
      <c r="M1304" s="27"/>
      <c r="N1304" s="19"/>
      <c r="O1304" s="21"/>
      <c r="Q1304" s="7">
        <f>Table2[[#This Row],[Elevation
PILE TOP]]-Table2[[#This Row],[LENGTH(m.)
(Actual)]]</f>
        <v>0</v>
      </c>
      <c r="R1304" s="2"/>
      <c r="S1304" s="7">
        <f>Table2[[#This Row],[N]]+Table2[[#This Row],[Pile 
Deviation 
N (m)]]</f>
        <v>1511742.2790000001</v>
      </c>
      <c r="T1304" s="7">
        <f>Table2[[#This Row],[E]]+Table2[[#This Row],[Pile 
Deviation 
E (m)]]</f>
        <v>694062.35400000005</v>
      </c>
      <c r="W1304" s="7">
        <v>0.24</v>
      </c>
      <c r="X1304" s="2" t="s">
        <v>51</v>
      </c>
    </row>
    <row r="1305" spans="1:24" ht="13.95" hidden="1" customHeight="1" x14ac:dyDescent="0.65">
      <c r="A1305">
        <v>1299</v>
      </c>
      <c r="B1305" t="s">
        <v>29</v>
      </c>
      <c r="C1305" s="6">
        <v>1511741.9790000001</v>
      </c>
      <c r="D1305" s="6">
        <v>693954.78399999999</v>
      </c>
      <c r="E1305" s="2" t="s">
        <v>35</v>
      </c>
      <c r="F1305" s="1">
        <v>24</v>
      </c>
      <c r="G1305" s="2" t="s">
        <v>50</v>
      </c>
      <c r="J1305"/>
      <c r="K1305" s="19"/>
      <c r="L1305" s="21"/>
      <c r="M1305" s="27"/>
      <c r="N1305" s="19"/>
      <c r="O1305" s="21"/>
      <c r="Q1305" s="7">
        <f>Table2[[#This Row],[Elevation
PILE TOP]]-Table2[[#This Row],[LENGTH(m.)
(Actual)]]</f>
        <v>0</v>
      </c>
      <c r="R1305" s="2"/>
      <c r="S1305" s="7">
        <f>Table2[[#This Row],[N]]+Table2[[#This Row],[Pile 
Deviation 
N (m)]]</f>
        <v>1511741.9790000001</v>
      </c>
      <c r="T1305" s="7">
        <f>Table2[[#This Row],[E]]+Table2[[#This Row],[Pile 
Deviation 
E (m)]]</f>
        <v>693954.78399999999</v>
      </c>
      <c r="W1305" s="7">
        <v>0.24</v>
      </c>
      <c r="X1305" s="2" t="s">
        <v>51</v>
      </c>
    </row>
    <row r="1306" spans="1:24" hidden="1" x14ac:dyDescent="0.65">
      <c r="A1306">
        <v>1300</v>
      </c>
      <c r="B1306" t="s">
        <v>29</v>
      </c>
      <c r="C1306" s="6">
        <v>1511741.946</v>
      </c>
      <c r="D1306" s="6">
        <v>693936.93799999997</v>
      </c>
      <c r="E1306" s="2" t="s">
        <v>35</v>
      </c>
      <c r="F1306" s="1">
        <v>24</v>
      </c>
      <c r="G1306" s="2" t="s">
        <v>50</v>
      </c>
      <c r="J1306"/>
      <c r="K1306" s="19"/>
      <c r="L1306" s="21"/>
      <c r="M1306" s="27"/>
      <c r="N1306" s="19"/>
      <c r="O1306" s="21"/>
      <c r="Q1306" s="7">
        <f>Table2[[#This Row],[Elevation
PILE TOP]]-Table2[[#This Row],[LENGTH(m.)
(Actual)]]</f>
        <v>0</v>
      </c>
      <c r="R1306" s="2"/>
      <c r="S1306" s="7">
        <f>Table2[[#This Row],[N]]+Table2[[#This Row],[Pile 
Deviation 
N (m)]]</f>
        <v>1511741.946</v>
      </c>
      <c r="T1306" s="7">
        <f>Table2[[#This Row],[E]]+Table2[[#This Row],[Pile 
Deviation 
E (m)]]</f>
        <v>693936.93799999997</v>
      </c>
      <c r="W1306" s="7">
        <v>0.24</v>
      </c>
      <c r="X1306" s="2" t="s">
        <v>51</v>
      </c>
    </row>
    <row r="1307" spans="1:24" ht="13.95" hidden="1" customHeight="1" x14ac:dyDescent="0.65">
      <c r="A1307">
        <v>1301</v>
      </c>
      <c r="B1307" t="s">
        <v>29</v>
      </c>
      <c r="C1307" s="6">
        <v>1511741.5859999999</v>
      </c>
      <c r="D1307" s="6">
        <v>694058.92299999995</v>
      </c>
      <c r="E1307" s="2" t="s">
        <v>35</v>
      </c>
      <c r="F1307" s="1">
        <v>24</v>
      </c>
      <c r="G1307" s="2" t="s">
        <v>50</v>
      </c>
      <c r="J1307"/>
      <c r="K1307" s="19"/>
      <c r="L1307" s="21"/>
      <c r="M1307" s="27"/>
      <c r="N1307" s="19"/>
      <c r="O1307" s="21"/>
      <c r="Q1307" s="7">
        <f>Table2[[#This Row],[Elevation
PILE TOP]]-Table2[[#This Row],[LENGTH(m.)
(Actual)]]</f>
        <v>0</v>
      </c>
      <c r="R1307" s="2"/>
      <c r="S1307" s="7">
        <f>Table2[[#This Row],[N]]+Table2[[#This Row],[Pile 
Deviation 
N (m)]]</f>
        <v>1511741.5859999999</v>
      </c>
      <c r="T1307" s="7">
        <f>Table2[[#This Row],[E]]+Table2[[#This Row],[Pile 
Deviation 
E (m)]]</f>
        <v>694058.92299999995</v>
      </c>
      <c r="W1307" s="7">
        <v>0.24</v>
      </c>
      <c r="X1307" s="2" t="s">
        <v>51</v>
      </c>
    </row>
    <row r="1308" spans="1:24" hidden="1" x14ac:dyDescent="0.65">
      <c r="A1308">
        <v>1302</v>
      </c>
      <c r="B1308" t="s">
        <v>29</v>
      </c>
      <c r="C1308" s="6">
        <v>1511741.5120000001</v>
      </c>
      <c r="D1308" s="6">
        <v>693934.26800000004</v>
      </c>
      <c r="E1308" s="2" t="s">
        <v>35</v>
      </c>
      <c r="F1308" s="1">
        <v>24</v>
      </c>
      <c r="G1308" s="2" t="s">
        <v>50</v>
      </c>
      <c r="J1308"/>
      <c r="K1308" s="19"/>
      <c r="L1308" s="21"/>
      <c r="M1308" s="27"/>
      <c r="N1308" s="19"/>
      <c r="O1308" s="21"/>
      <c r="Q1308" s="7">
        <f>Table2[[#This Row],[Elevation
PILE TOP]]-Table2[[#This Row],[LENGTH(m.)
(Actual)]]</f>
        <v>0</v>
      </c>
      <c r="R1308" s="2"/>
      <c r="S1308" s="7">
        <f>Table2[[#This Row],[N]]+Table2[[#This Row],[Pile 
Deviation 
N (m)]]</f>
        <v>1511741.5120000001</v>
      </c>
      <c r="T1308" s="7">
        <f>Table2[[#This Row],[E]]+Table2[[#This Row],[Pile 
Deviation 
E (m)]]</f>
        <v>693934.26800000004</v>
      </c>
      <c r="W1308" s="7">
        <v>0.24</v>
      </c>
      <c r="X1308" s="2" t="s">
        <v>51</v>
      </c>
    </row>
    <row r="1309" spans="1:24" ht="13.95" hidden="1" customHeight="1" x14ac:dyDescent="0.65">
      <c r="A1309">
        <v>1303</v>
      </c>
      <c r="B1309" t="s">
        <v>29</v>
      </c>
      <c r="C1309" s="6">
        <v>1511741.4580000001</v>
      </c>
      <c r="D1309" s="6">
        <v>693920.69499999995</v>
      </c>
      <c r="E1309" s="2" t="s">
        <v>35</v>
      </c>
      <c r="F1309" s="1">
        <v>24</v>
      </c>
      <c r="G1309" s="2" t="s">
        <v>50</v>
      </c>
      <c r="J1309"/>
      <c r="K1309" s="19"/>
      <c r="L1309" s="21"/>
      <c r="M1309" s="27"/>
      <c r="N1309" s="19"/>
      <c r="O1309" s="21"/>
      <c r="Q1309" s="7">
        <f>Table2[[#This Row],[Elevation
PILE TOP]]-Table2[[#This Row],[LENGTH(m.)
(Actual)]]</f>
        <v>0</v>
      </c>
      <c r="R1309" s="2"/>
      <c r="S1309" s="7">
        <f>Table2[[#This Row],[N]]+Table2[[#This Row],[Pile 
Deviation 
N (m)]]</f>
        <v>1511741.4580000001</v>
      </c>
      <c r="T1309" s="7">
        <f>Table2[[#This Row],[E]]+Table2[[#This Row],[Pile 
Deviation 
E (m)]]</f>
        <v>693920.69499999995</v>
      </c>
      <c r="W1309" s="7">
        <v>0.24</v>
      </c>
      <c r="X1309" s="2" t="s">
        <v>51</v>
      </c>
    </row>
    <row r="1310" spans="1:24" hidden="1" x14ac:dyDescent="0.65">
      <c r="A1310">
        <v>1304</v>
      </c>
      <c r="B1310" t="s">
        <v>29</v>
      </c>
      <c r="C1310" s="6">
        <v>1511741.2860000001</v>
      </c>
      <c r="D1310" s="6">
        <v>693951.35400000005</v>
      </c>
      <c r="E1310" s="2" t="s">
        <v>35</v>
      </c>
      <c r="F1310" s="1">
        <v>24</v>
      </c>
      <c r="G1310" s="2" t="s">
        <v>50</v>
      </c>
      <c r="J1310"/>
      <c r="K1310" s="19"/>
      <c r="L1310" s="21"/>
      <c r="M1310" s="27"/>
      <c r="N1310" s="19"/>
      <c r="O1310" s="21"/>
      <c r="Q1310" s="7">
        <f>Table2[[#This Row],[Elevation
PILE TOP]]-Table2[[#This Row],[LENGTH(m.)
(Actual)]]</f>
        <v>0</v>
      </c>
      <c r="R1310" s="2"/>
      <c r="S1310" s="7">
        <f>Table2[[#This Row],[N]]+Table2[[#This Row],[Pile 
Deviation 
N (m)]]</f>
        <v>1511741.2860000001</v>
      </c>
      <c r="T1310" s="7">
        <f>Table2[[#This Row],[E]]+Table2[[#This Row],[Pile 
Deviation 
E (m)]]</f>
        <v>693951.35400000005</v>
      </c>
      <c r="W1310" s="7">
        <v>0.24</v>
      </c>
      <c r="X1310" s="2" t="s">
        <v>51</v>
      </c>
    </row>
    <row r="1311" spans="1:24" ht="13.95" hidden="1" customHeight="1" x14ac:dyDescent="0.65">
      <c r="A1311">
        <v>1305</v>
      </c>
      <c r="B1311" t="s">
        <v>29</v>
      </c>
      <c r="C1311" s="6">
        <v>1511740.8929999999</v>
      </c>
      <c r="D1311" s="6">
        <v>694055.49199999997</v>
      </c>
      <c r="E1311" s="2" t="s">
        <v>35</v>
      </c>
      <c r="F1311" s="1">
        <v>24</v>
      </c>
      <c r="G1311" s="2" t="s">
        <v>50</v>
      </c>
      <c r="J1311"/>
      <c r="K1311" s="19"/>
      <c r="L1311" s="21"/>
      <c r="M1311" s="27"/>
      <c r="N1311" s="19"/>
      <c r="O1311" s="21"/>
      <c r="Q1311" s="7">
        <f>Table2[[#This Row],[Elevation
PILE TOP]]-Table2[[#This Row],[LENGTH(m.)
(Actual)]]</f>
        <v>0</v>
      </c>
      <c r="R1311" s="2"/>
      <c r="S1311" s="7">
        <f>Table2[[#This Row],[N]]+Table2[[#This Row],[Pile 
Deviation 
N (m)]]</f>
        <v>1511740.8929999999</v>
      </c>
      <c r="T1311" s="7">
        <f>Table2[[#This Row],[E]]+Table2[[#This Row],[Pile 
Deviation 
E (m)]]</f>
        <v>694055.49199999997</v>
      </c>
      <c r="W1311" s="7">
        <v>0.24</v>
      </c>
      <c r="X1311" s="2" t="s">
        <v>51</v>
      </c>
    </row>
    <row r="1312" spans="1:24" hidden="1" x14ac:dyDescent="0.65">
      <c r="A1312">
        <v>1306</v>
      </c>
      <c r="B1312" t="s">
        <v>29</v>
      </c>
      <c r="C1312" s="6">
        <v>1511740.794</v>
      </c>
      <c r="D1312" s="6">
        <v>693923.223</v>
      </c>
      <c r="E1312" s="2" t="s">
        <v>35</v>
      </c>
      <c r="F1312" s="1">
        <v>24</v>
      </c>
      <c r="G1312" s="2" t="s">
        <v>50</v>
      </c>
      <c r="J1312"/>
      <c r="K1312" s="19"/>
      <c r="L1312" s="21"/>
      <c r="M1312" s="27"/>
      <c r="N1312" s="19"/>
      <c r="O1312" s="21"/>
      <c r="Q1312" s="7">
        <f>Table2[[#This Row],[Elevation
PILE TOP]]-Table2[[#This Row],[LENGTH(m.)
(Actual)]]</f>
        <v>0</v>
      </c>
      <c r="R1312" s="2"/>
      <c r="S1312" s="7">
        <f>Table2[[#This Row],[N]]+Table2[[#This Row],[Pile 
Deviation 
N (m)]]</f>
        <v>1511740.794</v>
      </c>
      <c r="T1312" s="7">
        <f>Table2[[#This Row],[E]]+Table2[[#This Row],[Pile 
Deviation 
E (m)]]</f>
        <v>693923.223</v>
      </c>
      <c r="W1312" s="7">
        <v>0.24</v>
      </c>
      <c r="X1312" s="2" t="s">
        <v>51</v>
      </c>
    </row>
    <row r="1313" spans="1:24" ht="13.95" hidden="1" customHeight="1" x14ac:dyDescent="0.65">
      <c r="A1313">
        <v>1307</v>
      </c>
      <c r="B1313" t="s">
        <v>29</v>
      </c>
      <c r="C1313" s="6">
        <v>1511740.594</v>
      </c>
      <c r="D1313" s="6">
        <v>693947.92299999995</v>
      </c>
      <c r="E1313" s="2" t="s">
        <v>35</v>
      </c>
      <c r="F1313" s="1">
        <v>24</v>
      </c>
      <c r="G1313" s="2" t="s">
        <v>50</v>
      </c>
      <c r="J1313"/>
      <c r="K1313" s="19"/>
      <c r="L1313" s="21"/>
      <c r="M1313" s="27"/>
      <c r="N1313" s="19"/>
      <c r="O1313" s="21"/>
      <c r="Q1313" s="7">
        <f>Table2[[#This Row],[Elevation
PILE TOP]]-Table2[[#This Row],[LENGTH(m.)
(Actual)]]</f>
        <v>0</v>
      </c>
      <c r="R1313" s="2"/>
      <c r="S1313" s="7">
        <f>Table2[[#This Row],[N]]+Table2[[#This Row],[Pile 
Deviation 
N (m)]]</f>
        <v>1511740.594</v>
      </c>
      <c r="T1313" s="7">
        <f>Table2[[#This Row],[E]]+Table2[[#This Row],[Pile 
Deviation 
E (m)]]</f>
        <v>693947.92299999995</v>
      </c>
      <c r="W1313" s="7">
        <v>0.24</v>
      </c>
      <c r="X1313" s="2" t="s">
        <v>51</v>
      </c>
    </row>
    <row r="1314" spans="1:24" hidden="1" x14ac:dyDescent="0.65">
      <c r="A1314">
        <v>1308</v>
      </c>
      <c r="B1314" t="s">
        <v>29</v>
      </c>
      <c r="C1314" s="6">
        <v>1511740.2</v>
      </c>
      <c r="D1314" s="6">
        <v>694052.06099999999</v>
      </c>
      <c r="E1314" s="2" t="s">
        <v>35</v>
      </c>
      <c r="F1314" s="1">
        <v>24</v>
      </c>
      <c r="G1314" s="2" t="s">
        <v>50</v>
      </c>
      <c r="J1314"/>
      <c r="K1314" s="19"/>
      <c r="L1314" s="21"/>
      <c r="M1314" s="27"/>
      <c r="N1314" s="19"/>
      <c r="O1314" s="21"/>
      <c r="Q1314" s="7">
        <f>Table2[[#This Row],[Elevation
PILE TOP]]-Table2[[#This Row],[LENGTH(m.)
(Actual)]]</f>
        <v>0</v>
      </c>
      <c r="R1314" s="2"/>
      <c r="S1314" s="7">
        <f>Table2[[#This Row],[N]]+Table2[[#This Row],[Pile 
Deviation 
N (m)]]</f>
        <v>1511740.2</v>
      </c>
      <c r="T1314" s="7">
        <f>Table2[[#This Row],[E]]+Table2[[#This Row],[Pile 
Deviation 
E (m)]]</f>
        <v>694052.06099999999</v>
      </c>
      <c r="W1314" s="7">
        <v>0.24</v>
      </c>
      <c r="X1314" s="2" t="s">
        <v>51</v>
      </c>
    </row>
    <row r="1315" spans="1:24" ht="13.95" hidden="1" customHeight="1" x14ac:dyDescent="0.65">
      <c r="A1315">
        <v>1309</v>
      </c>
      <c r="B1315" t="s">
        <v>29</v>
      </c>
      <c r="C1315" s="6">
        <v>1511739.905</v>
      </c>
      <c r="D1315" s="6">
        <v>693926.60800000001</v>
      </c>
      <c r="E1315" s="2" t="s">
        <v>35</v>
      </c>
      <c r="F1315" s="1">
        <v>24</v>
      </c>
      <c r="G1315" s="2" t="s">
        <v>50</v>
      </c>
      <c r="J1315"/>
      <c r="K1315" s="19"/>
      <c r="L1315" s="21"/>
      <c r="M1315" s="27"/>
      <c r="N1315" s="19"/>
      <c r="O1315" s="21"/>
      <c r="Q1315" s="7">
        <f>Table2[[#This Row],[Elevation
PILE TOP]]-Table2[[#This Row],[LENGTH(m.)
(Actual)]]</f>
        <v>0</v>
      </c>
      <c r="R1315" s="2"/>
      <c r="S1315" s="7">
        <f>Table2[[#This Row],[N]]+Table2[[#This Row],[Pile 
Deviation 
N (m)]]</f>
        <v>1511739.905</v>
      </c>
      <c r="T1315" s="7">
        <f>Table2[[#This Row],[E]]+Table2[[#This Row],[Pile 
Deviation 
E (m)]]</f>
        <v>693926.60800000001</v>
      </c>
      <c r="W1315" s="7">
        <v>0.24</v>
      </c>
      <c r="X1315" s="2" t="s">
        <v>51</v>
      </c>
    </row>
    <row r="1316" spans="1:24" hidden="1" x14ac:dyDescent="0.65">
      <c r="A1316">
        <v>1310</v>
      </c>
      <c r="B1316" t="s">
        <v>29</v>
      </c>
      <c r="C1316" s="6">
        <v>1511739.9010000001</v>
      </c>
      <c r="D1316" s="6">
        <v>693944.49199999997</v>
      </c>
      <c r="E1316" s="2" t="s">
        <v>35</v>
      </c>
      <c r="F1316" s="1">
        <v>24</v>
      </c>
      <c r="G1316" s="2" t="s">
        <v>50</v>
      </c>
      <c r="J1316"/>
      <c r="K1316" s="19"/>
      <c r="L1316" s="21"/>
      <c r="M1316" s="27"/>
      <c r="N1316" s="19"/>
      <c r="O1316" s="21"/>
      <c r="Q1316" s="7">
        <f>Table2[[#This Row],[Elevation
PILE TOP]]-Table2[[#This Row],[LENGTH(m.)
(Actual)]]</f>
        <v>0</v>
      </c>
      <c r="R1316" s="2"/>
      <c r="S1316" s="7">
        <f>Table2[[#This Row],[N]]+Table2[[#This Row],[Pile 
Deviation 
N (m)]]</f>
        <v>1511739.9010000001</v>
      </c>
      <c r="T1316" s="7">
        <f>Table2[[#This Row],[E]]+Table2[[#This Row],[Pile 
Deviation 
E (m)]]</f>
        <v>693944.49199999997</v>
      </c>
      <c r="W1316" s="7">
        <v>0.24</v>
      </c>
      <c r="X1316" s="2" t="s">
        <v>51</v>
      </c>
    </row>
    <row r="1317" spans="1:24" ht="13.95" hidden="1" customHeight="1" x14ac:dyDescent="0.65">
      <c r="A1317">
        <v>1311</v>
      </c>
      <c r="B1317" t="s">
        <v>29</v>
      </c>
      <c r="C1317" s="6">
        <v>1511739.5079999999</v>
      </c>
      <c r="D1317" s="6">
        <v>694048.63100000005</v>
      </c>
      <c r="E1317" s="2" t="s">
        <v>35</v>
      </c>
      <c r="F1317" s="1">
        <v>24</v>
      </c>
      <c r="G1317" s="2" t="s">
        <v>50</v>
      </c>
      <c r="J1317"/>
      <c r="K1317" s="19"/>
      <c r="L1317" s="21"/>
      <c r="M1317" s="27"/>
      <c r="N1317" s="19"/>
      <c r="O1317" s="21"/>
      <c r="Q1317" s="7">
        <f>Table2[[#This Row],[Elevation
PILE TOP]]-Table2[[#This Row],[LENGTH(m.)
(Actual)]]</f>
        <v>0</v>
      </c>
      <c r="R1317" s="2"/>
      <c r="S1317" s="7">
        <f>Table2[[#This Row],[N]]+Table2[[#This Row],[Pile 
Deviation 
N (m)]]</f>
        <v>1511739.5079999999</v>
      </c>
      <c r="T1317" s="7">
        <f>Table2[[#This Row],[E]]+Table2[[#This Row],[Pile 
Deviation 
E (m)]]</f>
        <v>694048.63100000005</v>
      </c>
      <c r="W1317" s="7">
        <v>0.24</v>
      </c>
      <c r="X1317" s="2" t="s">
        <v>51</v>
      </c>
    </row>
    <row r="1318" spans="1:24" hidden="1" x14ac:dyDescent="0.65">
      <c r="A1318">
        <v>1312</v>
      </c>
      <c r="B1318" t="s">
        <v>29</v>
      </c>
      <c r="C1318" s="6">
        <v>1511739.2409999999</v>
      </c>
      <c r="D1318" s="6">
        <v>693958.90800000005</v>
      </c>
      <c r="E1318" s="2" t="s">
        <v>35</v>
      </c>
      <c r="F1318" s="1">
        <v>24</v>
      </c>
      <c r="G1318" s="2" t="s">
        <v>50</v>
      </c>
      <c r="J1318"/>
      <c r="K1318" s="19"/>
      <c r="L1318" s="21"/>
      <c r="M1318" s="27"/>
      <c r="N1318" s="19"/>
      <c r="O1318" s="21"/>
      <c r="Q1318" s="7">
        <f>Table2[[#This Row],[Elevation
PILE TOP]]-Table2[[#This Row],[LENGTH(m.)
(Actual)]]</f>
        <v>0</v>
      </c>
      <c r="R1318" s="2"/>
      <c r="S1318" s="7">
        <f>Table2[[#This Row],[N]]+Table2[[#This Row],[Pile 
Deviation 
N (m)]]</f>
        <v>1511739.2409999999</v>
      </c>
      <c r="T1318" s="7">
        <f>Table2[[#This Row],[E]]+Table2[[#This Row],[Pile 
Deviation 
E (m)]]</f>
        <v>693958.90800000005</v>
      </c>
      <c r="W1318" s="7">
        <v>0.24</v>
      </c>
      <c r="X1318" s="2" t="s">
        <v>51</v>
      </c>
    </row>
    <row r="1319" spans="1:24" ht="13.95" hidden="1" customHeight="1" x14ac:dyDescent="0.65">
      <c r="A1319">
        <v>1313</v>
      </c>
      <c r="B1319" t="s">
        <v>29</v>
      </c>
      <c r="C1319" s="6">
        <v>1511739.2080000001</v>
      </c>
      <c r="D1319" s="6">
        <v>693941.06099999999</v>
      </c>
      <c r="E1319" s="2" t="s">
        <v>35</v>
      </c>
      <c r="F1319" s="1">
        <v>24</v>
      </c>
      <c r="G1319" s="2" t="s">
        <v>50</v>
      </c>
      <c r="J1319"/>
      <c r="K1319" s="19"/>
      <c r="L1319" s="21"/>
      <c r="M1319" s="27"/>
      <c r="N1319" s="19"/>
      <c r="O1319" s="21"/>
      <c r="Q1319" s="7">
        <f>Table2[[#This Row],[Elevation
PILE TOP]]-Table2[[#This Row],[LENGTH(m.)
(Actual)]]</f>
        <v>0</v>
      </c>
      <c r="R1319" s="2"/>
      <c r="S1319" s="7">
        <f>Table2[[#This Row],[N]]+Table2[[#This Row],[Pile 
Deviation 
N (m)]]</f>
        <v>1511739.2080000001</v>
      </c>
      <c r="T1319" s="7">
        <f>Table2[[#This Row],[E]]+Table2[[#This Row],[Pile 
Deviation 
E (m)]]</f>
        <v>693941.06099999999</v>
      </c>
      <c r="W1319" s="7">
        <v>0.24</v>
      </c>
      <c r="X1319" s="2" t="s">
        <v>51</v>
      </c>
    </row>
    <row r="1320" spans="1:24" hidden="1" x14ac:dyDescent="0.65">
      <c r="A1320">
        <v>1314</v>
      </c>
      <c r="B1320" t="s">
        <v>29</v>
      </c>
      <c r="C1320" s="6">
        <v>1511739.0160000001</v>
      </c>
      <c r="D1320" s="6">
        <v>693929.99300000002</v>
      </c>
      <c r="E1320" s="2" t="s">
        <v>35</v>
      </c>
      <c r="F1320" s="1">
        <v>24</v>
      </c>
      <c r="G1320" s="2" t="s">
        <v>50</v>
      </c>
      <c r="J1320"/>
      <c r="K1320" s="19"/>
      <c r="L1320" s="21"/>
      <c r="M1320" s="27"/>
      <c r="N1320" s="19"/>
      <c r="O1320" s="21"/>
      <c r="Q1320" s="7">
        <f>Table2[[#This Row],[Elevation
PILE TOP]]-Table2[[#This Row],[LENGTH(m.)
(Actual)]]</f>
        <v>0</v>
      </c>
      <c r="R1320" s="2"/>
      <c r="S1320" s="7">
        <f>Table2[[#This Row],[N]]+Table2[[#This Row],[Pile 
Deviation 
N (m)]]</f>
        <v>1511739.0160000001</v>
      </c>
      <c r="T1320" s="7">
        <f>Table2[[#This Row],[E]]+Table2[[#This Row],[Pile 
Deviation 
E (m)]]</f>
        <v>693929.99300000002</v>
      </c>
      <c r="W1320" s="7">
        <v>0.24</v>
      </c>
      <c r="X1320" s="2" t="s">
        <v>51</v>
      </c>
    </row>
    <row r="1321" spans="1:24" ht="13.95" hidden="1" customHeight="1" x14ac:dyDescent="0.65">
      <c r="A1321">
        <v>1315</v>
      </c>
      <c r="B1321" t="s">
        <v>29</v>
      </c>
      <c r="C1321" s="6">
        <v>1511738.8189999999</v>
      </c>
      <c r="D1321" s="6">
        <v>694062.9</v>
      </c>
      <c r="E1321" s="2" t="s">
        <v>35</v>
      </c>
      <c r="F1321" s="1">
        <v>24</v>
      </c>
      <c r="G1321" s="2" t="s">
        <v>50</v>
      </c>
      <c r="J1321"/>
      <c r="K1321" s="19"/>
      <c r="L1321" s="21"/>
      <c r="M1321" s="27"/>
      <c r="N1321" s="19"/>
      <c r="O1321" s="21"/>
      <c r="Q1321" s="7">
        <f>Table2[[#This Row],[Elevation
PILE TOP]]-Table2[[#This Row],[LENGTH(m.)
(Actual)]]</f>
        <v>0</v>
      </c>
      <c r="R1321" s="2"/>
      <c r="S1321" s="7">
        <f>Table2[[#This Row],[N]]+Table2[[#This Row],[Pile 
Deviation 
N (m)]]</f>
        <v>1511738.8189999999</v>
      </c>
      <c r="T1321" s="7">
        <f>Table2[[#This Row],[E]]+Table2[[#This Row],[Pile 
Deviation 
E (m)]]</f>
        <v>694062.9</v>
      </c>
      <c r="W1321" s="7">
        <v>0.24</v>
      </c>
      <c r="X1321" s="2" t="s">
        <v>51</v>
      </c>
    </row>
    <row r="1322" spans="1:24" hidden="1" x14ac:dyDescent="0.65">
      <c r="A1322">
        <v>1316</v>
      </c>
      <c r="B1322" t="s">
        <v>29</v>
      </c>
      <c r="C1322" s="6">
        <v>1511738.5490000001</v>
      </c>
      <c r="D1322" s="6">
        <v>693955.47699999996</v>
      </c>
      <c r="E1322" s="2" t="s">
        <v>35</v>
      </c>
      <c r="F1322" s="1">
        <v>24</v>
      </c>
      <c r="G1322" s="2" t="s">
        <v>50</v>
      </c>
      <c r="J1322"/>
      <c r="K1322" s="19"/>
      <c r="L1322" s="21"/>
      <c r="M1322" s="27"/>
      <c r="N1322" s="19"/>
      <c r="O1322" s="21"/>
      <c r="Q1322" s="7">
        <f>Table2[[#This Row],[Elevation
PILE TOP]]-Table2[[#This Row],[LENGTH(m.)
(Actual)]]</f>
        <v>0</v>
      </c>
      <c r="R1322" s="2"/>
      <c r="S1322" s="7">
        <f>Table2[[#This Row],[N]]+Table2[[#This Row],[Pile 
Deviation 
N (m)]]</f>
        <v>1511738.5490000001</v>
      </c>
      <c r="T1322" s="7">
        <f>Table2[[#This Row],[E]]+Table2[[#This Row],[Pile 
Deviation 
E (m)]]</f>
        <v>693955.47699999996</v>
      </c>
      <c r="W1322" s="7">
        <v>0.24</v>
      </c>
      <c r="X1322" s="2" t="s">
        <v>51</v>
      </c>
    </row>
    <row r="1323" spans="1:24" ht="13.95" hidden="1" customHeight="1" x14ac:dyDescent="0.65">
      <c r="A1323">
        <v>1317</v>
      </c>
      <c r="B1323" t="s">
        <v>29</v>
      </c>
      <c r="C1323" s="6">
        <v>1511738.5149999999</v>
      </c>
      <c r="D1323" s="6">
        <v>693937.63100000005</v>
      </c>
      <c r="E1323" s="2" t="s">
        <v>35</v>
      </c>
      <c r="F1323" s="1">
        <v>24</v>
      </c>
      <c r="G1323" s="2" t="s">
        <v>50</v>
      </c>
      <c r="J1323"/>
      <c r="K1323" s="19"/>
      <c r="L1323" s="21"/>
      <c r="M1323" s="27"/>
      <c r="N1323" s="19"/>
      <c r="O1323" s="21"/>
      <c r="Q1323" s="7">
        <f>Table2[[#This Row],[Elevation
PILE TOP]]-Table2[[#This Row],[LENGTH(m.)
(Actual)]]</f>
        <v>0</v>
      </c>
      <c r="R1323" s="2"/>
      <c r="S1323" s="7">
        <f>Table2[[#This Row],[N]]+Table2[[#This Row],[Pile 
Deviation 
N (m)]]</f>
        <v>1511738.5149999999</v>
      </c>
      <c r="T1323" s="7">
        <f>Table2[[#This Row],[E]]+Table2[[#This Row],[Pile 
Deviation 
E (m)]]</f>
        <v>693937.63100000005</v>
      </c>
      <c r="W1323" s="7">
        <v>0.24</v>
      </c>
      <c r="X1323" s="2" t="s">
        <v>51</v>
      </c>
    </row>
    <row r="1324" spans="1:24" hidden="1" x14ac:dyDescent="0.65">
      <c r="A1324">
        <v>1318</v>
      </c>
      <c r="B1324" t="s">
        <v>29</v>
      </c>
      <c r="C1324" s="6">
        <v>1511738.227</v>
      </c>
      <c r="D1324" s="6">
        <v>693936.20499999996</v>
      </c>
      <c r="E1324" s="2" t="s">
        <v>35</v>
      </c>
      <c r="F1324" s="1">
        <v>24</v>
      </c>
      <c r="G1324" s="2" t="s">
        <v>50</v>
      </c>
      <c r="J1324"/>
      <c r="K1324" s="19"/>
      <c r="L1324" s="21"/>
      <c r="M1324" s="27"/>
      <c r="N1324" s="19"/>
      <c r="O1324" s="21"/>
      <c r="Q1324" s="7">
        <f>Table2[[#This Row],[Elevation
PILE TOP]]-Table2[[#This Row],[LENGTH(m.)
(Actual)]]</f>
        <v>0</v>
      </c>
      <c r="R1324" s="2"/>
      <c r="S1324" s="7">
        <f>Table2[[#This Row],[N]]+Table2[[#This Row],[Pile 
Deviation 
N (m)]]</f>
        <v>1511738.227</v>
      </c>
      <c r="T1324" s="7">
        <f>Table2[[#This Row],[E]]+Table2[[#This Row],[Pile 
Deviation 
E (m)]]</f>
        <v>693936.20499999996</v>
      </c>
      <c r="W1324" s="7">
        <v>0.24</v>
      </c>
      <c r="X1324" s="2" t="s">
        <v>51</v>
      </c>
    </row>
    <row r="1325" spans="1:24" ht="13.95" hidden="1" customHeight="1" x14ac:dyDescent="0.65">
      <c r="A1325">
        <v>1319</v>
      </c>
      <c r="B1325" t="s">
        <v>29</v>
      </c>
      <c r="C1325" s="6">
        <v>1511738.155</v>
      </c>
      <c r="D1325" s="6">
        <v>694059.61600000004</v>
      </c>
      <c r="E1325" s="2" t="s">
        <v>35</v>
      </c>
      <c r="F1325" s="1">
        <v>24</v>
      </c>
      <c r="G1325" s="2" t="s">
        <v>50</v>
      </c>
      <c r="J1325"/>
      <c r="K1325" s="19"/>
      <c r="L1325" s="21"/>
      <c r="M1325" s="27"/>
      <c r="N1325" s="19"/>
      <c r="O1325" s="21"/>
      <c r="Q1325" s="7">
        <f>Table2[[#This Row],[Elevation
PILE TOP]]-Table2[[#This Row],[LENGTH(m.)
(Actual)]]</f>
        <v>0</v>
      </c>
      <c r="R1325" s="2"/>
      <c r="S1325" s="7">
        <f>Table2[[#This Row],[N]]+Table2[[#This Row],[Pile 
Deviation 
N (m)]]</f>
        <v>1511738.155</v>
      </c>
      <c r="T1325" s="7">
        <f>Table2[[#This Row],[E]]+Table2[[#This Row],[Pile 
Deviation 
E (m)]]</f>
        <v>694059.61600000004</v>
      </c>
      <c r="W1325" s="7">
        <v>0.24</v>
      </c>
      <c r="X1325" s="2" t="s">
        <v>51</v>
      </c>
    </row>
    <row r="1326" spans="1:24" hidden="1" x14ac:dyDescent="0.65">
      <c r="A1326">
        <v>1320</v>
      </c>
      <c r="B1326" t="s">
        <v>29</v>
      </c>
      <c r="C1326" s="6">
        <v>1511738.1270000001</v>
      </c>
      <c r="D1326" s="6">
        <v>693933.37899999996</v>
      </c>
      <c r="E1326" s="2" t="s">
        <v>35</v>
      </c>
      <c r="F1326" s="1">
        <v>24</v>
      </c>
      <c r="G1326" s="2" t="s">
        <v>50</v>
      </c>
      <c r="J1326"/>
      <c r="K1326" s="19"/>
      <c r="L1326" s="21"/>
      <c r="M1326" s="27"/>
      <c r="N1326" s="19"/>
      <c r="O1326" s="21"/>
      <c r="Q1326" s="7">
        <f>Table2[[#This Row],[Elevation
PILE TOP]]-Table2[[#This Row],[LENGTH(m.)
(Actual)]]</f>
        <v>0</v>
      </c>
      <c r="R1326" s="2"/>
      <c r="S1326" s="7">
        <f>Table2[[#This Row],[N]]+Table2[[#This Row],[Pile 
Deviation 
N (m)]]</f>
        <v>1511738.1270000001</v>
      </c>
      <c r="T1326" s="7">
        <f>Table2[[#This Row],[E]]+Table2[[#This Row],[Pile 
Deviation 
E (m)]]</f>
        <v>693933.37899999996</v>
      </c>
      <c r="W1326" s="7">
        <v>0.24</v>
      </c>
      <c r="X1326" s="2" t="s">
        <v>51</v>
      </c>
    </row>
    <row r="1327" spans="1:24" ht="13.95" hidden="1" customHeight="1" x14ac:dyDescent="0.65">
      <c r="A1327">
        <v>1321</v>
      </c>
      <c r="B1327" t="s">
        <v>29</v>
      </c>
      <c r="C1327" s="6">
        <v>1511737.899</v>
      </c>
      <c r="D1327" s="6">
        <v>693920.46799999999</v>
      </c>
      <c r="E1327" s="2" t="s">
        <v>35</v>
      </c>
      <c r="F1327" s="1">
        <v>24</v>
      </c>
      <c r="G1327" s="2" t="s">
        <v>50</v>
      </c>
      <c r="J1327"/>
      <c r="K1327" s="19"/>
      <c r="L1327" s="21"/>
      <c r="M1327" s="27"/>
      <c r="N1327" s="19"/>
      <c r="O1327" s="21"/>
      <c r="Q1327" s="7">
        <f>Table2[[#This Row],[Elevation
PILE TOP]]-Table2[[#This Row],[LENGTH(m.)
(Actual)]]</f>
        <v>0</v>
      </c>
      <c r="R1327" s="2"/>
      <c r="S1327" s="7">
        <f>Table2[[#This Row],[N]]+Table2[[#This Row],[Pile 
Deviation 
N (m)]]</f>
        <v>1511737.899</v>
      </c>
      <c r="T1327" s="7">
        <f>Table2[[#This Row],[E]]+Table2[[#This Row],[Pile 
Deviation 
E (m)]]</f>
        <v>693920.46799999999</v>
      </c>
      <c r="W1327" s="7">
        <v>0.24</v>
      </c>
      <c r="X1327" s="2" t="s">
        <v>51</v>
      </c>
    </row>
    <row r="1328" spans="1:24" hidden="1" x14ac:dyDescent="0.65">
      <c r="A1328">
        <v>1322</v>
      </c>
      <c r="B1328" t="s">
        <v>29</v>
      </c>
      <c r="C1328" s="6">
        <v>1511737.8559999999</v>
      </c>
      <c r="D1328" s="6">
        <v>693952.04599999997</v>
      </c>
      <c r="E1328" s="2" t="s">
        <v>35</v>
      </c>
      <c r="F1328" s="1">
        <v>24</v>
      </c>
      <c r="G1328" s="2" t="s">
        <v>50</v>
      </c>
      <c r="J1328"/>
      <c r="K1328" s="19"/>
      <c r="L1328" s="21"/>
      <c r="M1328" s="27"/>
      <c r="N1328" s="19"/>
      <c r="O1328" s="21"/>
      <c r="Q1328" s="7">
        <f>Table2[[#This Row],[Elevation
PILE TOP]]-Table2[[#This Row],[LENGTH(m.)
(Actual)]]</f>
        <v>0</v>
      </c>
      <c r="R1328" s="2"/>
      <c r="S1328" s="7">
        <f>Table2[[#This Row],[N]]+Table2[[#This Row],[Pile 
Deviation 
N (m)]]</f>
        <v>1511737.8559999999</v>
      </c>
      <c r="T1328" s="7">
        <f>Table2[[#This Row],[E]]+Table2[[#This Row],[Pile 
Deviation 
E (m)]]</f>
        <v>693952.04599999997</v>
      </c>
      <c r="W1328" s="7">
        <v>0.24</v>
      </c>
      <c r="X1328" s="2" t="s">
        <v>51</v>
      </c>
    </row>
    <row r="1329" spans="1:24" ht="13.95" hidden="1" customHeight="1" x14ac:dyDescent="0.65">
      <c r="A1329">
        <v>1323</v>
      </c>
      <c r="B1329" t="s">
        <v>29</v>
      </c>
      <c r="C1329" s="6">
        <v>1511737.4620000001</v>
      </c>
      <c r="D1329" s="6">
        <v>694056.18500000006</v>
      </c>
      <c r="E1329" s="2" t="s">
        <v>35</v>
      </c>
      <c r="F1329" s="1">
        <v>24</v>
      </c>
      <c r="G1329" s="2" t="s">
        <v>50</v>
      </c>
      <c r="J1329"/>
      <c r="K1329" s="19"/>
      <c r="L1329" s="21"/>
      <c r="M1329" s="27"/>
      <c r="N1329" s="19"/>
      <c r="O1329" s="21"/>
      <c r="Q1329" s="7">
        <f>Table2[[#This Row],[Elevation
PILE TOP]]-Table2[[#This Row],[LENGTH(m.)
(Actual)]]</f>
        <v>0</v>
      </c>
      <c r="R1329" s="2"/>
      <c r="S1329" s="7">
        <f>Table2[[#This Row],[N]]+Table2[[#This Row],[Pile 
Deviation 
N (m)]]</f>
        <v>1511737.4620000001</v>
      </c>
      <c r="T1329" s="7">
        <f>Table2[[#This Row],[E]]+Table2[[#This Row],[Pile 
Deviation 
E (m)]]</f>
        <v>694056.18500000006</v>
      </c>
      <c r="W1329" s="7">
        <v>0.24</v>
      </c>
      <c r="X1329" s="2" t="s">
        <v>51</v>
      </c>
    </row>
    <row r="1330" spans="1:24" hidden="1" x14ac:dyDescent="0.65">
      <c r="A1330">
        <v>1324</v>
      </c>
      <c r="B1330" t="s">
        <v>29</v>
      </c>
      <c r="C1330" s="6">
        <v>1511737.409</v>
      </c>
      <c r="D1330" s="6">
        <v>693922.33400000003</v>
      </c>
      <c r="E1330" s="2" t="s">
        <v>35</v>
      </c>
      <c r="F1330" s="1">
        <v>24</v>
      </c>
      <c r="G1330" s="2" t="s">
        <v>50</v>
      </c>
      <c r="J1330"/>
      <c r="K1330" s="19"/>
      <c r="L1330" s="21"/>
      <c r="M1330" s="27"/>
      <c r="N1330" s="19"/>
      <c r="O1330" s="21"/>
      <c r="Q1330" s="7">
        <f>Table2[[#This Row],[Elevation
PILE TOP]]-Table2[[#This Row],[LENGTH(m.)
(Actual)]]</f>
        <v>0</v>
      </c>
      <c r="R1330" s="2"/>
      <c r="S1330" s="7">
        <f>Table2[[#This Row],[N]]+Table2[[#This Row],[Pile 
Deviation 
N (m)]]</f>
        <v>1511737.409</v>
      </c>
      <c r="T1330" s="7">
        <f>Table2[[#This Row],[E]]+Table2[[#This Row],[Pile 
Deviation 
E (m)]]</f>
        <v>693922.33400000003</v>
      </c>
      <c r="W1330" s="7">
        <v>0.24</v>
      </c>
      <c r="X1330" s="2" t="s">
        <v>51</v>
      </c>
    </row>
    <row r="1331" spans="1:24" ht="13.95" hidden="1" customHeight="1" x14ac:dyDescent="0.65">
      <c r="A1331">
        <v>1325</v>
      </c>
      <c r="B1331" t="s">
        <v>29</v>
      </c>
      <c r="C1331" s="6">
        <v>1511737.1629999999</v>
      </c>
      <c r="D1331" s="6">
        <v>693948.61600000004</v>
      </c>
      <c r="E1331" s="2" t="s">
        <v>35</v>
      </c>
      <c r="F1331" s="1">
        <v>24</v>
      </c>
      <c r="G1331" s="2" t="s">
        <v>50</v>
      </c>
      <c r="J1331"/>
      <c r="K1331" s="19"/>
      <c r="L1331" s="21"/>
      <c r="M1331" s="27"/>
      <c r="N1331" s="19"/>
      <c r="O1331" s="21"/>
      <c r="Q1331" s="7">
        <f>Table2[[#This Row],[Elevation
PILE TOP]]-Table2[[#This Row],[LENGTH(m.)
(Actual)]]</f>
        <v>0</v>
      </c>
      <c r="R1331" s="2"/>
      <c r="S1331" s="7">
        <f>Table2[[#This Row],[N]]+Table2[[#This Row],[Pile 
Deviation 
N (m)]]</f>
        <v>1511737.1629999999</v>
      </c>
      <c r="T1331" s="7">
        <f>Table2[[#This Row],[E]]+Table2[[#This Row],[Pile 
Deviation 
E (m)]]</f>
        <v>693948.61600000004</v>
      </c>
      <c r="W1331" s="7">
        <v>0.24</v>
      </c>
      <c r="X1331" s="2" t="s">
        <v>51</v>
      </c>
    </row>
    <row r="1332" spans="1:24" hidden="1" x14ac:dyDescent="0.65">
      <c r="A1332">
        <v>1326</v>
      </c>
      <c r="B1332" t="s">
        <v>29</v>
      </c>
      <c r="C1332" s="6">
        <v>1511736.77</v>
      </c>
      <c r="D1332" s="6">
        <v>694052.75399999996</v>
      </c>
      <c r="E1332" s="2" t="s">
        <v>35</v>
      </c>
      <c r="F1332" s="1">
        <v>24</v>
      </c>
      <c r="G1332" s="2" t="s">
        <v>50</v>
      </c>
      <c r="J1332"/>
      <c r="K1332" s="19"/>
      <c r="L1332" s="21"/>
      <c r="M1332" s="27"/>
      <c r="N1332" s="19"/>
      <c r="O1332" s="21"/>
      <c r="Q1332" s="7">
        <f>Table2[[#This Row],[Elevation
PILE TOP]]-Table2[[#This Row],[LENGTH(m.)
(Actual)]]</f>
        <v>0</v>
      </c>
      <c r="R1332" s="2"/>
      <c r="S1332" s="7">
        <f>Table2[[#This Row],[N]]+Table2[[#This Row],[Pile 
Deviation 
N (m)]]</f>
        <v>1511736.77</v>
      </c>
      <c r="T1332" s="7">
        <f>Table2[[#This Row],[E]]+Table2[[#This Row],[Pile 
Deviation 
E (m)]]</f>
        <v>694052.75399999996</v>
      </c>
      <c r="W1332" s="7">
        <v>0.24</v>
      </c>
      <c r="X1332" s="2" t="s">
        <v>51</v>
      </c>
    </row>
    <row r="1333" spans="1:24" ht="13.95" hidden="1" customHeight="1" x14ac:dyDescent="0.65">
      <c r="A1333">
        <v>1327</v>
      </c>
      <c r="B1333" t="s">
        <v>29</v>
      </c>
      <c r="C1333" s="6">
        <v>1511736.52</v>
      </c>
      <c r="D1333" s="6">
        <v>693925.71900000004</v>
      </c>
      <c r="E1333" s="2" t="s">
        <v>35</v>
      </c>
      <c r="F1333" s="1">
        <v>24</v>
      </c>
      <c r="G1333" s="2" t="s">
        <v>50</v>
      </c>
      <c r="J1333"/>
      <c r="K1333" s="19"/>
      <c r="L1333" s="21"/>
      <c r="M1333" s="27"/>
      <c r="N1333" s="19"/>
      <c r="O1333" s="21"/>
      <c r="Q1333" s="7">
        <f>Table2[[#This Row],[Elevation
PILE TOP]]-Table2[[#This Row],[LENGTH(m.)
(Actual)]]</f>
        <v>0</v>
      </c>
      <c r="R1333" s="2"/>
      <c r="S1333" s="7">
        <f>Table2[[#This Row],[N]]+Table2[[#This Row],[Pile 
Deviation 
N (m)]]</f>
        <v>1511736.52</v>
      </c>
      <c r="T1333" s="7">
        <f>Table2[[#This Row],[E]]+Table2[[#This Row],[Pile 
Deviation 
E (m)]]</f>
        <v>693925.71900000004</v>
      </c>
      <c r="W1333" s="7">
        <v>0.24</v>
      </c>
      <c r="X1333" s="2" t="s">
        <v>51</v>
      </c>
    </row>
    <row r="1334" spans="1:24" hidden="1" x14ac:dyDescent="0.65">
      <c r="A1334">
        <v>1328</v>
      </c>
      <c r="B1334" t="s">
        <v>29</v>
      </c>
      <c r="C1334" s="6">
        <v>1511736.47</v>
      </c>
      <c r="D1334" s="6">
        <v>693945.18500000006</v>
      </c>
      <c r="E1334" s="2" t="s">
        <v>35</v>
      </c>
      <c r="F1334" s="1">
        <v>24</v>
      </c>
      <c r="G1334" s="2" t="s">
        <v>50</v>
      </c>
      <c r="J1334"/>
      <c r="K1334" s="19"/>
      <c r="L1334" s="21"/>
      <c r="M1334" s="27"/>
      <c r="N1334" s="19"/>
      <c r="O1334" s="21"/>
      <c r="Q1334" s="7">
        <f>Table2[[#This Row],[Elevation
PILE TOP]]-Table2[[#This Row],[LENGTH(m.)
(Actual)]]</f>
        <v>0</v>
      </c>
      <c r="R1334" s="2"/>
      <c r="S1334" s="7">
        <f>Table2[[#This Row],[N]]+Table2[[#This Row],[Pile 
Deviation 
N (m)]]</f>
        <v>1511736.47</v>
      </c>
      <c r="T1334" s="7">
        <f>Table2[[#This Row],[E]]+Table2[[#This Row],[Pile 
Deviation 
E (m)]]</f>
        <v>693945.18500000006</v>
      </c>
      <c r="W1334" s="7">
        <v>0.24</v>
      </c>
      <c r="X1334" s="2" t="s">
        <v>51</v>
      </c>
    </row>
    <row r="1335" spans="1:24" ht="13.95" hidden="1" customHeight="1" x14ac:dyDescent="0.65">
      <c r="A1335">
        <v>1329</v>
      </c>
      <c r="B1335" t="s">
        <v>29</v>
      </c>
      <c r="C1335" s="6">
        <v>1511736.077</v>
      </c>
      <c r="D1335" s="6">
        <v>694049.32299999997</v>
      </c>
      <c r="E1335" s="2" t="s">
        <v>35</v>
      </c>
      <c r="F1335" s="1">
        <v>24</v>
      </c>
      <c r="G1335" s="2" t="s">
        <v>50</v>
      </c>
      <c r="J1335"/>
      <c r="K1335" s="19"/>
      <c r="L1335" s="21"/>
      <c r="M1335" s="27"/>
      <c r="N1335" s="19"/>
      <c r="O1335" s="21"/>
      <c r="Q1335" s="7">
        <f>Table2[[#This Row],[Elevation
PILE TOP]]-Table2[[#This Row],[LENGTH(m.)
(Actual)]]</f>
        <v>0</v>
      </c>
      <c r="R1335" s="2"/>
      <c r="S1335" s="7">
        <f>Table2[[#This Row],[N]]+Table2[[#This Row],[Pile 
Deviation 
N (m)]]</f>
        <v>1511736.077</v>
      </c>
      <c r="T1335" s="7">
        <f>Table2[[#This Row],[E]]+Table2[[#This Row],[Pile 
Deviation 
E (m)]]</f>
        <v>694049.32299999997</v>
      </c>
      <c r="W1335" s="7">
        <v>0.24</v>
      </c>
      <c r="X1335" s="2" t="s">
        <v>51</v>
      </c>
    </row>
    <row r="1336" spans="1:24" hidden="1" x14ac:dyDescent="0.65">
      <c r="A1336">
        <v>1330</v>
      </c>
      <c r="B1336" t="s">
        <v>29</v>
      </c>
      <c r="C1336" s="6">
        <v>1511735.811</v>
      </c>
      <c r="D1336" s="6">
        <v>693959.60100000002</v>
      </c>
      <c r="E1336" s="2" t="s">
        <v>35</v>
      </c>
      <c r="F1336" s="1">
        <v>24</v>
      </c>
      <c r="G1336" s="2" t="s">
        <v>50</v>
      </c>
      <c r="J1336"/>
      <c r="K1336" s="19"/>
      <c r="L1336" s="21"/>
      <c r="M1336" s="27"/>
      <c r="N1336" s="19"/>
      <c r="O1336" s="21"/>
      <c r="Q1336" s="7">
        <f>Table2[[#This Row],[Elevation
PILE TOP]]-Table2[[#This Row],[LENGTH(m.)
(Actual)]]</f>
        <v>0</v>
      </c>
      <c r="R1336" s="2"/>
      <c r="S1336" s="7">
        <f>Table2[[#This Row],[N]]+Table2[[#This Row],[Pile 
Deviation 
N (m)]]</f>
        <v>1511735.811</v>
      </c>
      <c r="T1336" s="7">
        <f>Table2[[#This Row],[E]]+Table2[[#This Row],[Pile 
Deviation 
E (m)]]</f>
        <v>693959.60100000002</v>
      </c>
      <c r="W1336" s="7">
        <v>0.24</v>
      </c>
      <c r="X1336" s="2" t="s">
        <v>51</v>
      </c>
    </row>
    <row r="1337" spans="1:24" ht="13.95" hidden="1" customHeight="1" x14ac:dyDescent="0.65">
      <c r="A1337">
        <v>1331</v>
      </c>
      <c r="B1337" t="s">
        <v>29</v>
      </c>
      <c r="C1337" s="6">
        <v>1511735.777</v>
      </c>
      <c r="D1337" s="6">
        <v>693941.75399999996</v>
      </c>
      <c r="E1337" s="2" t="s">
        <v>35</v>
      </c>
      <c r="F1337" s="1">
        <v>24</v>
      </c>
      <c r="G1337" s="2" t="s">
        <v>50</v>
      </c>
      <c r="J1337"/>
      <c r="K1337" s="19"/>
      <c r="L1337" s="21"/>
      <c r="M1337" s="27"/>
      <c r="N1337" s="19"/>
      <c r="O1337" s="21"/>
      <c r="Q1337" s="7">
        <f>Table2[[#This Row],[Elevation
PILE TOP]]-Table2[[#This Row],[LENGTH(m.)
(Actual)]]</f>
        <v>0</v>
      </c>
      <c r="R1337" s="2"/>
      <c r="S1337" s="7">
        <f>Table2[[#This Row],[N]]+Table2[[#This Row],[Pile 
Deviation 
N (m)]]</f>
        <v>1511735.777</v>
      </c>
      <c r="T1337" s="7">
        <f>Table2[[#This Row],[E]]+Table2[[#This Row],[Pile 
Deviation 
E (m)]]</f>
        <v>693941.75399999996</v>
      </c>
      <c r="W1337" s="7">
        <v>0.24</v>
      </c>
      <c r="X1337" s="2" t="s">
        <v>51</v>
      </c>
    </row>
    <row r="1338" spans="1:24" hidden="1" x14ac:dyDescent="0.65">
      <c r="A1338">
        <v>1332</v>
      </c>
      <c r="B1338" t="s">
        <v>29</v>
      </c>
      <c r="C1338" s="6">
        <v>1511735.6310000001</v>
      </c>
      <c r="D1338" s="6">
        <v>693929.10400000005</v>
      </c>
      <c r="E1338" s="2" t="s">
        <v>35</v>
      </c>
      <c r="F1338" s="1">
        <v>24</v>
      </c>
      <c r="G1338" s="2" t="s">
        <v>50</v>
      </c>
      <c r="J1338"/>
      <c r="K1338" s="19"/>
      <c r="L1338" s="21"/>
      <c r="M1338" s="27"/>
      <c r="N1338" s="19"/>
      <c r="O1338" s="21"/>
      <c r="Q1338" s="7">
        <f>Table2[[#This Row],[Elevation
PILE TOP]]-Table2[[#This Row],[LENGTH(m.)
(Actual)]]</f>
        <v>0</v>
      </c>
      <c r="R1338" s="2"/>
      <c r="S1338" s="7">
        <f>Table2[[#This Row],[N]]+Table2[[#This Row],[Pile 
Deviation 
N (m)]]</f>
        <v>1511735.6310000001</v>
      </c>
      <c r="T1338" s="7">
        <f>Table2[[#This Row],[E]]+Table2[[#This Row],[Pile 
Deviation 
E (m)]]</f>
        <v>693929.10400000005</v>
      </c>
      <c r="W1338" s="7">
        <v>0.24</v>
      </c>
      <c r="X1338" s="2" t="s">
        <v>51</v>
      </c>
    </row>
    <row r="1339" spans="1:24" ht="13.95" hidden="1" customHeight="1" x14ac:dyDescent="0.65">
      <c r="A1339">
        <v>1333</v>
      </c>
      <c r="B1339" t="s">
        <v>29</v>
      </c>
      <c r="C1339" s="6">
        <v>1511735.118</v>
      </c>
      <c r="D1339" s="6">
        <v>693956.17</v>
      </c>
      <c r="E1339" s="2" t="s">
        <v>35</v>
      </c>
      <c r="F1339" s="1">
        <v>24</v>
      </c>
      <c r="G1339" s="2" t="s">
        <v>50</v>
      </c>
      <c r="J1339"/>
      <c r="K1339" s="19"/>
      <c r="L1339" s="21"/>
      <c r="M1339" s="27"/>
      <c r="N1339" s="19"/>
      <c r="O1339" s="21"/>
      <c r="Q1339" s="7">
        <f>Table2[[#This Row],[Elevation
PILE TOP]]-Table2[[#This Row],[LENGTH(m.)
(Actual)]]</f>
        <v>0</v>
      </c>
      <c r="R1339" s="2"/>
      <c r="S1339" s="7">
        <f>Table2[[#This Row],[N]]+Table2[[#This Row],[Pile 
Deviation 
N (m)]]</f>
        <v>1511735.118</v>
      </c>
      <c r="T1339" s="7">
        <f>Table2[[#This Row],[E]]+Table2[[#This Row],[Pile 
Deviation 
E (m)]]</f>
        <v>693956.17</v>
      </c>
      <c r="W1339" s="7">
        <v>0.24</v>
      </c>
      <c r="X1339" s="2" t="s">
        <v>51</v>
      </c>
    </row>
    <row r="1340" spans="1:24" hidden="1" x14ac:dyDescent="0.65">
      <c r="A1340">
        <v>1334</v>
      </c>
      <c r="B1340" t="s">
        <v>29</v>
      </c>
      <c r="C1340" s="6">
        <v>1511735.084</v>
      </c>
      <c r="D1340" s="6">
        <v>693938.32299999997</v>
      </c>
      <c r="E1340" s="2" t="s">
        <v>35</v>
      </c>
      <c r="F1340" s="1">
        <v>24</v>
      </c>
      <c r="G1340" s="2" t="s">
        <v>50</v>
      </c>
      <c r="J1340"/>
      <c r="K1340" s="19"/>
      <c r="L1340" s="21"/>
      <c r="M1340" s="27"/>
      <c r="N1340" s="19"/>
      <c r="O1340" s="21"/>
      <c r="Q1340" s="7">
        <f>Table2[[#This Row],[Elevation
PILE TOP]]-Table2[[#This Row],[LENGTH(m.)
(Actual)]]</f>
        <v>0</v>
      </c>
      <c r="R1340" s="2"/>
      <c r="S1340" s="7">
        <f>Table2[[#This Row],[N]]+Table2[[#This Row],[Pile 
Deviation 
N (m)]]</f>
        <v>1511735.084</v>
      </c>
      <c r="T1340" s="7">
        <f>Table2[[#This Row],[E]]+Table2[[#This Row],[Pile 
Deviation 
E (m)]]</f>
        <v>693938.32299999997</v>
      </c>
      <c r="W1340" s="7">
        <v>0.24</v>
      </c>
      <c r="X1340" s="2" t="s">
        <v>51</v>
      </c>
    </row>
    <row r="1341" spans="1:24" ht="13.95" hidden="1" customHeight="1" x14ac:dyDescent="0.65">
      <c r="A1341">
        <v>1335</v>
      </c>
      <c r="B1341" t="s">
        <v>29</v>
      </c>
      <c r="C1341" s="6">
        <v>1511734.7409999999</v>
      </c>
      <c r="D1341" s="6">
        <v>693932.48899999994</v>
      </c>
      <c r="E1341" s="2" t="s">
        <v>35</v>
      </c>
      <c r="F1341" s="1">
        <v>24</v>
      </c>
      <c r="G1341" s="2" t="s">
        <v>50</v>
      </c>
      <c r="J1341"/>
      <c r="K1341" s="19"/>
      <c r="L1341" s="21"/>
      <c r="M1341" s="27"/>
      <c r="N1341" s="19"/>
      <c r="O1341" s="21"/>
      <c r="Q1341" s="7">
        <f>Table2[[#This Row],[Elevation
PILE TOP]]-Table2[[#This Row],[LENGTH(m.)
(Actual)]]</f>
        <v>0</v>
      </c>
      <c r="R1341" s="2"/>
      <c r="S1341" s="7">
        <f>Table2[[#This Row],[N]]+Table2[[#This Row],[Pile 
Deviation 
N (m)]]</f>
        <v>1511734.7409999999</v>
      </c>
      <c r="T1341" s="7">
        <f>Table2[[#This Row],[E]]+Table2[[#This Row],[Pile 
Deviation 
E (m)]]</f>
        <v>693932.48899999994</v>
      </c>
      <c r="W1341" s="7">
        <v>0.24</v>
      </c>
      <c r="X1341" s="2" t="s">
        <v>51</v>
      </c>
    </row>
    <row r="1342" spans="1:24" hidden="1" x14ac:dyDescent="0.65">
      <c r="A1342">
        <v>1336</v>
      </c>
      <c r="B1342" t="s">
        <v>29</v>
      </c>
      <c r="C1342" s="6">
        <v>1511734.7250000001</v>
      </c>
      <c r="D1342" s="6">
        <v>694060.30900000001</v>
      </c>
      <c r="E1342" s="2" t="s">
        <v>35</v>
      </c>
      <c r="F1342" s="1">
        <v>24</v>
      </c>
      <c r="G1342" s="2" t="s">
        <v>50</v>
      </c>
      <c r="J1342"/>
      <c r="K1342" s="19"/>
      <c r="L1342" s="21"/>
      <c r="M1342" s="27"/>
      <c r="N1342" s="19"/>
      <c r="O1342" s="21"/>
      <c r="Q1342" s="7">
        <f>Table2[[#This Row],[Elevation
PILE TOP]]-Table2[[#This Row],[LENGTH(m.)
(Actual)]]</f>
        <v>0</v>
      </c>
      <c r="R1342" s="2"/>
      <c r="S1342" s="7">
        <f>Table2[[#This Row],[N]]+Table2[[#This Row],[Pile 
Deviation 
N (m)]]</f>
        <v>1511734.7250000001</v>
      </c>
      <c r="T1342" s="7">
        <f>Table2[[#This Row],[E]]+Table2[[#This Row],[Pile 
Deviation 
E (m)]]</f>
        <v>694060.30900000001</v>
      </c>
      <c r="W1342" s="7">
        <v>0.24</v>
      </c>
      <c r="X1342" s="2" t="s">
        <v>51</v>
      </c>
    </row>
    <row r="1343" spans="1:24" ht="13.95" hidden="1" customHeight="1" x14ac:dyDescent="0.65">
      <c r="A1343">
        <v>1337</v>
      </c>
      <c r="B1343" t="s">
        <v>29</v>
      </c>
      <c r="C1343" s="6">
        <v>1511734.61</v>
      </c>
      <c r="D1343" s="6">
        <v>693935.97600000002</v>
      </c>
      <c r="E1343" s="2" t="s">
        <v>35</v>
      </c>
      <c r="F1343" s="1">
        <v>24</v>
      </c>
      <c r="G1343" s="2" t="s">
        <v>50</v>
      </c>
      <c r="J1343"/>
      <c r="K1343" s="19"/>
      <c r="L1343" s="21"/>
      <c r="M1343" s="27"/>
      <c r="N1343" s="19"/>
      <c r="O1343" s="21"/>
      <c r="Q1343" s="7">
        <f>Table2[[#This Row],[Elevation
PILE TOP]]-Table2[[#This Row],[LENGTH(m.)
(Actual)]]</f>
        <v>0</v>
      </c>
      <c r="R1343" s="2"/>
      <c r="S1343" s="7">
        <f>Table2[[#This Row],[N]]+Table2[[#This Row],[Pile 
Deviation 
N (m)]]</f>
        <v>1511734.61</v>
      </c>
      <c r="T1343" s="7">
        <f>Table2[[#This Row],[E]]+Table2[[#This Row],[Pile 
Deviation 
E (m)]]</f>
        <v>693935.97600000002</v>
      </c>
      <c r="W1343" s="7">
        <v>0.24</v>
      </c>
      <c r="X1343" s="2" t="s">
        <v>51</v>
      </c>
    </row>
    <row r="1344" spans="1:24" hidden="1" x14ac:dyDescent="0.65">
      <c r="A1344">
        <v>1338</v>
      </c>
      <c r="B1344" t="s">
        <v>29</v>
      </c>
      <c r="C1344" s="6">
        <v>1511734.425</v>
      </c>
      <c r="D1344" s="6">
        <v>693952.73899999994</v>
      </c>
      <c r="E1344" s="2" t="s">
        <v>35</v>
      </c>
      <c r="F1344" s="1">
        <v>24</v>
      </c>
      <c r="G1344" s="2" t="s">
        <v>50</v>
      </c>
      <c r="J1344"/>
      <c r="K1344" s="19"/>
      <c r="L1344" s="21"/>
      <c r="M1344" s="27"/>
      <c r="N1344" s="19"/>
      <c r="O1344" s="21"/>
      <c r="Q1344" s="7">
        <f>Table2[[#This Row],[Elevation
PILE TOP]]-Table2[[#This Row],[LENGTH(m.)
(Actual)]]</f>
        <v>0</v>
      </c>
      <c r="R1344" s="2"/>
      <c r="S1344" s="7">
        <f>Table2[[#This Row],[N]]+Table2[[#This Row],[Pile 
Deviation 
N (m)]]</f>
        <v>1511734.425</v>
      </c>
      <c r="T1344" s="7">
        <f>Table2[[#This Row],[E]]+Table2[[#This Row],[Pile 
Deviation 
E (m)]]</f>
        <v>693952.73899999994</v>
      </c>
      <c r="W1344" s="7">
        <v>0.24</v>
      </c>
      <c r="X1344" s="2" t="s">
        <v>51</v>
      </c>
    </row>
    <row r="1345" spans="1:24" ht="13.95" hidden="1" customHeight="1" x14ac:dyDescent="0.65">
      <c r="A1345">
        <v>1339</v>
      </c>
      <c r="B1345" t="s">
        <v>29</v>
      </c>
      <c r="C1345" s="6">
        <v>1511734.34</v>
      </c>
      <c r="D1345" s="6">
        <v>693920.24199999997</v>
      </c>
      <c r="E1345" s="2" t="s">
        <v>35</v>
      </c>
      <c r="F1345" s="1">
        <v>24</v>
      </c>
      <c r="G1345" s="2" t="s">
        <v>50</v>
      </c>
      <c r="J1345"/>
      <c r="K1345" s="19"/>
      <c r="L1345" s="21"/>
      <c r="M1345" s="27"/>
      <c r="N1345" s="19"/>
      <c r="O1345" s="21"/>
      <c r="Q1345" s="7">
        <f>Table2[[#This Row],[Elevation
PILE TOP]]-Table2[[#This Row],[LENGTH(m.)
(Actual)]]</f>
        <v>0</v>
      </c>
      <c r="R1345" s="2"/>
      <c r="S1345" s="7">
        <f>Table2[[#This Row],[N]]+Table2[[#This Row],[Pile 
Deviation 
N (m)]]</f>
        <v>1511734.34</v>
      </c>
      <c r="T1345" s="7">
        <f>Table2[[#This Row],[E]]+Table2[[#This Row],[Pile 
Deviation 
E (m)]]</f>
        <v>693920.24199999997</v>
      </c>
      <c r="W1345" s="7">
        <v>0.24</v>
      </c>
      <c r="X1345" s="2" t="s">
        <v>51</v>
      </c>
    </row>
    <row r="1346" spans="1:24" hidden="1" x14ac:dyDescent="0.65">
      <c r="A1346">
        <v>1340</v>
      </c>
      <c r="B1346" t="s">
        <v>29</v>
      </c>
      <c r="C1346" s="6">
        <v>1511734.0319999999</v>
      </c>
      <c r="D1346" s="6">
        <v>694056.87800000003</v>
      </c>
      <c r="E1346" s="2" t="s">
        <v>35</v>
      </c>
      <c r="F1346" s="1">
        <v>24</v>
      </c>
      <c r="G1346" s="2" t="s">
        <v>50</v>
      </c>
      <c r="J1346"/>
      <c r="K1346" s="19"/>
      <c r="L1346" s="21"/>
      <c r="M1346" s="27"/>
      <c r="N1346" s="19"/>
      <c r="O1346" s="21"/>
      <c r="Q1346" s="7">
        <f>Table2[[#This Row],[Elevation
PILE TOP]]-Table2[[#This Row],[LENGTH(m.)
(Actual)]]</f>
        <v>0</v>
      </c>
      <c r="R1346" s="2"/>
      <c r="S1346" s="7">
        <f>Table2[[#This Row],[N]]+Table2[[#This Row],[Pile 
Deviation 
N (m)]]</f>
        <v>1511734.0319999999</v>
      </c>
      <c r="T1346" s="7">
        <f>Table2[[#This Row],[E]]+Table2[[#This Row],[Pile 
Deviation 
E (m)]]</f>
        <v>694056.87800000003</v>
      </c>
      <c r="W1346" s="7">
        <v>0.24</v>
      </c>
      <c r="X1346" s="2" t="s">
        <v>51</v>
      </c>
    </row>
    <row r="1347" spans="1:24" ht="13.95" hidden="1" customHeight="1" x14ac:dyDescent="0.65">
      <c r="A1347">
        <v>1341</v>
      </c>
      <c r="B1347" t="s">
        <v>29</v>
      </c>
      <c r="C1347" s="6">
        <v>1511734.024</v>
      </c>
      <c r="D1347" s="6">
        <v>693921.44499999995</v>
      </c>
      <c r="E1347" s="2" t="s">
        <v>35</v>
      </c>
      <c r="F1347" s="1">
        <v>24</v>
      </c>
      <c r="G1347" s="2" t="s">
        <v>50</v>
      </c>
      <c r="J1347"/>
      <c r="K1347" s="19"/>
      <c r="L1347" s="21"/>
      <c r="M1347" s="27"/>
      <c r="N1347" s="19"/>
      <c r="O1347" s="21"/>
      <c r="Q1347" s="7">
        <f>Table2[[#This Row],[Elevation
PILE TOP]]-Table2[[#This Row],[LENGTH(m.)
(Actual)]]</f>
        <v>0</v>
      </c>
      <c r="R1347" s="2"/>
      <c r="S1347" s="7">
        <f>Table2[[#This Row],[N]]+Table2[[#This Row],[Pile 
Deviation 
N (m)]]</f>
        <v>1511734.024</v>
      </c>
      <c r="T1347" s="7">
        <f>Table2[[#This Row],[E]]+Table2[[#This Row],[Pile 
Deviation 
E (m)]]</f>
        <v>693921.44499999995</v>
      </c>
      <c r="W1347" s="7">
        <v>0.24</v>
      </c>
      <c r="X1347" s="2" t="s">
        <v>51</v>
      </c>
    </row>
    <row r="1348" spans="1:24" hidden="1" x14ac:dyDescent="0.65">
      <c r="A1348">
        <v>1342</v>
      </c>
      <c r="B1348" t="s">
        <v>29</v>
      </c>
      <c r="C1348" s="6">
        <v>1511733.7320000001</v>
      </c>
      <c r="D1348" s="6">
        <v>693949.30799999996</v>
      </c>
      <c r="E1348" s="2" t="s">
        <v>35</v>
      </c>
      <c r="F1348" s="1">
        <v>24</v>
      </c>
      <c r="G1348" s="2" t="s">
        <v>50</v>
      </c>
      <c r="J1348"/>
      <c r="K1348" s="19"/>
      <c r="L1348" s="21"/>
      <c r="M1348" s="27"/>
      <c r="N1348" s="19"/>
      <c r="O1348" s="21"/>
      <c r="Q1348" s="7">
        <f>Table2[[#This Row],[Elevation
PILE TOP]]-Table2[[#This Row],[LENGTH(m.)
(Actual)]]</f>
        <v>0</v>
      </c>
      <c r="R1348" s="2"/>
      <c r="S1348" s="7">
        <f>Table2[[#This Row],[N]]+Table2[[#This Row],[Pile 
Deviation 
N (m)]]</f>
        <v>1511733.7320000001</v>
      </c>
      <c r="T1348" s="7">
        <f>Table2[[#This Row],[E]]+Table2[[#This Row],[Pile 
Deviation 
E (m)]]</f>
        <v>693949.30799999996</v>
      </c>
      <c r="W1348" s="7">
        <v>0.24</v>
      </c>
      <c r="X1348" s="2" t="s">
        <v>51</v>
      </c>
    </row>
    <row r="1349" spans="1:24" ht="13.95" hidden="1" customHeight="1" x14ac:dyDescent="0.65">
      <c r="A1349">
        <v>1343</v>
      </c>
      <c r="B1349" t="s">
        <v>29</v>
      </c>
      <c r="C1349" s="6">
        <v>1511733.3389999999</v>
      </c>
      <c r="D1349" s="6">
        <v>694053.44700000004</v>
      </c>
      <c r="E1349" s="2" t="s">
        <v>35</v>
      </c>
      <c r="F1349" s="1">
        <v>24</v>
      </c>
      <c r="G1349" s="2" t="s">
        <v>50</v>
      </c>
      <c r="J1349"/>
      <c r="K1349" s="19"/>
      <c r="L1349" s="21"/>
      <c r="M1349" s="27"/>
      <c r="N1349" s="19"/>
      <c r="O1349" s="21"/>
      <c r="Q1349" s="7">
        <f>Table2[[#This Row],[Elevation
PILE TOP]]-Table2[[#This Row],[LENGTH(m.)
(Actual)]]</f>
        <v>0</v>
      </c>
      <c r="R1349" s="2"/>
      <c r="S1349" s="7">
        <f>Table2[[#This Row],[N]]+Table2[[#This Row],[Pile 
Deviation 
N (m)]]</f>
        <v>1511733.3389999999</v>
      </c>
      <c r="T1349" s="7">
        <f>Table2[[#This Row],[E]]+Table2[[#This Row],[Pile 
Deviation 
E (m)]]</f>
        <v>694053.44700000004</v>
      </c>
      <c r="W1349" s="7">
        <v>0.24</v>
      </c>
      <c r="X1349" s="2" t="s">
        <v>51</v>
      </c>
    </row>
    <row r="1350" spans="1:24" hidden="1" x14ac:dyDescent="0.65">
      <c r="A1350">
        <v>1344</v>
      </c>
      <c r="B1350" t="s">
        <v>29</v>
      </c>
      <c r="C1350" s="6">
        <v>1511733.135</v>
      </c>
      <c r="D1350" s="6">
        <v>693924.83</v>
      </c>
      <c r="E1350" s="2" t="s">
        <v>35</v>
      </c>
      <c r="F1350" s="1">
        <v>24</v>
      </c>
      <c r="G1350" s="2" t="s">
        <v>50</v>
      </c>
      <c r="J1350"/>
      <c r="K1350" s="19"/>
      <c r="L1350" s="21"/>
      <c r="M1350" s="27"/>
      <c r="N1350" s="19"/>
      <c r="O1350" s="21"/>
      <c r="Q1350" s="7">
        <f>Table2[[#This Row],[Elevation
PILE TOP]]-Table2[[#This Row],[LENGTH(m.)
(Actual)]]</f>
        <v>0</v>
      </c>
      <c r="R1350" s="2"/>
      <c r="S1350" s="7">
        <f>Table2[[#This Row],[N]]+Table2[[#This Row],[Pile 
Deviation 
N (m)]]</f>
        <v>1511733.135</v>
      </c>
      <c r="T1350" s="7">
        <f>Table2[[#This Row],[E]]+Table2[[#This Row],[Pile 
Deviation 
E (m)]]</f>
        <v>693924.83</v>
      </c>
      <c r="W1350" s="7">
        <v>0.24</v>
      </c>
      <c r="X1350" s="2" t="s">
        <v>51</v>
      </c>
    </row>
    <row r="1351" spans="1:24" ht="13.95" hidden="1" customHeight="1" x14ac:dyDescent="0.65">
      <c r="A1351">
        <v>1345</v>
      </c>
      <c r="B1351" t="s">
        <v>29</v>
      </c>
      <c r="C1351" s="6">
        <v>1511733.0390000001</v>
      </c>
      <c r="D1351" s="6">
        <v>693945.87800000003</v>
      </c>
      <c r="E1351" s="2" t="s">
        <v>35</v>
      </c>
      <c r="F1351" s="1">
        <v>24</v>
      </c>
      <c r="G1351" s="2" t="s">
        <v>50</v>
      </c>
      <c r="J1351"/>
      <c r="K1351" s="19"/>
      <c r="L1351" s="21"/>
      <c r="M1351" s="27"/>
      <c r="N1351" s="19"/>
      <c r="O1351" s="21"/>
      <c r="Q1351" s="7">
        <f>Table2[[#This Row],[Elevation
PILE TOP]]-Table2[[#This Row],[LENGTH(m.)
(Actual)]]</f>
        <v>0</v>
      </c>
      <c r="R1351" s="2"/>
      <c r="S1351" s="7">
        <f>Table2[[#This Row],[N]]+Table2[[#This Row],[Pile 
Deviation 
N (m)]]</f>
        <v>1511733.0390000001</v>
      </c>
      <c r="T1351" s="7">
        <f>Table2[[#This Row],[E]]+Table2[[#This Row],[Pile 
Deviation 
E (m)]]</f>
        <v>693945.87800000003</v>
      </c>
      <c r="W1351" s="7">
        <v>0.24</v>
      </c>
      <c r="X1351" s="2" t="s">
        <v>51</v>
      </c>
    </row>
    <row r="1352" spans="1:24" hidden="1" x14ac:dyDescent="0.65">
      <c r="A1352">
        <v>1346</v>
      </c>
      <c r="B1352" t="s">
        <v>29</v>
      </c>
      <c r="C1352" s="6">
        <v>1511732.6459999999</v>
      </c>
      <c r="D1352" s="6">
        <v>694050.01599999995</v>
      </c>
      <c r="E1352" s="2" t="s">
        <v>35</v>
      </c>
      <c r="F1352" s="1">
        <v>24</v>
      </c>
      <c r="G1352" s="2" t="s">
        <v>50</v>
      </c>
      <c r="J1352"/>
      <c r="K1352" s="19"/>
      <c r="L1352" s="21"/>
      <c r="M1352" s="27"/>
      <c r="N1352" s="19"/>
      <c r="O1352" s="21"/>
      <c r="Q1352" s="7">
        <f>Table2[[#This Row],[Elevation
PILE TOP]]-Table2[[#This Row],[LENGTH(m.)
(Actual)]]</f>
        <v>0</v>
      </c>
      <c r="R1352" s="2"/>
      <c r="S1352" s="7">
        <f>Table2[[#This Row],[N]]+Table2[[#This Row],[Pile 
Deviation 
N (m)]]</f>
        <v>1511732.6459999999</v>
      </c>
      <c r="T1352" s="7">
        <f>Table2[[#This Row],[E]]+Table2[[#This Row],[Pile 
Deviation 
E (m)]]</f>
        <v>694050.01599999995</v>
      </c>
      <c r="W1352" s="7">
        <v>0.24</v>
      </c>
      <c r="X1352" s="2" t="s">
        <v>51</v>
      </c>
    </row>
    <row r="1353" spans="1:24" ht="13.95" hidden="1" customHeight="1" x14ac:dyDescent="0.65">
      <c r="A1353">
        <v>1347</v>
      </c>
      <c r="B1353" t="s">
        <v>29</v>
      </c>
      <c r="C1353" s="6">
        <v>1511732.38</v>
      </c>
      <c r="D1353" s="6">
        <v>693960.29299999995</v>
      </c>
      <c r="E1353" s="2" t="s">
        <v>35</v>
      </c>
      <c r="F1353" s="1">
        <v>24</v>
      </c>
      <c r="G1353" s="2" t="s">
        <v>50</v>
      </c>
      <c r="J1353"/>
      <c r="K1353" s="19"/>
      <c r="L1353" s="21"/>
      <c r="M1353" s="27"/>
      <c r="N1353" s="19"/>
      <c r="O1353" s="21"/>
      <c r="Q1353" s="7">
        <f>Table2[[#This Row],[Elevation
PILE TOP]]-Table2[[#This Row],[LENGTH(m.)
(Actual)]]</f>
        <v>0</v>
      </c>
      <c r="R1353" s="2"/>
      <c r="S1353" s="7">
        <f>Table2[[#This Row],[N]]+Table2[[#This Row],[Pile 
Deviation 
N (m)]]</f>
        <v>1511732.38</v>
      </c>
      <c r="T1353" s="7">
        <f>Table2[[#This Row],[E]]+Table2[[#This Row],[Pile 
Deviation 
E (m)]]</f>
        <v>693960.29299999995</v>
      </c>
      <c r="W1353" s="7">
        <v>0.24</v>
      </c>
      <c r="X1353" s="2" t="s">
        <v>51</v>
      </c>
    </row>
    <row r="1354" spans="1:24" hidden="1" x14ac:dyDescent="0.65">
      <c r="A1354">
        <v>1348</v>
      </c>
      <c r="B1354" t="s">
        <v>29</v>
      </c>
      <c r="C1354" s="6">
        <v>1511732.3459999999</v>
      </c>
      <c r="D1354" s="6">
        <v>693942.44700000004</v>
      </c>
      <c r="E1354" s="2" t="s">
        <v>35</v>
      </c>
      <c r="F1354" s="1">
        <v>24</v>
      </c>
      <c r="G1354" s="2" t="s">
        <v>50</v>
      </c>
      <c r="J1354"/>
      <c r="K1354" s="19"/>
      <c r="L1354" s="21"/>
      <c r="M1354" s="27"/>
      <c r="N1354" s="19"/>
      <c r="O1354" s="21"/>
      <c r="Q1354" s="7">
        <f>Table2[[#This Row],[Elevation
PILE TOP]]-Table2[[#This Row],[LENGTH(m.)
(Actual)]]</f>
        <v>0</v>
      </c>
      <c r="R1354" s="2"/>
      <c r="S1354" s="7">
        <f>Table2[[#This Row],[N]]+Table2[[#This Row],[Pile 
Deviation 
N (m)]]</f>
        <v>1511732.3459999999</v>
      </c>
      <c r="T1354" s="7">
        <f>Table2[[#This Row],[E]]+Table2[[#This Row],[Pile 
Deviation 
E (m)]]</f>
        <v>693942.44700000004</v>
      </c>
      <c r="W1354" s="7">
        <v>0.24</v>
      </c>
      <c r="X1354" s="2" t="s">
        <v>51</v>
      </c>
    </row>
    <row r="1355" spans="1:24" ht="13.95" hidden="1" customHeight="1" x14ac:dyDescent="0.65">
      <c r="A1355">
        <v>1349</v>
      </c>
      <c r="B1355" t="s">
        <v>29</v>
      </c>
      <c r="C1355" s="6">
        <v>1511732.2450000001</v>
      </c>
      <c r="D1355" s="6">
        <v>693928.21499999997</v>
      </c>
      <c r="E1355" s="2" t="s">
        <v>35</v>
      </c>
      <c r="F1355" s="1">
        <v>24</v>
      </c>
      <c r="G1355" s="2" t="s">
        <v>50</v>
      </c>
      <c r="J1355"/>
      <c r="K1355" s="19"/>
      <c r="L1355" s="21"/>
      <c r="M1355" s="27"/>
      <c r="N1355" s="19"/>
      <c r="O1355" s="21"/>
      <c r="Q1355" s="7">
        <f>Table2[[#This Row],[Elevation
PILE TOP]]-Table2[[#This Row],[LENGTH(m.)
(Actual)]]</f>
        <v>0</v>
      </c>
      <c r="R1355" s="2"/>
      <c r="S1355" s="7">
        <f>Table2[[#This Row],[N]]+Table2[[#This Row],[Pile 
Deviation 
N (m)]]</f>
        <v>1511732.2450000001</v>
      </c>
      <c r="T1355" s="7">
        <f>Table2[[#This Row],[E]]+Table2[[#This Row],[Pile 
Deviation 
E (m)]]</f>
        <v>693928.21499999997</v>
      </c>
      <c r="W1355" s="7">
        <v>0.24</v>
      </c>
      <c r="X1355" s="2" t="s">
        <v>51</v>
      </c>
    </row>
    <row r="1356" spans="1:24" hidden="1" x14ac:dyDescent="0.65">
      <c r="A1356">
        <v>1350</v>
      </c>
      <c r="B1356" t="s">
        <v>29</v>
      </c>
      <c r="C1356" s="6">
        <v>1511731.6869999999</v>
      </c>
      <c r="D1356" s="6">
        <v>693956.86300000001</v>
      </c>
      <c r="E1356" s="2" t="s">
        <v>35</v>
      </c>
      <c r="F1356" s="1">
        <v>24</v>
      </c>
      <c r="G1356" s="2" t="s">
        <v>50</v>
      </c>
      <c r="J1356"/>
      <c r="K1356" s="19"/>
      <c r="L1356" s="21"/>
      <c r="M1356" s="27"/>
      <c r="N1356" s="19"/>
      <c r="O1356" s="21"/>
      <c r="Q1356" s="7">
        <f>Table2[[#This Row],[Elevation
PILE TOP]]-Table2[[#This Row],[LENGTH(m.)
(Actual)]]</f>
        <v>0</v>
      </c>
      <c r="R1356" s="2"/>
      <c r="S1356" s="7">
        <f>Table2[[#This Row],[N]]+Table2[[#This Row],[Pile 
Deviation 
N (m)]]</f>
        <v>1511731.6869999999</v>
      </c>
      <c r="T1356" s="7">
        <f>Table2[[#This Row],[E]]+Table2[[#This Row],[Pile 
Deviation 
E (m)]]</f>
        <v>693956.86300000001</v>
      </c>
      <c r="W1356" s="7">
        <v>0.24</v>
      </c>
      <c r="X1356" s="2" t="s">
        <v>51</v>
      </c>
    </row>
    <row r="1357" spans="1:24" ht="13.95" hidden="1" customHeight="1" x14ac:dyDescent="0.65">
      <c r="A1357">
        <v>1351</v>
      </c>
      <c r="B1357" t="s">
        <v>29</v>
      </c>
      <c r="C1357" s="6">
        <v>1511731.6540000001</v>
      </c>
      <c r="D1357" s="6">
        <v>693939.01599999995</v>
      </c>
      <c r="E1357" s="2" t="s">
        <v>35</v>
      </c>
      <c r="F1357" s="1">
        <v>24</v>
      </c>
      <c r="G1357" s="2" t="s">
        <v>50</v>
      </c>
      <c r="J1357"/>
      <c r="K1357" s="19"/>
      <c r="L1357" s="21"/>
      <c r="M1357" s="27"/>
      <c r="N1357" s="19"/>
      <c r="O1357" s="21"/>
      <c r="Q1357" s="7">
        <f>Table2[[#This Row],[Elevation
PILE TOP]]-Table2[[#This Row],[LENGTH(m.)
(Actual)]]</f>
        <v>0</v>
      </c>
      <c r="R1357" s="2"/>
      <c r="S1357" s="7">
        <f>Table2[[#This Row],[N]]+Table2[[#This Row],[Pile 
Deviation 
N (m)]]</f>
        <v>1511731.6540000001</v>
      </c>
      <c r="T1357" s="7">
        <f>Table2[[#This Row],[E]]+Table2[[#This Row],[Pile 
Deviation 
E (m)]]</f>
        <v>693939.01599999995</v>
      </c>
      <c r="W1357" s="7">
        <v>0.24</v>
      </c>
      <c r="X1357" s="2" t="s">
        <v>51</v>
      </c>
    </row>
    <row r="1358" spans="1:24" hidden="1" x14ac:dyDescent="0.65">
      <c r="A1358">
        <v>1352</v>
      </c>
      <c r="B1358" t="s">
        <v>29</v>
      </c>
      <c r="C1358" s="6">
        <v>1511731.3559999999</v>
      </c>
      <c r="D1358" s="6">
        <v>693931.6</v>
      </c>
      <c r="E1358" s="2" t="s">
        <v>35</v>
      </c>
      <c r="F1358" s="1">
        <v>24</v>
      </c>
      <c r="G1358" s="2" t="s">
        <v>50</v>
      </c>
      <c r="J1358"/>
      <c r="K1358" s="19"/>
      <c r="L1358" s="21"/>
      <c r="M1358" s="27"/>
      <c r="N1358" s="19"/>
      <c r="O1358" s="21"/>
      <c r="Q1358" s="7">
        <f>Table2[[#This Row],[Elevation
PILE TOP]]-Table2[[#This Row],[LENGTH(m.)
(Actual)]]</f>
        <v>0</v>
      </c>
      <c r="R1358" s="2"/>
      <c r="S1358" s="7">
        <f>Table2[[#This Row],[N]]+Table2[[#This Row],[Pile 
Deviation 
N (m)]]</f>
        <v>1511731.3559999999</v>
      </c>
      <c r="T1358" s="7">
        <f>Table2[[#This Row],[E]]+Table2[[#This Row],[Pile 
Deviation 
E (m)]]</f>
        <v>693931.6</v>
      </c>
      <c r="W1358" s="7">
        <v>0.24</v>
      </c>
      <c r="X1358" s="2" t="s">
        <v>51</v>
      </c>
    </row>
    <row r="1359" spans="1:24" ht="13.95" hidden="1" customHeight="1" x14ac:dyDescent="0.65">
      <c r="A1359">
        <v>1353</v>
      </c>
      <c r="B1359" t="s">
        <v>29</v>
      </c>
      <c r="C1359" s="6">
        <v>1511731.1410000001</v>
      </c>
      <c r="D1359" s="6">
        <v>694060.24300000002</v>
      </c>
      <c r="E1359" s="2" t="s">
        <v>35</v>
      </c>
      <c r="F1359" s="1">
        <v>24</v>
      </c>
      <c r="G1359" s="2" t="s">
        <v>50</v>
      </c>
      <c r="J1359"/>
      <c r="K1359" s="19"/>
      <c r="L1359" s="21"/>
      <c r="M1359" s="27"/>
      <c r="N1359" s="19"/>
      <c r="O1359" s="21"/>
      <c r="Q1359" s="7">
        <f>Table2[[#This Row],[Elevation
PILE TOP]]-Table2[[#This Row],[LENGTH(m.)
(Actual)]]</f>
        <v>0</v>
      </c>
      <c r="R1359" s="2"/>
      <c r="S1359" s="7">
        <f>Table2[[#This Row],[N]]+Table2[[#This Row],[Pile 
Deviation 
N (m)]]</f>
        <v>1511731.1410000001</v>
      </c>
      <c r="T1359" s="7">
        <f>Table2[[#This Row],[E]]+Table2[[#This Row],[Pile 
Deviation 
E (m)]]</f>
        <v>694060.24300000002</v>
      </c>
      <c r="W1359" s="7">
        <v>0.24</v>
      </c>
      <c r="X1359" s="2" t="s">
        <v>51</v>
      </c>
    </row>
    <row r="1360" spans="1:24" hidden="1" x14ac:dyDescent="0.65">
      <c r="A1360">
        <v>1354</v>
      </c>
      <c r="B1360" t="s">
        <v>29</v>
      </c>
      <c r="C1360" s="6">
        <v>1511730.9939999999</v>
      </c>
      <c r="D1360" s="6">
        <v>693953.43200000003</v>
      </c>
      <c r="E1360" s="2" t="s">
        <v>35</v>
      </c>
      <c r="F1360" s="1">
        <v>24</v>
      </c>
      <c r="G1360" s="2" t="s">
        <v>50</v>
      </c>
      <c r="J1360"/>
      <c r="K1360" s="19"/>
      <c r="L1360" s="21"/>
      <c r="M1360" s="27"/>
      <c r="N1360" s="19"/>
      <c r="O1360" s="21"/>
      <c r="Q1360" s="7">
        <f>Table2[[#This Row],[Elevation
PILE TOP]]-Table2[[#This Row],[LENGTH(m.)
(Actual)]]</f>
        <v>0</v>
      </c>
      <c r="R1360" s="2"/>
      <c r="S1360" s="7">
        <f>Table2[[#This Row],[N]]+Table2[[#This Row],[Pile 
Deviation 
N (m)]]</f>
        <v>1511730.9939999999</v>
      </c>
      <c r="T1360" s="7">
        <f>Table2[[#This Row],[E]]+Table2[[#This Row],[Pile 
Deviation 
E (m)]]</f>
        <v>693953.43200000003</v>
      </c>
      <c r="W1360" s="7">
        <v>0.24</v>
      </c>
      <c r="X1360" s="2" t="s">
        <v>51</v>
      </c>
    </row>
    <row r="1361" spans="1:24" ht="13.95" hidden="1" customHeight="1" x14ac:dyDescent="0.65">
      <c r="A1361">
        <v>1355</v>
      </c>
      <c r="B1361" t="s">
        <v>29</v>
      </c>
      <c r="C1361" s="6">
        <v>1511730.9939999999</v>
      </c>
      <c r="D1361" s="6">
        <v>693935.74800000002</v>
      </c>
      <c r="E1361" s="2" t="s">
        <v>35</v>
      </c>
      <c r="F1361" s="1">
        <v>24</v>
      </c>
      <c r="G1361" s="2" t="s">
        <v>50</v>
      </c>
      <c r="J1361"/>
      <c r="K1361" s="19"/>
      <c r="L1361" s="21"/>
      <c r="M1361" s="27"/>
      <c r="N1361" s="19"/>
      <c r="O1361" s="21"/>
      <c r="Q1361" s="7">
        <f>Table2[[#This Row],[Elevation
PILE TOP]]-Table2[[#This Row],[LENGTH(m.)
(Actual)]]</f>
        <v>0</v>
      </c>
      <c r="R1361" s="2"/>
      <c r="S1361" s="7">
        <f>Table2[[#This Row],[N]]+Table2[[#This Row],[Pile 
Deviation 
N (m)]]</f>
        <v>1511730.9939999999</v>
      </c>
      <c r="T1361" s="7">
        <f>Table2[[#This Row],[E]]+Table2[[#This Row],[Pile 
Deviation 
E (m)]]</f>
        <v>693935.74800000002</v>
      </c>
      <c r="W1361" s="7">
        <v>0.24</v>
      </c>
      <c r="X1361" s="2" t="s">
        <v>51</v>
      </c>
    </row>
    <row r="1362" spans="1:24" hidden="1" x14ac:dyDescent="0.65">
      <c r="A1362">
        <v>1356</v>
      </c>
      <c r="B1362" t="s">
        <v>29</v>
      </c>
      <c r="C1362" s="6">
        <v>1511730.7450000001</v>
      </c>
      <c r="D1362" s="6">
        <v>693933.929</v>
      </c>
      <c r="E1362" s="2" t="s">
        <v>35</v>
      </c>
      <c r="F1362" s="1">
        <v>24</v>
      </c>
      <c r="G1362" s="2" t="s">
        <v>50</v>
      </c>
      <c r="J1362"/>
      <c r="K1362" s="19"/>
      <c r="L1362" s="21"/>
      <c r="M1362" s="27"/>
      <c r="N1362" s="19"/>
      <c r="O1362" s="21"/>
      <c r="Q1362" s="7">
        <f>Table2[[#This Row],[Elevation
PILE TOP]]-Table2[[#This Row],[LENGTH(m.)
(Actual)]]</f>
        <v>0</v>
      </c>
      <c r="R1362" s="2"/>
      <c r="S1362" s="7">
        <f>Table2[[#This Row],[N]]+Table2[[#This Row],[Pile 
Deviation 
N (m)]]</f>
        <v>1511730.7450000001</v>
      </c>
      <c r="T1362" s="7">
        <f>Table2[[#This Row],[E]]+Table2[[#This Row],[Pile 
Deviation 
E (m)]]</f>
        <v>693933.929</v>
      </c>
      <c r="W1362" s="7">
        <v>0.24</v>
      </c>
      <c r="X1362" s="2" t="s">
        <v>51</v>
      </c>
    </row>
    <row r="1363" spans="1:24" ht="13.95" hidden="1" customHeight="1" x14ac:dyDescent="0.65">
      <c r="A1363">
        <v>1357</v>
      </c>
      <c r="B1363" t="s">
        <v>29</v>
      </c>
      <c r="C1363" s="6">
        <v>1511730.639</v>
      </c>
      <c r="D1363" s="6">
        <v>693920.55599999998</v>
      </c>
      <c r="E1363" s="2" t="s">
        <v>35</v>
      </c>
      <c r="F1363" s="1">
        <v>24</v>
      </c>
      <c r="G1363" s="2" t="s">
        <v>50</v>
      </c>
      <c r="J1363"/>
      <c r="K1363" s="19"/>
      <c r="L1363" s="21"/>
      <c r="M1363" s="27"/>
      <c r="N1363" s="19"/>
      <c r="O1363" s="21"/>
      <c r="Q1363" s="7">
        <f>Table2[[#This Row],[Elevation
PILE TOP]]-Table2[[#This Row],[LENGTH(m.)
(Actual)]]</f>
        <v>0</v>
      </c>
      <c r="R1363" s="2"/>
      <c r="S1363" s="7">
        <f>Table2[[#This Row],[N]]+Table2[[#This Row],[Pile 
Deviation 
N (m)]]</f>
        <v>1511730.639</v>
      </c>
      <c r="T1363" s="7">
        <f>Table2[[#This Row],[E]]+Table2[[#This Row],[Pile 
Deviation 
E (m)]]</f>
        <v>693920.55599999998</v>
      </c>
      <c r="W1363" s="7">
        <v>0.24</v>
      </c>
      <c r="X1363" s="2" t="s">
        <v>51</v>
      </c>
    </row>
    <row r="1364" spans="1:24" hidden="1" x14ac:dyDescent="0.65">
      <c r="A1364">
        <v>1358</v>
      </c>
      <c r="B1364" t="s">
        <v>29</v>
      </c>
      <c r="C1364" s="6">
        <v>1511730.601</v>
      </c>
      <c r="D1364" s="6">
        <v>694057.571</v>
      </c>
      <c r="E1364" s="2" t="s">
        <v>35</v>
      </c>
      <c r="F1364" s="1">
        <v>24</v>
      </c>
      <c r="G1364" s="2" t="s">
        <v>50</v>
      </c>
      <c r="J1364"/>
      <c r="K1364" s="19"/>
      <c r="L1364" s="21"/>
      <c r="M1364" s="27"/>
      <c r="N1364" s="19"/>
      <c r="O1364" s="21"/>
      <c r="Q1364" s="7">
        <f>Table2[[#This Row],[Elevation
PILE TOP]]-Table2[[#This Row],[LENGTH(m.)
(Actual)]]</f>
        <v>0</v>
      </c>
      <c r="R1364" s="2"/>
      <c r="S1364" s="7">
        <f>Table2[[#This Row],[N]]+Table2[[#This Row],[Pile 
Deviation 
N (m)]]</f>
        <v>1511730.601</v>
      </c>
      <c r="T1364" s="7">
        <f>Table2[[#This Row],[E]]+Table2[[#This Row],[Pile 
Deviation 
E (m)]]</f>
        <v>694057.571</v>
      </c>
      <c r="W1364" s="7">
        <v>0.24</v>
      </c>
      <c r="X1364" s="2" t="s">
        <v>51</v>
      </c>
    </row>
    <row r="1365" spans="1:24" ht="13.95" hidden="1" customHeight="1" x14ac:dyDescent="0.65">
      <c r="A1365">
        <v>1359</v>
      </c>
      <c r="B1365" t="s">
        <v>29</v>
      </c>
      <c r="C1365" s="6">
        <v>1511730.301</v>
      </c>
      <c r="D1365" s="6">
        <v>693950.00100000005</v>
      </c>
      <c r="E1365" s="2" t="s">
        <v>35</v>
      </c>
      <c r="F1365" s="1">
        <v>24</v>
      </c>
      <c r="G1365" s="2" t="s">
        <v>50</v>
      </c>
      <c r="J1365"/>
      <c r="K1365" s="19"/>
      <c r="L1365" s="21"/>
      <c r="M1365" s="27"/>
      <c r="N1365" s="19"/>
      <c r="O1365" s="21"/>
      <c r="Q1365" s="7">
        <f>Table2[[#This Row],[Elevation
PILE TOP]]-Table2[[#This Row],[LENGTH(m.)
(Actual)]]</f>
        <v>0</v>
      </c>
      <c r="R1365" s="2"/>
      <c r="S1365" s="7">
        <f>Table2[[#This Row],[N]]+Table2[[#This Row],[Pile 
Deviation 
N (m)]]</f>
        <v>1511730.301</v>
      </c>
      <c r="T1365" s="7">
        <f>Table2[[#This Row],[E]]+Table2[[#This Row],[Pile 
Deviation 
E (m)]]</f>
        <v>693950.00100000005</v>
      </c>
      <c r="W1365" s="7">
        <v>0.24</v>
      </c>
      <c r="X1365" s="2" t="s">
        <v>51</v>
      </c>
    </row>
    <row r="1366" spans="1:24" hidden="1" x14ac:dyDescent="0.65">
      <c r="A1366">
        <v>1360</v>
      </c>
      <c r="B1366" t="s">
        <v>29</v>
      </c>
      <c r="C1366" s="6">
        <v>1511729.9080000001</v>
      </c>
      <c r="D1366" s="6">
        <v>694054.14</v>
      </c>
      <c r="E1366" s="2" t="s">
        <v>35</v>
      </c>
      <c r="F1366" s="1">
        <v>24</v>
      </c>
      <c r="G1366" s="2" t="s">
        <v>50</v>
      </c>
      <c r="J1366"/>
      <c r="K1366" s="19"/>
      <c r="L1366" s="21"/>
      <c r="M1366" s="27"/>
      <c r="N1366" s="19"/>
      <c r="O1366" s="21"/>
      <c r="Q1366" s="7">
        <f>Table2[[#This Row],[Elevation
PILE TOP]]-Table2[[#This Row],[LENGTH(m.)
(Actual)]]</f>
        <v>0</v>
      </c>
      <c r="R1366" s="2"/>
      <c r="S1366" s="7">
        <f>Table2[[#This Row],[N]]+Table2[[#This Row],[Pile 
Deviation 
N (m)]]</f>
        <v>1511729.9080000001</v>
      </c>
      <c r="T1366" s="7">
        <f>Table2[[#This Row],[E]]+Table2[[#This Row],[Pile 
Deviation 
E (m)]]</f>
        <v>694054.14</v>
      </c>
      <c r="W1366" s="7">
        <v>0.24</v>
      </c>
      <c r="X1366" s="2" t="s">
        <v>51</v>
      </c>
    </row>
    <row r="1367" spans="1:24" ht="13.95" hidden="1" customHeight="1" x14ac:dyDescent="0.65">
      <c r="A1367">
        <v>1361</v>
      </c>
      <c r="B1367" t="s">
        <v>29</v>
      </c>
      <c r="C1367" s="6">
        <v>1511729.7490000001</v>
      </c>
      <c r="D1367" s="6">
        <v>693923.94099999999</v>
      </c>
      <c r="E1367" s="2" t="s">
        <v>35</v>
      </c>
      <c r="F1367" s="1">
        <v>24</v>
      </c>
      <c r="G1367" s="2" t="s">
        <v>50</v>
      </c>
      <c r="J1367"/>
      <c r="K1367" s="19"/>
      <c r="L1367" s="21"/>
      <c r="M1367" s="27"/>
      <c r="N1367" s="19"/>
      <c r="O1367" s="21"/>
      <c r="Q1367" s="7">
        <f>Table2[[#This Row],[Elevation
PILE TOP]]-Table2[[#This Row],[LENGTH(m.)
(Actual)]]</f>
        <v>0</v>
      </c>
      <c r="R1367" s="2"/>
      <c r="S1367" s="7">
        <f>Table2[[#This Row],[N]]+Table2[[#This Row],[Pile 
Deviation 
N (m)]]</f>
        <v>1511729.7490000001</v>
      </c>
      <c r="T1367" s="7">
        <f>Table2[[#This Row],[E]]+Table2[[#This Row],[Pile 
Deviation 
E (m)]]</f>
        <v>693923.94099999999</v>
      </c>
      <c r="W1367" s="7">
        <v>0.24</v>
      </c>
      <c r="X1367" s="2" t="s">
        <v>51</v>
      </c>
    </row>
    <row r="1368" spans="1:24" hidden="1" x14ac:dyDescent="0.65">
      <c r="A1368">
        <v>1362</v>
      </c>
      <c r="B1368" t="s">
        <v>29</v>
      </c>
      <c r="C1368" s="6">
        <v>1511729.6089999999</v>
      </c>
      <c r="D1368" s="6">
        <v>693946.571</v>
      </c>
      <c r="E1368" s="2" t="s">
        <v>35</v>
      </c>
      <c r="F1368" s="1">
        <v>24</v>
      </c>
      <c r="G1368" s="2" t="s">
        <v>50</v>
      </c>
      <c r="J1368"/>
      <c r="K1368" s="19"/>
      <c r="L1368" s="21"/>
      <c r="M1368" s="27"/>
      <c r="N1368" s="19"/>
      <c r="O1368" s="21"/>
      <c r="Q1368" s="7">
        <f>Table2[[#This Row],[Elevation
PILE TOP]]-Table2[[#This Row],[LENGTH(m.)
(Actual)]]</f>
        <v>0</v>
      </c>
      <c r="R1368" s="2"/>
      <c r="S1368" s="7">
        <f>Table2[[#This Row],[N]]+Table2[[#This Row],[Pile 
Deviation 
N (m)]]</f>
        <v>1511729.6089999999</v>
      </c>
      <c r="T1368" s="7">
        <f>Table2[[#This Row],[E]]+Table2[[#This Row],[Pile 
Deviation 
E (m)]]</f>
        <v>693946.571</v>
      </c>
      <c r="W1368" s="7">
        <v>0.24</v>
      </c>
      <c r="X1368" s="2" t="s">
        <v>51</v>
      </c>
    </row>
    <row r="1369" spans="1:24" ht="13.95" hidden="1" customHeight="1" x14ac:dyDescent="0.65">
      <c r="A1369">
        <v>1363</v>
      </c>
      <c r="B1369" t="s">
        <v>29</v>
      </c>
      <c r="C1369" s="6">
        <v>1511729.2150000001</v>
      </c>
      <c r="D1369" s="6">
        <v>694050.70900000003</v>
      </c>
      <c r="E1369" s="2" t="s">
        <v>35</v>
      </c>
      <c r="F1369" s="1">
        <v>24</v>
      </c>
      <c r="G1369" s="2" t="s">
        <v>50</v>
      </c>
      <c r="J1369"/>
      <c r="K1369" s="19"/>
      <c r="L1369" s="21"/>
      <c r="M1369" s="27"/>
      <c r="N1369" s="19"/>
      <c r="O1369" s="21"/>
      <c r="Q1369" s="7">
        <f>Table2[[#This Row],[Elevation
PILE TOP]]-Table2[[#This Row],[LENGTH(m.)
(Actual)]]</f>
        <v>0</v>
      </c>
      <c r="R1369" s="2"/>
      <c r="S1369" s="7">
        <f>Table2[[#This Row],[N]]+Table2[[#This Row],[Pile 
Deviation 
N (m)]]</f>
        <v>1511729.2150000001</v>
      </c>
      <c r="T1369" s="7">
        <f>Table2[[#This Row],[E]]+Table2[[#This Row],[Pile 
Deviation 
E (m)]]</f>
        <v>694050.70900000003</v>
      </c>
      <c r="W1369" s="7">
        <v>0.24</v>
      </c>
      <c r="X1369" s="2" t="s">
        <v>51</v>
      </c>
    </row>
    <row r="1370" spans="1:24" hidden="1" x14ac:dyDescent="0.65">
      <c r="A1370">
        <v>1364</v>
      </c>
      <c r="B1370" t="s">
        <v>29</v>
      </c>
      <c r="C1370" s="6">
        <v>1511728.949</v>
      </c>
      <c r="D1370" s="6">
        <v>693960.98600000003</v>
      </c>
      <c r="E1370" s="2" t="s">
        <v>35</v>
      </c>
      <c r="F1370" s="1">
        <v>24</v>
      </c>
      <c r="G1370" s="2" t="s">
        <v>50</v>
      </c>
      <c r="J1370"/>
      <c r="K1370" s="19"/>
      <c r="L1370" s="21"/>
      <c r="M1370" s="27"/>
      <c r="N1370" s="19"/>
      <c r="O1370" s="21"/>
      <c r="Q1370" s="7">
        <f>Table2[[#This Row],[Elevation
PILE TOP]]-Table2[[#This Row],[LENGTH(m.)
(Actual)]]</f>
        <v>0</v>
      </c>
      <c r="R1370" s="2"/>
      <c r="S1370" s="7">
        <f>Table2[[#This Row],[N]]+Table2[[#This Row],[Pile 
Deviation 
N (m)]]</f>
        <v>1511728.949</v>
      </c>
      <c r="T1370" s="7">
        <f>Table2[[#This Row],[E]]+Table2[[#This Row],[Pile 
Deviation 
E (m)]]</f>
        <v>693960.98600000003</v>
      </c>
      <c r="W1370" s="7">
        <v>0.24</v>
      </c>
      <c r="X1370" s="2" t="s">
        <v>51</v>
      </c>
    </row>
    <row r="1371" spans="1:24" ht="13.95" hidden="1" customHeight="1" x14ac:dyDescent="0.65">
      <c r="A1371">
        <v>1365</v>
      </c>
      <c r="B1371" t="s">
        <v>29</v>
      </c>
      <c r="C1371" s="6">
        <v>1511728.916</v>
      </c>
      <c r="D1371" s="6">
        <v>693943.14</v>
      </c>
      <c r="E1371" s="2" t="s">
        <v>35</v>
      </c>
      <c r="F1371" s="1">
        <v>24</v>
      </c>
      <c r="G1371" s="2" t="s">
        <v>50</v>
      </c>
      <c r="J1371"/>
      <c r="K1371" s="19"/>
      <c r="L1371" s="21"/>
      <c r="M1371" s="27"/>
      <c r="N1371" s="19"/>
      <c r="O1371" s="21"/>
      <c r="Q1371" s="7">
        <f>Table2[[#This Row],[Elevation
PILE TOP]]-Table2[[#This Row],[LENGTH(m.)
(Actual)]]</f>
        <v>0</v>
      </c>
      <c r="R1371" s="2"/>
      <c r="S1371" s="7">
        <f>Table2[[#This Row],[N]]+Table2[[#This Row],[Pile 
Deviation 
N (m)]]</f>
        <v>1511728.916</v>
      </c>
      <c r="T1371" s="7">
        <f>Table2[[#This Row],[E]]+Table2[[#This Row],[Pile 
Deviation 
E (m)]]</f>
        <v>693943.14</v>
      </c>
      <c r="W1371" s="7">
        <v>0.24</v>
      </c>
      <c r="X1371" s="2" t="s">
        <v>51</v>
      </c>
    </row>
    <row r="1372" spans="1:24" hidden="1" x14ac:dyDescent="0.65">
      <c r="A1372">
        <v>1366</v>
      </c>
      <c r="B1372" t="s">
        <v>29</v>
      </c>
      <c r="C1372" s="6">
        <v>1511728.86</v>
      </c>
      <c r="D1372" s="6">
        <v>693927.326</v>
      </c>
      <c r="E1372" s="2" t="s">
        <v>35</v>
      </c>
      <c r="F1372" s="1">
        <v>24</v>
      </c>
      <c r="G1372" s="2" t="s">
        <v>50</v>
      </c>
      <c r="J1372"/>
      <c r="K1372" s="19"/>
      <c r="L1372" s="21"/>
      <c r="M1372" s="27"/>
      <c r="N1372" s="19"/>
      <c r="O1372" s="21"/>
      <c r="Q1372" s="7">
        <f>Table2[[#This Row],[Elevation
PILE TOP]]-Table2[[#This Row],[LENGTH(m.)
(Actual)]]</f>
        <v>0</v>
      </c>
      <c r="R1372" s="2"/>
      <c r="S1372" s="7">
        <f>Table2[[#This Row],[N]]+Table2[[#This Row],[Pile 
Deviation 
N (m)]]</f>
        <v>1511728.86</v>
      </c>
      <c r="T1372" s="7">
        <f>Table2[[#This Row],[E]]+Table2[[#This Row],[Pile 
Deviation 
E (m)]]</f>
        <v>693927.326</v>
      </c>
      <c r="W1372" s="7">
        <v>0.24</v>
      </c>
      <c r="X1372" s="2" t="s">
        <v>51</v>
      </c>
    </row>
    <row r="1373" spans="1:24" ht="13.95" hidden="1" customHeight="1" x14ac:dyDescent="0.65">
      <c r="A1373">
        <v>1367</v>
      </c>
      <c r="B1373" t="s">
        <v>29</v>
      </c>
      <c r="C1373" s="6">
        <v>1511728.2560000001</v>
      </c>
      <c r="D1373" s="6">
        <v>693957.55599999998</v>
      </c>
      <c r="E1373" s="2" t="s">
        <v>35</v>
      </c>
      <c r="F1373" s="1">
        <v>24</v>
      </c>
      <c r="G1373" s="2" t="s">
        <v>50</v>
      </c>
      <c r="J1373"/>
      <c r="K1373" s="19"/>
      <c r="L1373" s="21"/>
      <c r="M1373" s="27"/>
      <c r="N1373" s="19"/>
      <c r="O1373" s="21"/>
      <c r="Q1373" s="7">
        <f>Table2[[#This Row],[Elevation
PILE TOP]]-Table2[[#This Row],[LENGTH(m.)
(Actual)]]</f>
        <v>0</v>
      </c>
      <c r="R1373" s="2"/>
      <c r="S1373" s="7">
        <f>Table2[[#This Row],[N]]+Table2[[#This Row],[Pile 
Deviation 
N (m)]]</f>
        <v>1511728.2560000001</v>
      </c>
      <c r="T1373" s="7">
        <f>Table2[[#This Row],[E]]+Table2[[#This Row],[Pile 
Deviation 
E (m)]]</f>
        <v>693957.55599999998</v>
      </c>
      <c r="W1373" s="7">
        <v>0.24</v>
      </c>
      <c r="X1373" s="2" t="s">
        <v>51</v>
      </c>
    </row>
    <row r="1374" spans="1:24" hidden="1" x14ac:dyDescent="0.65">
      <c r="A1374">
        <v>1368</v>
      </c>
      <c r="B1374" t="s">
        <v>29</v>
      </c>
      <c r="C1374" s="6">
        <v>1511728.223</v>
      </c>
      <c r="D1374" s="6">
        <v>693939.70900000003</v>
      </c>
      <c r="E1374" s="2" t="s">
        <v>35</v>
      </c>
      <c r="F1374" s="1">
        <v>24</v>
      </c>
      <c r="G1374" s="2" t="s">
        <v>50</v>
      </c>
      <c r="J1374"/>
      <c r="K1374" s="19"/>
      <c r="L1374" s="21"/>
      <c r="M1374" s="27"/>
      <c r="N1374" s="19"/>
      <c r="O1374" s="21"/>
      <c r="Q1374" s="7">
        <f>Table2[[#This Row],[Elevation
PILE TOP]]-Table2[[#This Row],[LENGTH(m.)
(Actual)]]</f>
        <v>0</v>
      </c>
      <c r="R1374" s="2"/>
      <c r="S1374" s="7">
        <f>Table2[[#This Row],[N]]+Table2[[#This Row],[Pile 
Deviation 
N (m)]]</f>
        <v>1511728.223</v>
      </c>
      <c r="T1374" s="7">
        <f>Table2[[#This Row],[E]]+Table2[[#This Row],[Pile 
Deviation 
E (m)]]</f>
        <v>693939.70900000003</v>
      </c>
      <c r="W1374" s="7">
        <v>0.24</v>
      </c>
      <c r="X1374" s="2" t="s">
        <v>51</v>
      </c>
    </row>
    <row r="1375" spans="1:24" ht="13.95" hidden="1" customHeight="1" x14ac:dyDescent="0.65">
      <c r="A1375">
        <v>1369</v>
      </c>
      <c r="B1375" t="s">
        <v>29</v>
      </c>
      <c r="C1375" s="6">
        <v>1511727.9709999999</v>
      </c>
      <c r="D1375" s="6">
        <v>693930.71100000001</v>
      </c>
      <c r="E1375" s="2" t="s">
        <v>35</v>
      </c>
      <c r="F1375" s="1">
        <v>24</v>
      </c>
      <c r="G1375" s="2" t="s">
        <v>50</v>
      </c>
      <c r="J1375"/>
      <c r="K1375" s="19"/>
      <c r="L1375" s="21"/>
      <c r="M1375" s="27"/>
      <c r="N1375" s="19"/>
      <c r="O1375" s="21"/>
      <c r="Q1375" s="7">
        <f>Table2[[#This Row],[Elevation
PILE TOP]]-Table2[[#This Row],[LENGTH(m.)
(Actual)]]</f>
        <v>0</v>
      </c>
      <c r="R1375" s="2"/>
      <c r="S1375" s="7">
        <f>Table2[[#This Row],[N]]+Table2[[#This Row],[Pile 
Deviation 
N (m)]]</f>
        <v>1511727.9709999999</v>
      </c>
      <c r="T1375" s="7">
        <f>Table2[[#This Row],[E]]+Table2[[#This Row],[Pile 
Deviation 
E (m)]]</f>
        <v>693930.71100000001</v>
      </c>
      <c r="W1375" s="7">
        <v>0.24</v>
      </c>
      <c r="X1375" s="2" t="s">
        <v>51</v>
      </c>
    </row>
    <row r="1376" spans="1:24" hidden="1" x14ac:dyDescent="0.65">
      <c r="A1376">
        <v>1370</v>
      </c>
      <c r="B1376" t="s">
        <v>29</v>
      </c>
      <c r="C1376" s="6">
        <v>1511727.5630000001</v>
      </c>
      <c r="D1376" s="6">
        <v>693954.125</v>
      </c>
      <c r="E1376" s="2" t="s">
        <v>35</v>
      </c>
      <c r="F1376" s="1">
        <v>24</v>
      </c>
      <c r="G1376" s="2" t="s">
        <v>50</v>
      </c>
      <c r="J1376"/>
      <c r="K1376" s="19"/>
      <c r="L1376" s="21"/>
      <c r="M1376" s="27"/>
      <c r="N1376" s="19"/>
      <c r="O1376" s="21"/>
      <c r="Q1376" s="7">
        <f>Table2[[#This Row],[Elevation
PILE TOP]]-Table2[[#This Row],[LENGTH(m.)
(Actual)]]</f>
        <v>0</v>
      </c>
      <c r="R1376" s="2"/>
      <c r="S1376" s="7">
        <f>Table2[[#This Row],[N]]+Table2[[#This Row],[Pile 
Deviation 
N (m)]]</f>
        <v>1511727.5630000001</v>
      </c>
      <c r="T1376" s="7">
        <f>Table2[[#This Row],[E]]+Table2[[#This Row],[Pile 
Deviation 
E (m)]]</f>
        <v>693954.125</v>
      </c>
      <c r="W1376" s="7">
        <v>0.24</v>
      </c>
      <c r="X1376" s="2" t="s">
        <v>51</v>
      </c>
    </row>
    <row r="1377" spans="1:24" ht="13.95" hidden="1" customHeight="1" x14ac:dyDescent="0.65">
      <c r="A1377">
        <v>1371</v>
      </c>
      <c r="B1377" t="s">
        <v>29</v>
      </c>
      <c r="C1377" s="6">
        <v>1511727.53</v>
      </c>
      <c r="D1377" s="6">
        <v>693936.27800000005</v>
      </c>
      <c r="E1377" s="2" t="s">
        <v>35</v>
      </c>
      <c r="F1377" s="1">
        <v>24</v>
      </c>
      <c r="G1377" s="2" t="s">
        <v>50</v>
      </c>
      <c r="J1377"/>
      <c r="K1377" s="19"/>
      <c r="L1377" s="21"/>
      <c r="M1377" s="27"/>
      <c r="N1377" s="19"/>
      <c r="O1377" s="21"/>
      <c r="Q1377" s="7">
        <f>Table2[[#This Row],[Elevation
PILE TOP]]-Table2[[#This Row],[LENGTH(m.)
(Actual)]]</f>
        <v>0</v>
      </c>
      <c r="R1377" s="2"/>
      <c r="S1377" s="7">
        <f>Table2[[#This Row],[N]]+Table2[[#This Row],[Pile 
Deviation 
N (m)]]</f>
        <v>1511727.53</v>
      </c>
      <c r="T1377" s="7">
        <f>Table2[[#This Row],[E]]+Table2[[#This Row],[Pile 
Deviation 
E (m)]]</f>
        <v>693936.27800000005</v>
      </c>
      <c r="W1377" s="7">
        <v>0.24</v>
      </c>
      <c r="X1377" s="2" t="s">
        <v>51</v>
      </c>
    </row>
    <row r="1378" spans="1:24" hidden="1" x14ac:dyDescent="0.65">
      <c r="A1378">
        <v>1372</v>
      </c>
      <c r="B1378" t="s">
        <v>29</v>
      </c>
      <c r="C1378" s="6">
        <v>1511727.2209999999</v>
      </c>
      <c r="D1378" s="6">
        <v>693919.78799999994</v>
      </c>
      <c r="E1378" s="2" t="s">
        <v>35</v>
      </c>
      <c r="F1378" s="1">
        <v>24</v>
      </c>
      <c r="G1378" s="2" t="s">
        <v>50</v>
      </c>
      <c r="J1378"/>
      <c r="K1378" s="19"/>
      <c r="L1378" s="21"/>
      <c r="M1378" s="27"/>
      <c r="N1378" s="19"/>
      <c r="O1378" s="21"/>
      <c r="Q1378" s="7">
        <f>Table2[[#This Row],[Elevation
PILE TOP]]-Table2[[#This Row],[LENGTH(m.)
(Actual)]]</f>
        <v>0</v>
      </c>
      <c r="R1378" s="2"/>
      <c r="S1378" s="7">
        <f>Table2[[#This Row],[N]]+Table2[[#This Row],[Pile 
Deviation 
N (m)]]</f>
        <v>1511727.2209999999</v>
      </c>
      <c r="T1378" s="7">
        <f>Table2[[#This Row],[E]]+Table2[[#This Row],[Pile 
Deviation 
E (m)]]</f>
        <v>693919.78799999994</v>
      </c>
      <c r="W1378" s="7">
        <v>0.24</v>
      </c>
      <c r="X1378" s="2" t="s">
        <v>51</v>
      </c>
    </row>
    <row r="1379" spans="1:24" ht="13.95" hidden="1" customHeight="1" x14ac:dyDescent="0.65">
      <c r="A1379">
        <v>1373</v>
      </c>
      <c r="B1379" t="s">
        <v>29</v>
      </c>
      <c r="C1379" s="6">
        <v>1511727.1850000001</v>
      </c>
      <c r="D1379" s="6">
        <v>693933.70400000003</v>
      </c>
      <c r="E1379" s="2" t="s">
        <v>35</v>
      </c>
      <c r="F1379" s="1">
        <v>24</v>
      </c>
      <c r="G1379" s="2" t="s">
        <v>50</v>
      </c>
      <c r="J1379"/>
      <c r="K1379" s="19"/>
      <c r="L1379" s="21"/>
      <c r="M1379" s="27"/>
      <c r="N1379" s="19"/>
      <c r="O1379" s="21"/>
      <c r="Q1379" s="7">
        <f>Table2[[#This Row],[Elevation
PILE TOP]]-Table2[[#This Row],[LENGTH(m.)
(Actual)]]</f>
        <v>0</v>
      </c>
      <c r="R1379" s="2"/>
      <c r="S1379" s="7">
        <f>Table2[[#This Row],[N]]+Table2[[#This Row],[Pile 
Deviation 
N (m)]]</f>
        <v>1511727.1850000001</v>
      </c>
      <c r="T1379" s="7">
        <f>Table2[[#This Row],[E]]+Table2[[#This Row],[Pile 
Deviation 
E (m)]]</f>
        <v>693933.70400000003</v>
      </c>
      <c r="W1379" s="7">
        <v>0.24</v>
      </c>
      <c r="X1379" s="2" t="s">
        <v>51</v>
      </c>
    </row>
    <row r="1380" spans="1:24" hidden="1" x14ac:dyDescent="0.65">
      <c r="A1380">
        <v>1374</v>
      </c>
      <c r="B1380" t="s">
        <v>29</v>
      </c>
      <c r="C1380" s="6">
        <v>1511727.17</v>
      </c>
      <c r="D1380" s="6">
        <v>694058.26300000004</v>
      </c>
      <c r="E1380" s="2" t="s">
        <v>35</v>
      </c>
      <c r="F1380" s="1">
        <v>24</v>
      </c>
      <c r="G1380" s="2" t="s">
        <v>50</v>
      </c>
      <c r="J1380"/>
      <c r="K1380" s="19"/>
      <c r="L1380" s="21"/>
      <c r="M1380" s="27"/>
      <c r="N1380" s="19"/>
      <c r="O1380" s="21"/>
      <c r="Q1380" s="7">
        <f>Table2[[#This Row],[Elevation
PILE TOP]]-Table2[[#This Row],[LENGTH(m.)
(Actual)]]</f>
        <v>0</v>
      </c>
      <c r="R1380" s="2"/>
      <c r="S1380" s="7">
        <f>Table2[[#This Row],[N]]+Table2[[#This Row],[Pile 
Deviation 
N (m)]]</f>
        <v>1511727.17</v>
      </c>
      <c r="T1380" s="7">
        <f>Table2[[#This Row],[E]]+Table2[[#This Row],[Pile 
Deviation 
E (m)]]</f>
        <v>694058.26300000004</v>
      </c>
      <c r="W1380" s="7">
        <v>0.24</v>
      </c>
      <c r="X1380" s="2" t="s">
        <v>51</v>
      </c>
    </row>
    <row r="1381" spans="1:24" ht="13.95" hidden="1" customHeight="1" x14ac:dyDescent="0.65">
      <c r="A1381">
        <v>1375</v>
      </c>
      <c r="B1381" t="s">
        <v>29</v>
      </c>
      <c r="C1381" s="6">
        <v>1511726.871</v>
      </c>
      <c r="D1381" s="6">
        <v>693950.69400000002</v>
      </c>
      <c r="E1381" s="2" t="s">
        <v>35</v>
      </c>
      <c r="F1381" s="1">
        <v>24</v>
      </c>
      <c r="G1381" s="2" t="s">
        <v>50</v>
      </c>
      <c r="J1381"/>
      <c r="K1381" s="19"/>
      <c r="L1381" s="21"/>
      <c r="M1381" s="27"/>
      <c r="N1381" s="19"/>
      <c r="O1381" s="21"/>
      <c r="Q1381" s="7">
        <f>Table2[[#This Row],[Elevation
PILE TOP]]-Table2[[#This Row],[LENGTH(m.)
(Actual)]]</f>
        <v>0</v>
      </c>
      <c r="R1381" s="2"/>
      <c r="S1381" s="7">
        <f>Table2[[#This Row],[N]]+Table2[[#This Row],[Pile 
Deviation 
N (m)]]</f>
        <v>1511726.871</v>
      </c>
      <c r="T1381" s="7">
        <f>Table2[[#This Row],[E]]+Table2[[#This Row],[Pile 
Deviation 
E (m)]]</f>
        <v>693950.69400000002</v>
      </c>
      <c r="W1381" s="7">
        <v>0.24</v>
      </c>
      <c r="X1381" s="2" t="s">
        <v>51</v>
      </c>
    </row>
    <row r="1382" spans="1:24" hidden="1" x14ac:dyDescent="0.65">
      <c r="A1382">
        <v>1376</v>
      </c>
      <c r="B1382" t="s">
        <v>29</v>
      </c>
      <c r="C1382" s="6">
        <v>1511726.477</v>
      </c>
      <c r="D1382" s="6">
        <v>694054.83299999998</v>
      </c>
      <c r="E1382" s="2" t="s">
        <v>35</v>
      </c>
      <c r="F1382" s="1">
        <v>24</v>
      </c>
      <c r="G1382" s="2" t="s">
        <v>50</v>
      </c>
      <c r="J1382"/>
      <c r="K1382" s="19"/>
      <c r="L1382" s="21"/>
      <c r="M1382" s="27"/>
      <c r="N1382" s="19"/>
      <c r="O1382" s="21"/>
      <c r="Q1382" s="7">
        <f>Table2[[#This Row],[Elevation
PILE TOP]]-Table2[[#This Row],[LENGTH(m.)
(Actual)]]</f>
        <v>0</v>
      </c>
      <c r="R1382" s="2"/>
      <c r="S1382" s="7">
        <f>Table2[[#This Row],[N]]+Table2[[#This Row],[Pile 
Deviation 
N (m)]]</f>
        <v>1511726.477</v>
      </c>
      <c r="T1382" s="7">
        <f>Table2[[#This Row],[E]]+Table2[[#This Row],[Pile 
Deviation 
E (m)]]</f>
        <v>694054.83299999998</v>
      </c>
      <c r="W1382" s="7">
        <v>0.24</v>
      </c>
      <c r="X1382" s="2" t="s">
        <v>51</v>
      </c>
    </row>
    <row r="1383" spans="1:24" ht="13.95" hidden="1" customHeight="1" x14ac:dyDescent="0.65">
      <c r="A1383">
        <v>1377</v>
      </c>
      <c r="B1383" t="s">
        <v>29</v>
      </c>
      <c r="C1383" s="6">
        <v>1511726.3640000001</v>
      </c>
      <c r="D1383" s="6">
        <v>693923.05200000003</v>
      </c>
      <c r="E1383" s="2" t="s">
        <v>35</v>
      </c>
      <c r="F1383" s="1">
        <v>24</v>
      </c>
      <c r="G1383" s="2" t="s">
        <v>50</v>
      </c>
      <c r="J1383"/>
      <c r="K1383" s="19"/>
      <c r="L1383" s="21"/>
      <c r="M1383" s="27"/>
      <c r="N1383" s="19"/>
      <c r="O1383" s="21"/>
      <c r="Q1383" s="7">
        <f>Table2[[#This Row],[Elevation
PILE TOP]]-Table2[[#This Row],[LENGTH(m.)
(Actual)]]</f>
        <v>0</v>
      </c>
      <c r="R1383" s="2"/>
      <c r="S1383" s="7">
        <f>Table2[[#This Row],[N]]+Table2[[#This Row],[Pile 
Deviation 
N (m)]]</f>
        <v>1511726.3640000001</v>
      </c>
      <c r="T1383" s="7">
        <f>Table2[[#This Row],[E]]+Table2[[#This Row],[Pile 
Deviation 
E (m)]]</f>
        <v>693923.05200000003</v>
      </c>
      <c r="W1383" s="7">
        <v>0.24</v>
      </c>
      <c r="X1383" s="2" t="s">
        <v>51</v>
      </c>
    </row>
    <row r="1384" spans="1:24" hidden="1" x14ac:dyDescent="0.65">
      <c r="A1384">
        <v>1378</v>
      </c>
      <c r="B1384" t="s">
        <v>29</v>
      </c>
      <c r="C1384" s="6">
        <v>1511726.1780000001</v>
      </c>
      <c r="D1384" s="6">
        <v>693947.26300000004</v>
      </c>
      <c r="E1384" s="2" t="s">
        <v>35</v>
      </c>
      <c r="F1384" s="1">
        <v>24</v>
      </c>
      <c r="G1384" s="2" t="s">
        <v>50</v>
      </c>
      <c r="J1384"/>
      <c r="K1384" s="19"/>
      <c r="L1384" s="21"/>
      <c r="M1384" s="27"/>
      <c r="N1384" s="19"/>
      <c r="O1384" s="21"/>
      <c r="Q1384" s="7">
        <f>Table2[[#This Row],[Elevation
PILE TOP]]-Table2[[#This Row],[LENGTH(m.)
(Actual)]]</f>
        <v>0</v>
      </c>
      <c r="R1384" s="2"/>
      <c r="S1384" s="7">
        <f>Table2[[#This Row],[N]]+Table2[[#This Row],[Pile 
Deviation 
N (m)]]</f>
        <v>1511726.1780000001</v>
      </c>
      <c r="T1384" s="7">
        <f>Table2[[#This Row],[E]]+Table2[[#This Row],[Pile 
Deviation 
E (m)]]</f>
        <v>693947.26300000004</v>
      </c>
      <c r="W1384" s="7">
        <v>0.24</v>
      </c>
      <c r="X1384" s="2" t="s">
        <v>51</v>
      </c>
    </row>
    <row r="1385" spans="1:24" ht="13.95" hidden="1" customHeight="1" x14ac:dyDescent="0.65">
      <c r="A1385">
        <v>1379</v>
      </c>
      <c r="B1385" t="s">
        <v>29</v>
      </c>
      <c r="C1385" s="6">
        <v>1511725.7849999999</v>
      </c>
      <c r="D1385" s="6">
        <v>694051.402</v>
      </c>
      <c r="E1385" s="2" t="s">
        <v>35</v>
      </c>
      <c r="F1385" s="1">
        <v>24</v>
      </c>
      <c r="G1385" s="2" t="s">
        <v>50</v>
      </c>
      <c r="J1385"/>
      <c r="K1385" s="19"/>
      <c r="L1385" s="21"/>
      <c r="M1385" s="27"/>
      <c r="N1385" s="19"/>
      <c r="O1385" s="21"/>
      <c r="Q1385" s="7">
        <f>Table2[[#This Row],[Elevation
PILE TOP]]-Table2[[#This Row],[LENGTH(m.)
(Actual)]]</f>
        <v>0</v>
      </c>
      <c r="R1385" s="2"/>
      <c r="S1385" s="7">
        <f>Table2[[#This Row],[N]]+Table2[[#This Row],[Pile 
Deviation 
N (m)]]</f>
        <v>1511725.7849999999</v>
      </c>
      <c r="T1385" s="7">
        <f>Table2[[#This Row],[E]]+Table2[[#This Row],[Pile 
Deviation 
E (m)]]</f>
        <v>694051.402</v>
      </c>
      <c r="W1385" s="7">
        <v>0.24</v>
      </c>
      <c r="X1385" s="2" t="s">
        <v>51</v>
      </c>
    </row>
    <row r="1386" spans="1:24" hidden="1" x14ac:dyDescent="0.65">
      <c r="A1386">
        <v>1380</v>
      </c>
      <c r="B1386" t="s">
        <v>29</v>
      </c>
      <c r="C1386" s="6">
        <v>1511725.5179999999</v>
      </c>
      <c r="D1386" s="6">
        <v>693961.679</v>
      </c>
      <c r="E1386" s="2" t="s">
        <v>35</v>
      </c>
      <c r="F1386" s="1">
        <v>24</v>
      </c>
      <c r="G1386" s="2" t="s">
        <v>50</v>
      </c>
      <c r="J1386"/>
      <c r="K1386" s="19"/>
      <c r="L1386" s="21"/>
      <c r="M1386" s="27"/>
      <c r="N1386" s="19"/>
      <c r="O1386" s="21"/>
      <c r="Q1386" s="7">
        <f>Table2[[#This Row],[Elevation
PILE TOP]]-Table2[[#This Row],[LENGTH(m.)
(Actual)]]</f>
        <v>0</v>
      </c>
      <c r="R1386" s="2"/>
      <c r="S1386" s="7">
        <f>Table2[[#This Row],[N]]+Table2[[#This Row],[Pile 
Deviation 
N (m)]]</f>
        <v>1511725.5179999999</v>
      </c>
      <c r="T1386" s="7">
        <f>Table2[[#This Row],[E]]+Table2[[#This Row],[Pile 
Deviation 
E (m)]]</f>
        <v>693961.679</v>
      </c>
      <c r="W1386" s="7">
        <v>0.24</v>
      </c>
      <c r="X1386" s="2" t="s">
        <v>51</v>
      </c>
    </row>
    <row r="1387" spans="1:24" ht="13.95" hidden="1" customHeight="1" x14ac:dyDescent="0.65">
      <c r="A1387">
        <v>1381</v>
      </c>
      <c r="B1387" t="s">
        <v>29</v>
      </c>
      <c r="C1387" s="6">
        <v>1511725.4850000001</v>
      </c>
      <c r="D1387" s="6">
        <v>693943.83299999998</v>
      </c>
      <c r="E1387" s="2" t="s">
        <v>35</v>
      </c>
      <c r="F1387" s="1">
        <v>24</v>
      </c>
      <c r="G1387" s="2" t="s">
        <v>50</v>
      </c>
      <c r="J1387"/>
      <c r="K1387" s="19"/>
      <c r="L1387" s="21"/>
      <c r="M1387" s="27"/>
      <c r="N1387" s="19"/>
      <c r="O1387" s="21"/>
      <c r="Q1387" s="7">
        <f>Table2[[#This Row],[Elevation
PILE TOP]]-Table2[[#This Row],[LENGTH(m.)
(Actual)]]</f>
        <v>0</v>
      </c>
      <c r="R1387" s="2"/>
      <c r="S1387" s="7">
        <f>Table2[[#This Row],[N]]+Table2[[#This Row],[Pile 
Deviation 
N (m)]]</f>
        <v>1511725.4850000001</v>
      </c>
      <c r="T1387" s="7">
        <f>Table2[[#This Row],[E]]+Table2[[#This Row],[Pile 
Deviation 
E (m)]]</f>
        <v>693943.83299999998</v>
      </c>
      <c r="W1387" s="7">
        <v>0.24</v>
      </c>
      <c r="X1387" s="2" t="s">
        <v>51</v>
      </c>
    </row>
    <row r="1388" spans="1:24" hidden="1" x14ac:dyDescent="0.65">
      <c r="A1388">
        <v>1382</v>
      </c>
      <c r="B1388" t="s">
        <v>29</v>
      </c>
      <c r="C1388" s="6">
        <v>1511725.4750000001</v>
      </c>
      <c r="D1388" s="6">
        <v>693926.43700000003</v>
      </c>
      <c r="E1388" s="2" t="s">
        <v>35</v>
      </c>
      <c r="F1388" s="1">
        <v>24</v>
      </c>
      <c r="G1388" s="2" t="s">
        <v>50</v>
      </c>
      <c r="J1388"/>
      <c r="K1388" s="19"/>
      <c r="L1388" s="21"/>
      <c r="M1388" s="27"/>
      <c r="N1388" s="19"/>
      <c r="O1388" s="21"/>
      <c r="Q1388" s="7">
        <f>Table2[[#This Row],[Elevation
PILE TOP]]-Table2[[#This Row],[LENGTH(m.)
(Actual)]]</f>
        <v>0</v>
      </c>
      <c r="R1388" s="2"/>
      <c r="S1388" s="7">
        <f>Table2[[#This Row],[N]]+Table2[[#This Row],[Pile 
Deviation 
N (m)]]</f>
        <v>1511725.4750000001</v>
      </c>
      <c r="T1388" s="7">
        <f>Table2[[#This Row],[E]]+Table2[[#This Row],[Pile 
Deviation 
E (m)]]</f>
        <v>693926.43700000003</v>
      </c>
      <c r="W1388" s="7">
        <v>0.24</v>
      </c>
      <c r="X1388" s="2" t="s">
        <v>51</v>
      </c>
    </row>
    <row r="1389" spans="1:24" ht="13.95" hidden="1" customHeight="1" x14ac:dyDescent="0.65">
      <c r="A1389">
        <v>1383</v>
      </c>
      <c r="B1389" t="s">
        <v>29</v>
      </c>
      <c r="C1389" s="6">
        <v>1511724.8259999999</v>
      </c>
      <c r="D1389" s="6">
        <v>693958.24800000002</v>
      </c>
      <c r="E1389" s="2" t="s">
        <v>35</v>
      </c>
      <c r="F1389" s="1">
        <v>24</v>
      </c>
      <c r="G1389" s="2" t="s">
        <v>50</v>
      </c>
      <c r="J1389"/>
      <c r="K1389" s="19"/>
      <c r="L1389" s="21"/>
      <c r="M1389" s="27"/>
      <c r="N1389" s="19"/>
      <c r="O1389" s="21"/>
      <c r="Q1389" s="7">
        <f>Table2[[#This Row],[Elevation
PILE TOP]]-Table2[[#This Row],[LENGTH(m.)
(Actual)]]</f>
        <v>0</v>
      </c>
      <c r="R1389" s="2"/>
      <c r="S1389" s="7">
        <f>Table2[[#This Row],[N]]+Table2[[#This Row],[Pile 
Deviation 
N (m)]]</f>
        <v>1511724.8259999999</v>
      </c>
      <c r="T1389" s="7">
        <f>Table2[[#This Row],[E]]+Table2[[#This Row],[Pile 
Deviation 
E (m)]]</f>
        <v>693958.24800000002</v>
      </c>
      <c r="W1389" s="7">
        <v>0.24</v>
      </c>
      <c r="X1389" s="2" t="s">
        <v>51</v>
      </c>
    </row>
    <row r="1390" spans="1:24" hidden="1" x14ac:dyDescent="0.65">
      <c r="A1390">
        <v>1384</v>
      </c>
      <c r="B1390" t="s">
        <v>29</v>
      </c>
      <c r="C1390" s="6">
        <v>1511724.7919999999</v>
      </c>
      <c r="D1390" s="6">
        <v>693940.402</v>
      </c>
      <c r="E1390" s="2" t="s">
        <v>35</v>
      </c>
      <c r="F1390" s="1">
        <v>24</v>
      </c>
      <c r="G1390" s="2" t="s">
        <v>50</v>
      </c>
      <c r="J1390"/>
      <c r="K1390" s="19"/>
      <c r="L1390" s="21"/>
      <c r="M1390" s="27"/>
      <c r="N1390" s="19"/>
      <c r="O1390" s="21"/>
      <c r="Q1390" s="7">
        <f>Table2[[#This Row],[Elevation
PILE TOP]]-Table2[[#This Row],[LENGTH(m.)
(Actual)]]</f>
        <v>0</v>
      </c>
      <c r="R1390" s="2"/>
      <c r="S1390" s="7">
        <f>Table2[[#This Row],[N]]+Table2[[#This Row],[Pile 
Deviation 
N (m)]]</f>
        <v>1511724.7919999999</v>
      </c>
      <c r="T1390" s="7">
        <f>Table2[[#This Row],[E]]+Table2[[#This Row],[Pile 
Deviation 
E (m)]]</f>
        <v>693940.402</v>
      </c>
      <c r="W1390" s="7">
        <v>0.24</v>
      </c>
      <c r="X1390" s="2" t="s">
        <v>51</v>
      </c>
    </row>
    <row r="1391" spans="1:24" ht="13.95" hidden="1" customHeight="1" x14ac:dyDescent="0.65">
      <c r="A1391">
        <v>1385</v>
      </c>
      <c r="B1391" t="s">
        <v>29</v>
      </c>
      <c r="C1391" s="6">
        <v>1511724.5859999999</v>
      </c>
      <c r="D1391" s="6">
        <v>693929.82200000004</v>
      </c>
      <c r="E1391" s="2" t="s">
        <v>35</v>
      </c>
      <c r="F1391" s="1">
        <v>24</v>
      </c>
      <c r="G1391" s="2" t="s">
        <v>50</v>
      </c>
      <c r="J1391"/>
      <c r="K1391" s="19"/>
      <c r="L1391" s="21"/>
      <c r="M1391" s="27"/>
      <c r="N1391" s="19"/>
      <c r="O1391" s="21"/>
      <c r="Q1391" s="7">
        <f>Table2[[#This Row],[Elevation
PILE TOP]]-Table2[[#This Row],[LENGTH(m.)
(Actual)]]</f>
        <v>0</v>
      </c>
      <c r="R1391" s="2"/>
      <c r="S1391" s="7">
        <f>Table2[[#This Row],[N]]+Table2[[#This Row],[Pile 
Deviation 
N (m)]]</f>
        <v>1511724.5859999999</v>
      </c>
      <c r="T1391" s="7">
        <f>Table2[[#This Row],[E]]+Table2[[#This Row],[Pile 
Deviation 
E (m)]]</f>
        <v>693929.82200000004</v>
      </c>
      <c r="W1391" s="7">
        <v>0.24</v>
      </c>
      <c r="X1391" s="2" t="s">
        <v>51</v>
      </c>
    </row>
    <row r="1392" spans="1:24" hidden="1" x14ac:dyDescent="0.65">
      <c r="A1392">
        <v>1386</v>
      </c>
      <c r="B1392" t="s">
        <v>29</v>
      </c>
      <c r="C1392" s="6">
        <v>1511724.1329999999</v>
      </c>
      <c r="D1392" s="6">
        <v>693954.81799999997</v>
      </c>
      <c r="E1392" s="2" t="s">
        <v>35</v>
      </c>
      <c r="F1392" s="1">
        <v>24</v>
      </c>
      <c r="G1392" s="2" t="s">
        <v>50</v>
      </c>
      <c r="J1392"/>
      <c r="K1392" s="19"/>
      <c r="L1392" s="21"/>
      <c r="M1392" s="27"/>
      <c r="N1392" s="19"/>
      <c r="O1392" s="21"/>
      <c r="Q1392" s="7">
        <f>Table2[[#This Row],[Elevation
PILE TOP]]-Table2[[#This Row],[LENGTH(m.)
(Actual)]]</f>
        <v>0</v>
      </c>
      <c r="R1392" s="2"/>
      <c r="S1392" s="7">
        <f>Table2[[#This Row],[N]]+Table2[[#This Row],[Pile 
Deviation 
N (m)]]</f>
        <v>1511724.1329999999</v>
      </c>
      <c r="T1392" s="7">
        <f>Table2[[#This Row],[E]]+Table2[[#This Row],[Pile 
Deviation 
E (m)]]</f>
        <v>693954.81799999997</v>
      </c>
      <c r="W1392" s="7">
        <v>0.24</v>
      </c>
      <c r="X1392" s="2" t="s">
        <v>51</v>
      </c>
    </row>
    <row r="1393" spans="1:24" ht="13.95" hidden="1" customHeight="1" x14ac:dyDescent="0.65">
      <c r="A1393">
        <v>1387</v>
      </c>
      <c r="B1393" t="s">
        <v>29</v>
      </c>
      <c r="C1393" s="6">
        <v>1511724.0989999999</v>
      </c>
      <c r="D1393" s="6">
        <v>693936.97100000002</v>
      </c>
      <c r="E1393" s="2" t="s">
        <v>35</v>
      </c>
      <c r="F1393" s="1">
        <v>24</v>
      </c>
      <c r="G1393" s="2" t="s">
        <v>50</v>
      </c>
      <c r="J1393"/>
      <c r="K1393" s="19"/>
      <c r="L1393" s="21"/>
      <c r="M1393" s="27"/>
      <c r="N1393" s="19"/>
      <c r="O1393" s="21"/>
      <c r="Q1393" s="7">
        <f>Table2[[#This Row],[Elevation
PILE TOP]]-Table2[[#This Row],[LENGTH(m.)
(Actual)]]</f>
        <v>0</v>
      </c>
      <c r="R1393" s="2"/>
      <c r="S1393" s="7">
        <f>Table2[[#This Row],[N]]+Table2[[#This Row],[Pile 
Deviation 
N (m)]]</f>
        <v>1511724.0989999999</v>
      </c>
      <c r="T1393" s="7">
        <f>Table2[[#This Row],[E]]+Table2[[#This Row],[Pile 
Deviation 
E (m)]]</f>
        <v>693936.97100000002</v>
      </c>
      <c r="W1393" s="7">
        <v>0.24</v>
      </c>
      <c r="X1393" s="2" t="s">
        <v>51</v>
      </c>
    </row>
    <row r="1394" spans="1:24" hidden="1" x14ac:dyDescent="0.65">
      <c r="A1394">
        <v>1388</v>
      </c>
      <c r="B1394" t="s">
        <v>29</v>
      </c>
      <c r="C1394" s="6">
        <v>1511723.76</v>
      </c>
      <c r="D1394" s="6">
        <v>693935.29200000002</v>
      </c>
      <c r="E1394" s="2" t="s">
        <v>35</v>
      </c>
      <c r="F1394" s="1">
        <v>24</v>
      </c>
      <c r="G1394" s="2" t="s">
        <v>50</v>
      </c>
      <c r="J1394"/>
      <c r="K1394" s="19"/>
      <c r="L1394" s="21"/>
      <c r="M1394" s="27"/>
      <c r="N1394" s="19"/>
      <c r="O1394" s="21"/>
      <c r="Q1394" s="7">
        <f>Table2[[#This Row],[Elevation
PILE TOP]]-Table2[[#This Row],[LENGTH(m.)
(Actual)]]</f>
        <v>0</v>
      </c>
      <c r="R1394" s="2"/>
      <c r="S1394" s="7">
        <f>Table2[[#This Row],[N]]+Table2[[#This Row],[Pile 
Deviation 
N (m)]]</f>
        <v>1511723.76</v>
      </c>
      <c r="T1394" s="7">
        <f>Table2[[#This Row],[E]]+Table2[[#This Row],[Pile 
Deviation 
E (m)]]</f>
        <v>693935.29200000002</v>
      </c>
      <c r="W1394" s="7">
        <v>0.24</v>
      </c>
      <c r="X1394" s="2" t="s">
        <v>51</v>
      </c>
    </row>
    <row r="1395" spans="1:24" ht="13.95" hidden="1" customHeight="1" x14ac:dyDescent="0.65">
      <c r="A1395">
        <v>1389</v>
      </c>
      <c r="B1395" t="s">
        <v>29</v>
      </c>
      <c r="C1395" s="6">
        <v>1511723.6969999999</v>
      </c>
      <c r="D1395" s="6">
        <v>693933.20700000005</v>
      </c>
      <c r="E1395" s="2" t="s">
        <v>35</v>
      </c>
      <c r="F1395" s="1">
        <v>24</v>
      </c>
      <c r="G1395" s="2" t="s">
        <v>50</v>
      </c>
      <c r="J1395"/>
      <c r="K1395" s="19"/>
      <c r="L1395" s="21"/>
      <c r="M1395" s="27"/>
      <c r="N1395" s="19"/>
      <c r="O1395" s="21"/>
      <c r="Q1395" s="7">
        <f>Table2[[#This Row],[Elevation
PILE TOP]]-Table2[[#This Row],[LENGTH(m.)
(Actual)]]</f>
        <v>0</v>
      </c>
      <c r="R1395" s="2"/>
      <c r="S1395" s="7">
        <f>Table2[[#This Row],[N]]+Table2[[#This Row],[Pile 
Deviation 
N (m)]]</f>
        <v>1511723.6969999999</v>
      </c>
      <c r="T1395" s="7">
        <f>Table2[[#This Row],[E]]+Table2[[#This Row],[Pile 
Deviation 
E (m)]]</f>
        <v>693933.20700000005</v>
      </c>
      <c r="W1395" s="7">
        <v>0.24</v>
      </c>
      <c r="X1395" s="2" t="s">
        <v>51</v>
      </c>
    </row>
    <row r="1396" spans="1:24" hidden="1" x14ac:dyDescent="0.65">
      <c r="A1396">
        <v>1390</v>
      </c>
      <c r="B1396" t="s">
        <v>29</v>
      </c>
      <c r="C1396" s="6">
        <v>1511723.662</v>
      </c>
      <c r="D1396" s="6">
        <v>693919.56200000003</v>
      </c>
      <c r="E1396" s="2" t="s">
        <v>35</v>
      </c>
      <c r="F1396" s="1">
        <v>24</v>
      </c>
      <c r="G1396" s="2" t="s">
        <v>50</v>
      </c>
      <c r="J1396"/>
      <c r="K1396" s="19"/>
      <c r="L1396" s="21"/>
      <c r="M1396" s="27"/>
      <c r="N1396" s="19"/>
      <c r="O1396" s="21"/>
      <c r="Q1396" s="7">
        <f>Table2[[#This Row],[Elevation
PILE TOP]]-Table2[[#This Row],[LENGTH(m.)
(Actual)]]</f>
        <v>0</v>
      </c>
      <c r="R1396" s="2"/>
      <c r="S1396" s="7">
        <f>Table2[[#This Row],[N]]+Table2[[#This Row],[Pile 
Deviation 
N (m)]]</f>
        <v>1511723.662</v>
      </c>
      <c r="T1396" s="7">
        <f>Table2[[#This Row],[E]]+Table2[[#This Row],[Pile 
Deviation 
E (m)]]</f>
        <v>693919.56200000003</v>
      </c>
      <c r="W1396" s="7">
        <v>0.24</v>
      </c>
      <c r="X1396" s="2" t="s">
        <v>51</v>
      </c>
    </row>
    <row r="1397" spans="1:24" ht="13.95" hidden="1" customHeight="1" x14ac:dyDescent="0.65">
      <c r="A1397">
        <v>1391</v>
      </c>
      <c r="B1397" t="s">
        <v>29</v>
      </c>
      <c r="C1397" s="6">
        <v>1511723.463</v>
      </c>
      <c r="D1397" s="6">
        <v>694057.58499999996</v>
      </c>
      <c r="E1397" s="2" t="s">
        <v>35</v>
      </c>
      <c r="F1397" s="1">
        <v>24</v>
      </c>
      <c r="G1397" s="2" t="s">
        <v>50</v>
      </c>
      <c r="J1397"/>
      <c r="K1397" s="19"/>
      <c r="L1397" s="21"/>
      <c r="M1397" s="27"/>
      <c r="N1397" s="19"/>
      <c r="O1397" s="21"/>
      <c r="Q1397" s="7">
        <f>Table2[[#This Row],[Elevation
PILE TOP]]-Table2[[#This Row],[LENGTH(m.)
(Actual)]]</f>
        <v>0</v>
      </c>
      <c r="R1397" s="2"/>
      <c r="S1397" s="7">
        <f>Table2[[#This Row],[N]]+Table2[[#This Row],[Pile 
Deviation 
N (m)]]</f>
        <v>1511723.463</v>
      </c>
      <c r="T1397" s="7">
        <f>Table2[[#This Row],[E]]+Table2[[#This Row],[Pile 
Deviation 
E (m)]]</f>
        <v>694057.58499999996</v>
      </c>
      <c r="W1397" s="7">
        <v>0.24</v>
      </c>
      <c r="X1397" s="2" t="s">
        <v>51</v>
      </c>
    </row>
    <row r="1398" spans="1:24" hidden="1" x14ac:dyDescent="0.65">
      <c r="A1398">
        <v>1392</v>
      </c>
      <c r="B1398" t="s">
        <v>29</v>
      </c>
      <c r="C1398" s="6">
        <v>1511723.44</v>
      </c>
      <c r="D1398" s="6">
        <v>693951.38699999999</v>
      </c>
      <c r="E1398" s="2" t="s">
        <v>35</v>
      </c>
      <c r="F1398" s="1">
        <v>24</v>
      </c>
      <c r="G1398" s="2" t="s">
        <v>50</v>
      </c>
      <c r="J1398"/>
      <c r="K1398" s="19"/>
      <c r="L1398" s="21"/>
      <c r="M1398" s="27"/>
      <c r="N1398" s="19"/>
      <c r="O1398" s="21"/>
      <c r="Q1398" s="7">
        <f>Table2[[#This Row],[Elevation
PILE TOP]]-Table2[[#This Row],[LENGTH(m.)
(Actual)]]</f>
        <v>0</v>
      </c>
      <c r="R1398" s="2"/>
      <c r="S1398" s="7">
        <f>Table2[[#This Row],[N]]+Table2[[#This Row],[Pile 
Deviation 
N (m)]]</f>
        <v>1511723.44</v>
      </c>
      <c r="T1398" s="7">
        <f>Table2[[#This Row],[E]]+Table2[[#This Row],[Pile 
Deviation 
E (m)]]</f>
        <v>693951.38699999999</v>
      </c>
      <c r="W1398" s="7">
        <v>0.24</v>
      </c>
      <c r="X1398" s="2" t="s">
        <v>51</v>
      </c>
    </row>
    <row r="1399" spans="1:24" ht="13.95" hidden="1" customHeight="1" x14ac:dyDescent="0.65">
      <c r="A1399">
        <v>1393</v>
      </c>
      <c r="B1399" t="s">
        <v>29</v>
      </c>
      <c r="C1399" s="6">
        <v>1511723.047</v>
      </c>
      <c r="D1399" s="6">
        <v>694055.52599999995</v>
      </c>
      <c r="E1399" s="2" t="s">
        <v>35</v>
      </c>
      <c r="F1399" s="1">
        <v>24</v>
      </c>
      <c r="G1399" s="2" t="s">
        <v>50</v>
      </c>
      <c r="J1399"/>
      <c r="K1399" s="19"/>
      <c r="L1399" s="21"/>
      <c r="M1399" s="27"/>
      <c r="N1399" s="19"/>
      <c r="O1399" s="21"/>
      <c r="Q1399" s="7">
        <f>Table2[[#This Row],[Elevation
PILE TOP]]-Table2[[#This Row],[LENGTH(m.)
(Actual)]]</f>
        <v>0</v>
      </c>
      <c r="R1399" s="2"/>
      <c r="S1399" s="7">
        <f>Table2[[#This Row],[N]]+Table2[[#This Row],[Pile 
Deviation 
N (m)]]</f>
        <v>1511723.047</v>
      </c>
      <c r="T1399" s="7">
        <f>Table2[[#This Row],[E]]+Table2[[#This Row],[Pile 
Deviation 
E (m)]]</f>
        <v>694055.52599999995</v>
      </c>
      <c r="W1399" s="7">
        <v>0.24</v>
      </c>
      <c r="X1399" s="2" t="s">
        <v>51</v>
      </c>
    </row>
    <row r="1400" spans="1:24" hidden="1" x14ac:dyDescent="0.65">
      <c r="A1400">
        <v>1394</v>
      </c>
      <c r="B1400" t="s">
        <v>29</v>
      </c>
      <c r="C1400" s="6">
        <v>1511722.9790000001</v>
      </c>
      <c r="D1400" s="6">
        <v>693922.16299999994</v>
      </c>
      <c r="E1400" s="2" t="s">
        <v>35</v>
      </c>
      <c r="F1400" s="1">
        <v>24</v>
      </c>
      <c r="G1400" s="2" t="s">
        <v>50</v>
      </c>
      <c r="J1400"/>
      <c r="K1400" s="19"/>
      <c r="L1400" s="21"/>
      <c r="M1400" s="27"/>
      <c r="N1400" s="19"/>
      <c r="O1400" s="21"/>
      <c r="Q1400" s="7">
        <f>Table2[[#This Row],[Elevation
PILE TOP]]-Table2[[#This Row],[LENGTH(m.)
(Actual)]]</f>
        <v>0</v>
      </c>
      <c r="R1400" s="2"/>
      <c r="S1400" s="7">
        <f>Table2[[#This Row],[N]]+Table2[[#This Row],[Pile 
Deviation 
N (m)]]</f>
        <v>1511722.9790000001</v>
      </c>
      <c r="T1400" s="7">
        <f>Table2[[#This Row],[E]]+Table2[[#This Row],[Pile 
Deviation 
E (m)]]</f>
        <v>693922.16299999994</v>
      </c>
      <c r="W1400" s="7">
        <v>0.24</v>
      </c>
      <c r="X1400" s="2" t="s">
        <v>51</v>
      </c>
    </row>
    <row r="1401" spans="1:24" ht="13.95" hidden="1" customHeight="1" x14ac:dyDescent="0.65">
      <c r="A1401">
        <v>1395</v>
      </c>
      <c r="B1401" t="s">
        <v>29</v>
      </c>
      <c r="C1401" s="6">
        <v>1511722.747</v>
      </c>
      <c r="D1401" s="6">
        <v>693947.95600000001</v>
      </c>
      <c r="E1401" s="2" t="s">
        <v>35</v>
      </c>
      <c r="F1401" s="1">
        <v>24</v>
      </c>
      <c r="G1401" s="2" t="s">
        <v>50</v>
      </c>
      <c r="J1401"/>
      <c r="K1401" s="19"/>
      <c r="L1401" s="21"/>
      <c r="M1401" s="27"/>
      <c r="N1401" s="19"/>
      <c r="O1401" s="21"/>
      <c r="Q1401" s="7">
        <f>Table2[[#This Row],[Elevation
PILE TOP]]-Table2[[#This Row],[LENGTH(m.)
(Actual)]]</f>
        <v>0</v>
      </c>
      <c r="R1401" s="2"/>
      <c r="S1401" s="7">
        <f>Table2[[#This Row],[N]]+Table2[[#This Row],[Pile 
Deviation 
N (m)]]</f>
        <v>1511722.747</v>
      </c>
      <c r="T1401" s="7">
        <f>Table2[[#This Row],[E]]+Table2[[#This Row],[Pile 
Deviation 
E (m)]]</f>
        <v>693947.95600000001</v>
      </c>
      <c r="W1401" s="7">
        <v>0.24</v>
      </c>
      <c r="X1401" s="2" t="s">
        <v>51</v>
      </c>
    </row>
    <row r="1402" spans="1:24" hidden="1" x14ac:dyDescent="0.65">
      <c r="A1402">
        <v>1396</v>
      </c>
      <c r="B1402" t="s">
        <v>29</v>
      </c>
      <c r="C1402" s="6">
        <v>1511722.6610000001</v>
      </c>
      <c r="D1402" s="6">
        <v>693907.60400000005</v>
      </c>
      <c r="E1402" s="2" t="s">
        <v>35</v>
      </c>
      <c r="F1402" s="1">
        <v>24</v>
      </c>
      <c r="G1402" s="2" t="s">
        <v>50</v>
      </c>
      <c r="J1402"/>
      <c r="K1402" s="19"/>
      <c r="L1402" s="21"/>
      <c r="M1402" s="27"/>
      <c r="N1402" s="19"/>
      <c r="O1402" s="21"/>
      <c r="Q1402" s="7">
        <f>Table2[[#This Row],[Elevation
PILE TOP]]-Table2[[#This Row],[LENGTH(m.)
(Actual)]]</f>
        <v>0</v>
      </c>
      <c r="R1402" s="2"/>
      <c r="S1402" s="7">
        <f>Table2[[#This Row],[N]]+Table2[[#This Row],[Pile 
Deviation 
N (m)]]</f>
        <v>1511722.6610000001</v>
      </c>
      <c r="T1402" s="7">
        <f>Table2[[#This Row],[E]]+Table2[[#This Row],[Pile 
Deviation 
E (m)]]</f>
        <v>693907.60400000005</v>
      </c>
      <c r="W1402" s="7">
        <v>0.24</v>
      </c>
      <c r="X1402" s="2" t="s">
        <v>51</v>
      </c>
    </row>
    <row r="1403" spans="1:24" ht="13.95" hidden="1" customHeight="1" x14ac:dyDescent="0.65">
      <c r="A1403">
        <v>1397</v>
      </c>
      <c r="B1403" t="s">
        <v>29</v>
      </c>
      <c r="C1403" s="6">
        <v>1511722.3540000001</v>
      </c>
      <c r="D1403" s="6">
        <v>694052.09499999997</v>
      </c>
      <c r="E1403" s="2" t="s">
        <v>35</v>
      </c>
      <c r="F1403" s="1">
        <v>24</v>
      </c>
      <c r="G1403" s="2" t="s">
        <v>50</v>
      </c>
      <c r="J1403"/>
      <c r="K1403" s="19"/>
      <c r="L1403" s="21"/>
      <c r="M1403" s="27"/>
      <c r="N1403" s="19"/>
      <c r="O1403" s="21"/>
      <c r="Q1403" s="7">
        <f>Table2[[#This Row],[Elevation
PILE TOP]]-Table2[[#This Row],[LENGTH(m.)
(Actual)]]</f>
        <v>0</v>
      </c>
      <c r="R1403" s="2"/>
      <c r="S1403" s="7">
        <f>Table2[[#This Row],[N]]+Table2[[#This Row],[Pile 
Deviation 
N (m)]]</f>
        <v>1511722.3540000001</v>
      </c>
      <c r="T1403" s="7">
        <f>Table2[[#This Row],[E]]+Table2[[#This Row],[Pile 
Deviation 
E (m)]]</f>
        <v>694052.09499999997</v>
      </c>
      <c r="W1403" s="7">
        <v>0.24</v>
      </c>
      <c r="X1403" s="2" t="s">
        <v>51</v>
      </c>
    </row>
    <row r="1404" spans="1:24" hidden="1" x14ac:dyDescent="0.65">
      <c r="A1404">
        <v>1398</v>
      </c>
      <c r="B1404" t="s">
        <v>29</v>
      </c>
      <c r="C1404" s="6">
        <v>1511722.2609999999</v>
      </c>
      <c r="D1404" s="6">
        <v>693911.11800000002</v>
      </c>
      <c r="E1404" s="2" t="s">
        <v>35</v>
      </c>
      <c r="F1404" s="1">
        <v>24</v>
      </c>
      <c r="G1404" s="2" t="s">
        <v>50</v>
      </c>
      <c r="J1404"/>
      <c r="K1404" s="19"/>
      <c r="L1404" s="21"/>
      <c r="M1404" s="27"/>
      <c r="N1404" s="19"/>
      <c r="O1404" s="21"/>
      <c r="Q1404" s="7">
        <f>Table2[[#This Row],[Elevation
PILE TOP]]-Table2[[#This Row],[LENGTH(m.)
(Actual)]]</f>
        <v>0</v>
      </c>
      <c r="R1404" s="2"/>
      <c r="S1404" s="7">
        <f>Table2[[#This Row],[N]]+Table2[[#This Row],[Pile 
Deviation 
N (m)]]</f>
        <v>1511722.2609999999</v>
      </c>
      <c r="T1404" s="7">
        <f>Table2[[#This Row],[E]]+Table2[[#This Row],[Pile 
Deviation 
E (m)]]</f>
        <v>693911.11800000002</v>
      </c>
      <c r="W1404" s="7">
        <v>0.24</v>
      </c>
      <c r="X1404" s="2" t="s">
        <v>51</v>
      </c>
    </row>
    <row r="1405" spans="1:24" ht="13.95" hidden="1" customHeight="1" x14ac:dyDescent="0.65">
      <c r="A1405">
        <v>1399</v>
      </c>
      <c r="B1405" t="s">
        <v>29</v>
      </c>
      <c r="C1405" s="6">
        <v>1511722.09</v>
      </c>
      <c r="D1405" s="6">
        <v>693925.54799999995</v>
      </c>
      <c r="E1405" s="2" t="s">
        <v>35</v>
      </c>
      <c r="F1405" s="1">
        <v>24</v>
      </c>
      <c r="G1405" s="2" t="s">
        <v>50</v>
      </c>
      <c r="J1405"/>
      <c r="K1405" s="19"/>
      <c r="L1405" s="21"/>
      <c r="M1405" s="27"/>
      <c r="N1405" s="19"/>
      <c r="O1405" s="21"/>
      <c r="Q1405" s="7">
        <f>Table2[[#This Row],[Elevation
PILE TOP]]-Table2[[#This Row],[LENGTH(m.)
(Actual)]]</f>
        <v>0</v>
      </c>
      <c r="R1405" s="2"/>
      <c r="S1405" s="7">
        <f>Table2[[#This Row],[N]]+Table2[[#This Row],[Pile 
Deviation 
N (m)]]</f>
        <v>1511722.09</v>
      </c>
      <c r="T1405" s="7">
        <f>Table2[[#This Row],[E]]+Table2[[#This Row],[Pile 
Deviation 
E (m)]]</f>
        <v>693925.54799999995</v>
      </c>
      <c r="W1405" s="7">
        <v>0.24</v>
      </c>
      <c r="X1405" s="2" t="s">
        <v>51</v>
      </c>
    </row>
    <row r="1406" spans="1:24" hidden="1" x14ac:dyDescent="0.65">
      <c r="A1406">
        <v>1400</v>
      </c>
      <c r="B1406" t="s">
        <v>29</v>
      </c>
      <c r="C1406" s="6">
        <v>1511722.088</v>
      </c>
      <c r="D1406" s="6">
        <v>693962.37199999997</v>
      </c>
      <c r="E1406" s="2" t="s">
        <v>35</v>
      </c>
      <c r="F1406" s="1">
        <v>24</v>
      </c>
      <c r="G1406" s="2" t="s">
        <v>50</v>
      </c>
      <c r="J1406"/>
      <c r="K1406" s="19"/>
      <c r="L1406" s="21"/>
      <c r="M1406" s="27"/>
      <c r="N1406" s="19"/>
      <c r="O1406" s="21"/>
      <c r="Q1406" s="7">
        <f>Table2[[#This Row],[Elevation
PILE TOP]]-Table2[[#This Row],[LENGTH(m.)
(Actual)]]</f>
        <v>0</v>
      </c>
      <c r="R1406" s="2"/>
      <c r="S1406" s="7">
        <f>Table2[[#This Row],[N]]+Table2[[#This Row],[Pile 
Deviation 
N (m)]]</f>
        <v>1511722.088</v>
      </c>
      <c r="T1406" s="7">
        <f>Table2[[#This Row],[E]]+Table2[[#This Row],[Pile 
Deviation 
E (m)]]</f>
        <v>693962.37199999997</v>
      </c>
      <c r="W1406" s="7">
        <v>0.24</v>
      </c>
      <c r="X1406" s="2" t="s">
        <v>51</v>
      </c>
    </row>
    <row r="1407" spans="1:24" ht="13.95" hidden="1" customHeight="1" x14ac:dyDescent="0.65">
      <c r="A1407">
        <v>1401</v>
      </c>
      <c r="B1407" t="s">
        <v>29</v>
      </c>
      <c r="C1407" s="6">
        <v>1511722.054</v>
      </c>
      <c r="D1407" s="6">
        <v>693944.52500000002</v>
      </c>
      <c r="E1407" s="2" t="s">
        <v>35</v>
      </c>
      <c r="F1407" s="1">
        <v>24</v>
      </c>
      <c r="G1407" s="2" t="s">
        <v>50</v>
      </c>
      <c r="J1407"/>
      <c r="K1407" s="19"/>
      <c r="L1407" s="21"/>
      <c r="M1407" s="27"/>
      <c r="N1407" s="19"/>
      <c r="O1407" s="21"/>
      <c r="Q1407" s="7">
        <f>Table2[[#This Row],[Elevation
PILE TOP]]-Table2[[#This Row],[LENGTH(m.)
(Actual)]]</f>
        <v>0</v>
      </c>
      <c r="R1407" s="2"/>
      <c r="S1407" s="7">
        <f>Table2[[#This Row],[N]]+Table2[[#This Row],[Pile 
Deviation 
N (m)]]</f>
        <v>1511722.054</v>
      </c>
      <c r="T1407" s="7">
        <f>Table2[[#This Row],[E]]+Table2[[#This Row],[Pile 
Deviation 
E (m)]]</f>
        <v>693944.52500000002</v>
      </c>
      <c r="W1407" s="7">
        <v>0.24</v>
      </c>
      <c r="X1407" s="2" t="s">
        <v>51</v>
      </c>
    </row>
    <row r="1408" spans="1:24" hidden="1" x14ac:dyDescent="0.65">
      <c r="A1408">
        <v>1402</v>
      </c>
      <c r="B1408" t="s">
        <v>29</v>
      </c>
      <c r="C1408" s="6">
        <v>1511721.9839999999</v>
      </c>
      <c r="D1408" s="6">
        <v>693918.28300000005</v>
      </c>
      <c r="E1408" s="2" t="s">
        <v>35</v>
      </c>
      <c r="F1408" s="1">
        <v>24</v>
      </c>
      <c r="G1408" s="2" t="s">
        <v>50</v>
      </c>
      <c r="J1408"/>
      <c r="K1408" s="19"/>
      <c r="L1408" s="21"/>
      <c r="M1408" s="27"/>
      <c r="N1408" s="19"/>
      <c r="O1408" s="21"/>
      <c r="Q1408" s="7">
        <f>Table2[[#This Row],[Elevation
PILE TOP]]-Table2[[#This Row],[LENGTH(m.)
(Actual)]]</f>
        <v>0</v>
      </c>
      <c r="R1408" s="2"/>
      <c r="S1408" s="7">
        <f>Table2[[#This Row],[N]]+Table2[[#This Row],[Pile 
Deviation 
N (m)]]</f>
        <v>1511721.9839999999</v>
      </c>
      <c r="T1408" s="7">
        <f>Table2[[#This Row],[E]]+Table2[[#This Row],[Pile 
Deviation 
E (m)]]</f>
        <v>693918.28300000005</v>
      </c>
      <c r="W1408" s="7">
        <v>0.24</v>
      </c>
      <c r="X1408" s="2" t="s">
        <v>51</v>
      </c>
    </row>
    <row r="1409" spans="1:24" ht="13.95" hidden="1" customHeight="1" x14ac:dyDescent="0.65">
      <c r="A1409">
        <v>1403</v>
      </c>
      <c r="B1409" t="s">
        <v>29</v>
      </c>
      <c r="C1409" s="6">
        <v>1511721.395</v>
      </c>
      <c r="D1409" s="6">
        <v>693958.94099999999</v>
      </c>
      <c r="E1409" s="2" t="s">
        <v>35</v>
      </c>
      <c r="F1409" s="1">
        <v>24</v>
      </c>
      <c r="G1409" s="2" t="s">
        <v>50</v>
      </c>
      <c r="J1409"/>
      <c r="K1409" s="19"/>
      <c r="L1409" s="21"/>
      <c r="M1409" s="27"/>
      <c r="N1409" s="19"/>
      <c r="O1409" s="21"/>
      <c r="Q1409" s="7">
        <f>Table2[[#This Row],[Elevation
PILE TOP]]-Table2[[#This Row],[LENGTH(m.)
(Actual)]]</f>
        <v>0</v>
      </c>
      <c r="R1409" s="2"/>
      <c r="S1409" s="7">
        <f>Table2[[#This Row],[N]]+Table2[[#This Row],[Pile 
Deviation 
N (m)]]</f>
        <v>1511721.395</v>
      </c>
      <c r="T1409" s="7">
        <f>Table2[[#This Row],[E]]+Table2[[#This Row],[Pile 
Deviation 
E (m)]]</f>
        <v>693958.94099999999</v>
      </c>
      <c r="W1409" s="7">
        <v>0.24</v>
      </c>
      <c r="X1409" s="2" t="s">
        <v>51</v>
      </c>
    </row>
    <row r="1410" spans="1:24" hidden="1" x14ac:dyDescent="0.65">
      <c r="A1410">
        <v>1404</v>
      </c>
      <c r="B1410" t="s">
        <v>29</v>
      </c>
      <c r="C1410" s="6">
        <v>1511721.372</v>
      </c>
      <c r="D1410" s="6">
        <v>693914.50300000003</v>
      </c>
      <c r="E1410" s="2" t="s">
        <v>35</v>
      </c>
      <c r="F1410" s="1">
        <v>24</v>
      </c>
      <c r="G1410" s="2" t="s">
        <v>50</v>
      </c>
      <c r="J1410"/>
      <c r="K1410" s="19"/>
      <c r="L1410" s="21"/>
      <c r="M1410" s="27"/>
      <c r="N1410" s="19"/>
      <c r="O1410" s="21"/>
      <c r="Q1410" s="7">
        <f>Table2[[#This Row],[Elevation
PILE TOP]]-Table2[[#This Row],[LENGTH(m.)
(Actual)]]</f>
        <v>0</v>
      </c>
      <c r="R1410" s="2"/>
      <c r="S1410" s="7">
        <f>Table2[[#This Row],[N]]+Table2[[#This Row],[Pile 
Deviation 
N (m)]]</f>
        <v>1511721.372</v>
      </c>
      <c r="T1410" s="7">
        <f>Table2[[#This Row],[E]]+Table2[[#This Row],[Pile 
Deviation 
E (m)]]</f>
        <v>693914.50300000003</v>
      </c>
      <c r="W1410" s="7">
        <v>0.24</v>
      </c>
      <c r="X1410" s="2" t="s">
        <v>51</v>
      </c>
    </row>
    <row r="1411" spans="1:24" ht="13.95" hidden="1" customHeight="1" x14ac:dyDescent="0.65">
      <c r="A1411">
        <v>1405</v>
      </c>
      <c r="B1411" t="s">
        <v>29</v>
      </c>
      <c r="C1411" s="6">
        <v>1511721.361</v>
      </c>
      <c r="D1411" s="6">
        <v>693941.09499999997</v>
      </c>
      <c r="E1411" s="2" t="s">
        <v>35</v>
      </c>
      <c r="F1411" s="1">
        <v>24</v>
      </c>
      <c r="G1411" s="2" t="s">
        <v>50</v>
      </c>
      <c r="J1411"/>
      <c r="K1411" s="19"/>
      <c r="L1411" s="21"/>
      <c r="M1411" s="27"/>
      <c r="N1411" s="19"/>
      <c r="O1411" s="21"/>
      <c r="Q1411" s="7">
        <f>Table2[[#This Row],[Elevation
PILE TOP]]-Table2[[#This Row],[LENGTH(m.)
(Actual)]]</f>
        <v>0</v>
      </c>
      <c r="R1411" s="2"/>
      <c r="S1411" s="7">
        <f>Table2[[#This Row],[N]]+Table2[[#This Row],[Pile 
Deviation 
N (m)]]</f>
        <v>1511721.361</v>
      </c>
      <c r="T1411" s="7">
        <f>Table2[[#This Row],[E]]+Table2[[#This Row],[Pile 
Deviation 
E (m)]]</f>
        <v>693941.09499999997</v>
      </c>
      <c r="W1411" s="7">
        <v>0.24</v>
      </c>
      <c r="X1411" s="2" t="s">
        <v>51</v>
      </c>
    </row>
    <row r="1412" spans="1:24" hidden="1" x14ac:dyDescent="0.65">
      <c r="A1412">
        <v>1406</v>
      </c>
      <c r="B1412" t="s">
        <v>29</v>
      </c>
      <c r="C1412" s="6">
        <v>1511721.2009999999</v>
      </c>
      <c r="D1412" s="6">
        <v>693928.93299999996</v>
      </c>
      <c r="E1412" s="2" t="s">
        <v>35</v>
      </c>
      <c r="F1412" s="1">
        <v>24</v>
      </c>
      <c r="G1412" s="2" t="s">
        <v>50</v>
      </c>
      <c r="J1412"/>
      <c r="K1412" s="19"/>
      <c r="L1412" s="21"/>
      <c r="M1412" s="27"/>
      <c r="N1412" s="19"/>
      <c r="O1412" s="21"/>
      <c r="Q1412" s="7">
        <f>Table2[[#This Row],[Elevation
PILE TOP]]-Table2[[#This Row],[LENGTH(m.)
(Actual)]]</f>
        <v>0</v>
      </c>
      <c r="R1412" s="2"/>
      <c r="S1412" s="7">
        <f>Table2[[#This Row],[N]]+Table2[[#This Row],[Pile 
Deviation 
N (m)]]</f>
        <v>1511721.2009999999</v>
      </c>
      <c r="T1412" s="7">
        <f>Table2[[#This Row],[E]]+Table2[[#This Row],[Pile 
Deviation 
E (m)]]</f>
        <v>693928.93299999996</v>
      </c>
      <c r="W1412" s="7">
        <v>0.24</v>
      </c>
      <c r="X1412" s="2" t="s">
        <v>51</v>
      </c>
    </row>
    <row r="1413" spans="1:24" ht="13.95" hidden="1" customHeight="1" x14ac:dyDescent="0.65">
      <c r="A1413">
        <v>1407</v>
      </c>
      <c r="B1413" t="s">
        <v>29</v>
      </c>
      <c r="C1413" s="6">
        <v>1511720.702</v>
      </c>
      <c r="D1413" s="6">
        <v>693955.51100000006</v>
      </c>
      <c r="E1413" s="2" t="s">
        <v>35</v>
      </c>
      <c r="F1413" s="1">
        <v>24</v>
      </c>
      <c r="G1413" s="2" t="s">
        <v>50</v>
      </c>
      <c r="J1413"/>
      <c r="K1413" s="19"/>
      <c r="L1413" s="21"/>
      <c r="M1413" s="27"/>
      <c r="N1413" s="19"/>
      <c r="O1413" s="21"/>
      <c r="Q1413" s="7">
        <f>Table2[[#This Row],[Elevation
PILE TOP]]-Table2[[#This Row],[LENGTH(m.)
(Actual)]]</f>
        <v>0</v>
      </c>
      <c r="R1413" s="2"/>
      <c r="S1413" s="7">
        <f>Table2[[#This Row],[N]]+Table2[[#This Row],[Pile 
Deviation 
N (m)]]</f>
        <v>1511720.702</v>
      </c>
      <c r="T1413" s="7">
        <f>Table2[[#This Row],[E]]+Table2[[#This Row],[Pile 
Deviation 
E (m)]]</f>
        <v>693955.51100000006</v>
      </c>
      <c r="W1413" s="7">
        <v>0.24</v>
      </c>
      <c r="X1413" s="2" t="s">
        <v>51</v>
      </c>
    </row>
    <row r="1414" spans="1:24" hidden="1" x14ac:dyDescent="0.65">
      <c r="A1414">
        <v>1408</v>
      </c>
      <c r="B1414" t="s">
        <v>29</v>
      </c>
      <c r="C1414" s="6">
        <v>1511720.669</v>
      </c>
      <c r="D1414" s="6">
        <v>693937.66399999999</v>
      </c>
      <c r="E1414" s="2" t="s">
        <v>35</v>
      </c>
      <c r="F1414" s="1">
        <v>24</v>
      </c>
      <c r="G1414" s="2" t="s">
        <v>50</v>
      </c>
      <c r="J1414"/>
      <c r="K1414" s="19"/>
      <c r="L1414" s="21"/>
      <c r="M1414" s="27"/>
      <c r="N1414" s="19"/>
      <c r="O1414" s="21"/>
      <c r="Q1414" s="7">
        <f>Table2[[#This Row],[Elevation
PILE TOP]]-Table2[[#This Row],[LENGTH(m.)
(Actual)]]</f>
        <v>0</v>
      </c>
      <c r="R1414" s="2"/>
      <c r="S1414" s="7">
        <f>Table2[[#This Row],[N]]+Table2[[#This Row],[Pile 
Deviation 
N (m)]]</f>
        <v>1511720.669</v>
      </c>
      <c r="T1414" s="7">
        <f>Table2[[#This Row],[E]]+Table2[[#This Row],[Pile 
Deviation 
E (m)]]</f>
        <v>693937.66399999999</v>
      </c>
      <c r="W1414" s="7">
        <v>0.24</v>
      </c>
      <c r="X1414" s="2" t="s">
        <v>51</v>
      </c>
    </row>
    <row r="1415" spans="1:24" ht="13.95" hidden="1" customHeight="1" x14ac:dyDescent="0.65">
      <c r="A1415">
        <v>1409</v>
      </c>
      <c r="B1415" t="s">
        <v>29</v>
      </c>
      <c r="C1415" s="6">
        <v>1511720.483</v>
      </c>
      <c r="D1415" s="6">
        <v>693917.88800000004</v>
      </c>
      <c r="E1415" s="2" t="s">
        <v>35</v>
      </c>
      <c r="F1415" s="1">
        <v>24</v>
      </c>
      <c r="G1415" s="2" t="s">
        <v>50</v>
      </c>
      <c r="J1415"/>
      <c r="K1415" s="19"/>
      <c r="L1415" s="21"/>
      <c r="M1415" s="27"/>
      <c r="N1415" s="19"/>
      <c r="O1415" s="21"/>
      <c r="Q1415" s="7">
        <f>Table2[[#This Row],[Elevation
PILE TOP]]-Table2[[#This Row],[LENGTH(m.)
(Actual)]]</f>
        <v>0</v>
      </c>
      <c r="R1415" s="2"/>
      <c r="S1415" s="7">
        <f>Table2[[#This Row],[N]]+Table2[[#This Row],[Pile 
Deviation 
N (m)]]</f>
        <v>1511720.483</v>
      </c>
      <c r="T1415" s="7">
        <f>Table2[[#This Row],[E]]+Table2[[#This Row],[Pile 
Deviation 
E (m)]]</f>
        <v>693917.88800000004</v>
      </c>
      <c r="W1415" s="7">
        <v>0.24</v>
      </c>
      <c r="X1415" s="2" t="s">
        <v>51</v>
      </c>
    </row>
    <row r="1416" spans="1:24" hidden="1" x14ac:dyDescent="0.65">
      <c r="A1416">
        <v>1410</v>
      </c>
      <c r="B1416" t="s">
        <v>29</v>
      </c>
      <c r="C1416" s="6">
        <v>1511720.3119999999</v>
      </c>
      <c r="D1416" s="6">
        <v>693932.31799999997</v>
      </c>
      <c r="E1416" s="2" t="s">
        <v>35</v>
      </c>
      <c r="F1416" s="1">
        <v>24</v>
      </c>
      <c r="G1416" s="2" t="s">
        <v>50</v>
      </c>
      <c r="J1416"/>
      <c r="K1416" s="19"/>
      <c r="L1416" s="21"/>
      <c r="M1416" s="27"/>
      <c r="N1416" s="19"/>
      <c r="O1416" s="21"/>
      <c r="Q1416" s="7">
        <f>Table2[[#This Row],[Elevation
PILE TOP]]-Table2[[#This Row],[LENGTH(m.)
(Actual)]]</f>
        <v>0</v>
      </c>
      <c r="R1416" s="2"/>
      <c r="S1416" s="7">
        <f>Table2[[#This Row],[N]]+Table2[[#This Row],[Pile 
Deviation 
N (m)]]</f>
        <v>1511720.3119999999</v>
      </c>
      <c r="T1416" s="7">
        <f>Table2[[#This Row],[E]]+Table2[[#This Row],[Pile 
Deviation 
E (m)]]</f>
        <v>693932.31799999997</v>
      </c>
      <c r="W1416" s="7">
        <v>0.24</v>
      </c>
      <c r="X1416" s="2" t="s">
        <v>51</v>
      </c>
    </row>
    <row r="1417" spans="1:24" ht="13.95" hidden="1" customHeight="1" x14ac:dyDescent="0.65">
      <c r="A1417">
        <v>1411</v>
      </c>
      <c r="B1417" t="s">
        <v>29</v>
      </c>
      <c r="C1417" s="6">
        <v>1511720.1429999999</v>
      </c>
      <c r="D1417" s="6">
        <v>693935.06400000001</v>
      </c>
      <c r="E1417" s="2" t="s">
        <v>35</v>
      </c>
      <c r="F1417" s="1">
        <v>24</v>
      </c>
      <c r="G1417" s="2" t="s">
        <v>50</v>
      </c>
      <c r="J1417"/>
      <c r="K1417" s="19"/>
      <c r="L1417" s="21"/>
      <c r="M1417" s="27"/>
      <c r="N1417" s="19"/>
      <c r="O1417" s="21"/>
      <c r="Q1417" s="7">
        <f>Table2[[#This Row],[Elevation
PILE TOP]]-Table2[[#This Row],[LENGTH(m.)
(Actual)]]</f>
        <v>0</v>
      </c>
      <c r="R1417" s="2"/>
      <c r="S1417" s="7">
        <f>Table2[[#This Row],[N]]+Table2[[#This Row],[Pile 
Deviation 
N (m)]]</f>
        <v>1511720.1429999999</v>
      </c>
      <c r="T1417" s="7">
        <f>Table2[[#This Row],[E]]+Table2[[#This Row],[Pile 
Deviation 
E (m)]]</f>
        <v>693935.06400000001</v>
      </c>
      <c r="W1417" s="7">
        <v>0.24</v>
      </c>
      <c r="X1417" s="2" t="s">
        <v>51</v>
      </c>
    </row>
    <row r="1418" spans="1:24" hidden="1" x14ac:dyDescent="0.65">
      <c r="A1418">
        <v>1412</v>
      </c>
      <c r="B1418" t="s">
        <v>29</v>
      </c>
      <c r="C1418" s="6">
        <v>1511720.0090000001</v>
      </c>
      <c r="D1418" s="6">
        <v>693952.08</v>
      </c>
      <c r="E1418" s="2" t="s">
        <v>35</v>
      </c>
      <c r="F1418" s="1">
        <v>24</v>
      </c>
      <c r="G1418" s="2" t="s">
        <v>50</v>
      </c>
      <c r="J1418"/>
      <c r="K1418" s="19"/>
      <c r="L1418" s="21"/>
      <c r="M1418" s="27"/>
      <c r="N1418" s="19"/>
      <c r="O1418" s="21"/>
      <c r="Q1418" s="7">
        <f>Table2[[#This Row],[Elevation
PILE TOP]]-Table2[[#This Row],[LENGTH(m.)
(Actual)]]</f>
        <v>0</v>
      </c>
      <c r="R1418" s="2"/>
      <c r="S1418" s="7">
        <f>Table2[[#This Row],[N]]+Table2[[#This Row],[Pile 
Deviation 
N (m)]]</f>
        <v>1511720.0090000001</v>
      </c>
      <c r="T1418" s="7">
        <f>Table2[[#This Row],[E]]+Table2[[#This Row],[Pile 
Deviation 
E (m)]]</f>
        <v>693952.08</v>
      </c>
      <c r="W1418" s="7">
        <v>0.24</v>
      </c>
      <c r="X1418" s="2" t="s">
        <v>51</v>
      </c>
    </row>
    <row r="1419" spans="1:24" ht="13.95" hidden="1" customHeight="1" x14ac:dyDescent="0.65">
      <c r="A1419">
        <v>1413</v>
      </c>
      <c r="B1419" t="s">
        <v>29</v>
      </c>
      <c r="C1419" s="6">
        <v>1511719.7649999999</v>
      </c>
      <c r="D1419" s="6">
        <v>693906.84400000004</v>
      </c>
      <c r="E1419" s="2" t="s">
        <v>35</v>
      </c>
      <c r="F1419" s="1">
        <v>24</v>
      </c>
      <c r="G1419" s="2" t="s">
        <v>50</v>
      </c>
      <c r="J1419"/>
      <c r="K1419" s="19"/>
      <c r="L1419" s="21"/>
      <c r="M1419" s="27"/>
      <c r="N1419" s="19"/>
      <c r="O1419" s="21"/>
      <c r="Q1419" s="7">
        <f>Table2[[#This Row],[Elevation
PILE TOP]]-Table2[[#This Row],[LENGTH(m.)
(Actual)]]</f>
        <v>0</v>
      </c>
      <c r="R1419" s="2"/>
      <c r="S1419" s="7">
        <f>Table2[[#This Row],[N]]+Table2[[#This Row],[Pile 
Deviation 
N (m)]]</f>
        <v>1511719.7649999999</v>
      </c>
      <c r="T1419" s="7">
        <f>Table2[[#This Row],[E]]+Table2[[#This Row],[Pile 
Deviation 
E (m)]]</f>
        <v>693906.84400000004</v>
      </c>
      <c r="W1419" s="7">
        <v>0.24</v>
      </c>
      <c r="X1419" s="2" t="s">
        <v>51</v>
      </c>
    </row>
    <row r="1420" spans="1:24" hidden="1" x14ac:dyDescent="0.65">
      <c r="A1420">
        <v>1414</v>
      </c>
      <c r="B1420" t="s">
        <v>29</v>
      </c>
      <c r="C1420" s="6">
        <v>1511719.594</v>
      </c>
      <c r="D1420" s="6">
        <v>693921.27300000004</v>
      </c>
      <c r="E1420" s="2" t="s">
        <v>35</v>
      </c>
      <c r="F1420" s="1">
        <v>24</v>
      </c>
      <c r="G1420" s="2" t="s">
        <v>50</v>
      </c>
      <c r="J1420"/>
      <c r="K1420" s="19"/>
      <c r="L1420" s="21"/>
      <c r="M1420" s="27"/>
      <c r="N1420" s="19"/>
      <c r="O1420" s="21"/>
      <c r="Q1420" s="7">
        <f>Table2[[#This Row],[Elevation
PILE TOP]]-Table2[[#This Row],[LENGTH(m.)
(Actual)]]</f>
        <v>0</v>
      </c>
      <c r="R1420" s="2"/>
      <c r="S1420" s="7">
        <f>Table2[[#This Row],[N]]+Table2[[#This Row],[Pile 
Deviation 
N (m)]]</f>
        <v>1511719.594</v>
      </c>
      <c r="T1420" s="7">
        <f>Table2[[#This Row],[E]]+Table2[[#This Row],[Pile 
Deviation 
E (m)]]</f>
        <v>693921.27300000004</v>
      </c>
      <c r="W1420" s="7">
        <v>0.24</v>
      </c>
      <c r="X1420" s="2" t="s">
        <v>51</v>
      </c>
    </row>
    <row r="1421" spans="1:24" ht="13.95" hidden="1" customHeight="1" x14ac:dyDescent="0.65">
      <c r="A1421">
        <v>1415</v>
      </c>
      <c r="B1421" t="s">
        <v>29</v>
      </c>
      <c r="C1421" s="6">
        <v>1511719.517</v>
      </c>
      <c r="D1421" s="6">
        <v>694055.728</v>
      </c>
      <c r="E1421" s="2" t="s">
        <v>35</v>
      </c>
      <c r="F1421" s="1">
        <v>24</v>
      </c>
      <c r="G1421" s="2" t="s">
        <v>50</v>
      </c>
      <c r="J1421"/>
      <c r="K1421" s="19"/>
      <c r="L1421" s="21"/>
      <c r="M1421" s="27"/>
      <c r="N1421" s="19"/>
      <c r="O1421" s="21"/>
      <c r="Q1421" s="7">
        <f>Table2[[#This Row],[Elevation
PILE TOP]]-Table2[[#This Row],[LENGTH(m.)
(Actual)]]</f>
        <v>0</v>
      </c>
      <c r="R1421" s="2"/>
      <c r="S1421" s="7">
        <f>Table2[[#This Row],[N]]+Table2[[#This Row],[Pile 
Deviation 
N (m)]]</f>
        <v>1511719.517</v>
      </c>
      <c r="T1421" s="7">
        <f>Table2[[#This Row],[E]]+Table2[[#This Row],[Pile 
Deviation 
E (m)]]</f>
        <v>694055.728</v>
      </c>
      <c r="W1421" s="7">
        <v>0.24</v>
      </c>
      <c r="X1421" s="2" t="s">
        <v>51</v>
      </c>
    </row>
    <row r="1422" spans="1:24" hidden="1" x14ac:dyDescent="0.65">
      <c r="A1422">
        <v>1416</v>
      </c>
      <c r="B1422" t="s">
        <v>29</v>
      </c>
      <c r="C1422" s="6">
        <v>1511719.3160000001</v>
      </c>
      <c r="D1422" s="6">
        <v>693948.64899999998</v>
      </c>
      <c r="E1422" s="2" t="s">
        <v>35</v>
      </c>
      <c r="F1422" s="1">
        <v>24</v>
      </c>
      <c r="G1422" s="2" t="s">
        <v>50</v>
      </c>
      <c r="J1422"/>
      <c r="K1422" s="19"/>
      <c r="L1422" s="21"/>
      <c r="M1422" s="27"/>
      <c r="N1422" s="19"/>
      <c r="O1422" s="21"/>
      <c r="Q1422" s="7">
        <f>Table2[[#This Row],[Elevation
PILE TOP]]-Table2[[#This Row],[LENGTH(m.)
(Actual)]]</f>
        <v>0</v>
      </c>
      <c r="R1422" s="2"/>
      <c r="S1422" s="7">
        <f>Table2[[#This Row],[N]]+Table2[[#This Row],[Pile 
Deviation 
N (m)]]</f>
        <v>1511719.3160000001</v>
      </c>
      <c r="T1422" s="7">
        <f>Table2[[#This Row],[E]]+Table2[[#This Row],[Pile 
Deviation 
E (m)]]</f>
        <v>693948.64899999998</v>
      </c>
      <c r="W1422" s="7">
        <v>0.24</v>
      </c>
      <c r="X1422" s="2" t="s">
        <v>51</v>
      </c>
    </row>
    <row r="1423" spans="1:24" ht="13.95" hidden="1" customHeight="1" x14ac:dyDescent="0.65">
      <c r="A1423">
        <v>1417</v>
      </c>
      <c r="B1423" t="s">
        <v>29</v>
      </c>
      <c r="C1423" s="6">
        <v>1511718.8759999999</v>
      </c>
      <c r="D1423" s="6">
        <v>693910.22900000005</v>
      </c>
      <c r="E1423" s="2" t="s">
        <v>35</v>
      </c>
      <c r="F1423" s="1">
        <v>24</v>
      </c>
      <c r="G1423" s="2" t="s">
        <v>50</v>
      </c>
      <c r="J1423"/>
      <c r="K1423" s="19"/>
      <c r="L1423" s="21"/>
      <c r="M1423" s="27"/>
      <c r="N1423" s="19"/>
      <c r="O1423" s="21"/>
      <c r="Q1423" s="7">
        <f>Table2[[#This Row],[Elevation
PILE TOP]]-Table2[[#This Row],[LENGTH(m.)
(Actual)]]</f>
        <v>0</v>
      </c>
      <c r="R1423" s="2"/>
      <c r="S1423" s="7">
        <f>Table2[[#This Row],[N]]+Table2[[#This Row],[Pile 
Deviation 
N (m)]]</f>
        <v>1511718.8759999999</v>
      </c>
      <c r="T1423" s="7">
        <f>Table2[[#This Row],[E]]+Table2[[#This Row],[Pile 
Deviation 
E (m)]]</f>
        <v>693910.22900000005</v>
      </c>
      <c r="W1423" s="7">
        <v>0.24</v>
      </c>
      <c r="X1423" s="2" t="s">
        <v>51</v>
      </c>
    </row>
    <row r="1424" spans="1:24" hidden="1" x14ac:dyDescent="0.65">
      <c r="A1424">
        <v>1418</v>
      </c>
      <c r="B1424" t="s">
        <v>29</v>
      </c>
      <c r="C1424" s="6">
        <v>1511718.824</v>
      </c>
      <c r="D1424" s="6">
        <v>694052.29799999995</v>
      </c>
      <c r="E1424" s="2" t="s">
        <v>35</v>
      </c>
      <c r="F1424" s="1">
        <v>24</v>
      </c>
      <c r="G1424" s="2" t="s">
        <v>50</v>
      </c>
      <c r="J1424"/>
      <c r="K1424" s="19"/>
      <c r="L1424" s="21"/>
      <c r="M1424" s="27"/>
      <c r="N1424" s="19"/>
      <c r="O1424" s="21"/>
      <c r="Q1424" s="7">
        <f>Table2[[#This Row],[Elevation
PILE TOP]]-Table2[[#This Row],[LENGTH(m.)
(Actual)]]</f>
        <v>0</v>
      </c>
      <c r="R1424" s="2"/>
      <c r="S1424" s="7">
        <f>Table2[[#This Row],[N]]+Table2[[#This Row],[Pile 
Deviation 
N (m)]]</f>
        <v>1511718.824</v>
      </c>
      <c r="T1424" s="7">
        <f>Table2[[#This Row],[E]]+Table2[[#This Row],[Pile 
Deviation 
E (m)]]</f>
        <v>694052.29799999995</v>
      </c>
      <c r="W1424" s="7">
        <v>0.24</v>
      </c>
      <c r="X1424" s="2" t="s">
        <v>51</v>
      </c>
    </row>
    <row r="1425" spans="1:24" ht="13.95" hidden="1" customHeight="1" x14ac:dyDescent="0.65">
      <c r="A1425">
        <v>1419</v>
      </c>
      <c r="B1425" t="s">
        <v>29</v>
      </c>
      <c r="C1425" s="6">
        <v>1511718.7050000001</v>
      </c>
      <c r="D1425" s="6">
        <v>693924.65899999999</v>
      </c>
      <c r="E1425" s="2" t="s">
        <v>35</v>
      </c>
      <c r="F1425" s="1">
        <v>24</v>
      </c>
      <c r="G1425" s="2" t="s">
        <v>50</v>
      </c>
      <c r="J1425"/>
      <c r="K1425" s="19"/>
      <c r="L1425" s="21"/>
      <c r="M1425" s="27"/>
      <c r="N1425" s="19"/>
      <c r="O1425" s="21"/>
      <c r="Q1425" s="7">
        <f>Table2[[#This Row],[Elevation
PILE TOP]]-Table2[[#This Row],[LENGTH(m.)
(Actual)]]</f>
        <v>0</v>
      </c>
      <c r="R1425" s="2"/>
      <c r="S1425" s="7">
        <f>Table2[[#This Row],[N]]+Table2[[#This Row],[Pile 
Deviation 
N (m)]]</f>
        <v>1511718.7050000001</v>
      </c>
      <c r="T1425" s="7">
        <f>Table2[[#This Row],[E]]+Table2[[#This Row],[Pile 
Deviation 
E (m)]]</f>
        <v>693924.65899999999</v>
      </c>
      <c r="W1425" s="7">
        <v>0.24</v>
      </c>
      <c r="X1425" s="2" t="s">
        <v>51</v>
      </c>
    </row>
    <row r="1426" spans="1:24" hidden="1" x14ac:dyDescent="0.65">
      <c r="A1426">
        <v>1420</v>
      </c>
      <c r="B1426" t="s">
        <v>29</v>
      </c>
      <c r="C1426" s="6">
        <v>1511718.6569999999</v>
      </c>
      <c r="D1426" s="6">
        <v>693963.06499999994</v>
      </c>
      <c r="E1426" s="2" t="s">
        <v>35</v>
      </c>
      <c r="F1426" s="1">
        <v>24</v>
      </c>
      <c r="G1426" s="2" t="s">
        <v>50</v>
      </c>
      <c r="J1426"/>
      <c r="K1426" s="19"/>
      <c r="L1426" s="21"/>
      <c r="M1426" s="27"/>
      <c r="N1426" s="19"/>
      <c r="O1426" s="21"/>
      <c r="Q1426" s="7">
        <f>Table2[[#This Row],[Elevation
PILE TOP]]-Table2[[#This Row],[LENGTH(m.)
(Actual)]]</f>
        <v>0</v>
      </c>
      <c r="R1426" s="2"/>
      <c r="S1426" s="7">
        <f>Table2[[#This Row],[N]]+Table2[[#This Row],[Pile 
Deviation 
N (m)]]</f>
        <v>1511718.6569999999</v>
      </c>
      <c r="T1426" s="7">
        <f>Table2[[#This Row],[E]]+Table2[[#This Row],[Pile 
Deviation 
E (m)]]</f>
        <v>693963.06499999994</v>
      </c>
      <c r="W1426" s="7">
        <v>0.24</v>
      </c>
      <c r="X1426" s="2" t="s">
        <v>51</v>
      </c>
    </row>
    <row r="1427" spans="1:24" ht="13.95" hidden="1" customHeight="1" x14ac:dyDescent="0.65">
      <c r="A1427">
        <v>1421</v>
      </c>
      <c r="B1427" t="s">
        <v>29</v>
      </c>
      <c r="C1427" s="6">
        <v>1511718.6229999999</v>
      </c>
      <c r="D1427" s="6">
        <v>693945.21799999999</v>
      </c>
      <c r="E1427" s="2" t="s">
        <v>35</v>
      </c>
      <c r="F1427" s="1">
        <v>24</v>
      </c>
      <c r="G1427" s="2" t="s">
        <v>50</v>
      </c>
      <c r="J1427"/>
      <c r="K1427" s="19"/>
      <c r="L1427" s="21"/>
      <c r="M1427" s="27"/>
      <c r="N1427" s="19"/>
      <c r="O1427" s="21"/>
      <c r="Q1427" s="7">
        <f>Table2[[#This Row],[Elevation
PILE TOP]]-Table2[[#This Row],[LENGTH(m.)
(Actual)]]</f>
        <v>0</v>
      </c>
      <c r="R1427" s="2"/>
      <c r="S1427" s="7">
        <f>Table2[[#This Row],[N]]+Table2[[#This Row],[Pile 
Deviation 
N (m)]]</f>
        <v>1511718.6229999999</v>
      </c>
      <c r="T1427" s="7">
        <f>Table2[[#This Row],[E]]+Table2[[#This Row],[Pile 
Deviation 
E (m)]]</f>
        <v>693945.21799999999</v>
      </c>
      <c r="W1427" s="7">
        <v>0.24</v>
      </c>
      <c r="X1427" s="2" t="s">
        <v>51</v>
      </c>
    </row>
    <row r="1428" spans="1:24" hidden="1" x14ac:dyDescent="0.65">
      <c r="A1428">
        <v>1422</v>
      </c>
      <c r="B1428" t="s">
        <v>29</v>
      </c>
      <c r="C1428" s="6">
        <v>1511718.1310000001</v>
      </c>
      <c r="D1428" s="6">
        <v>694048.86699999997</v>
      </c>
      <c r="E1428" s="2" t="s">
        <v>35</v>
      </c>
      <c r="F1428" s="1">
        <v>24</v>
      </c>
      <c r="G1428" s="2" t="s">
        <v>50</v>
      </c>
      <c r="J1428"/>
      <c r="K1428" s="19"/>
      <c r="L1428" s="21"/>
      <c r="M1428" s="27"/>
      <c r="N1428" s="19"/>
      <c r="O1428" s="21"/>
      <c r="Q1428" s="7">
        <f>Table2[[#This Row],[Elevation
PILE TOP]]-Table2[[#This Row],[LENGTH(m.)
(Actual)]]</f>
        <v>0</v>
      </c>
      <c r="R1428" s="2"/>
      <c r="S1428" s="7">
        <f>Table2[[#This Row],[N]]+Table2[[#This Row],[Pile 
Deviation 
N (m)]]</f>
        <v>1511718.1310000001</v>
      </c>
      <c r="T1428" s="7">
        <f>Table2[[#This Row],[E]]+Table2[[#This Row],[Pile 
Deviation 
E (m)]]</f>
        <v>694048.86699999997</v>
      </c>
      <c r="W1428" s="7">
        <v>0.24</v>
      </c>
      <c r="X1428" s="2" t="s">
        <v>51</v>
      </c>
    </row>
    <row r="1429" spans="1:24" ht="13.95" hidden="1" customHeight="1" x14ac:dyDescent="0.65">
      <c r="A1429">
        <v>1423</v>
      </c>
      <c r="B1429" t="s">
        <v>29</v>
      </c>
      <c r="C1429" s="6">
        <v>1511717.987</v>
      </c>
      <c r="D1429" s="6">
        <v>693913.61399999994</v>
      </c>
      <c r="E1429" s="2" t="s">
        <v>35</v>
      </c>
      <c r="F1429" s="1">
        <v>24</v>
      </c>
      <c r="G1429" s="2" t="s">
        <v>50</v>
      </c>
      <c r="J1429"/>
      <c r="K1429" s="19"/>
      <c r="L1429" s="21"/>
      <c r="M1429" s="27"/>
      <c r="N1429" s="19"/>
      <c r="O1429" s="21"/>
      <c r="Q1429" s="7">
        <f>Table2[[#This Row],[Elevation
PILE TOP]]-Table2[[#This Row],[LENGTH(m.)
(Actual)]]</f>
        <v>0</v>
      </c>
      <c r="R1429" s="2"/>
      <c r="S1429" s="7">
        <f>Table2[[#This Row],[N]]+Table2[[#This Row],[Pile 
Deviation 
N (m)]]</f>
        <v>1511717.987</v>
      </c>
      <c r="T1429" s="7">
        <f>Table2[[#This Row],[E]]+Table2[[#This Row],[Pile 
Deviation 
E (m)]]</f>
        <v>693913.61399999994</v>
      </c>
      <c r="W1429" s="7">
        <v>0.24</v>
      </c>
      <c r="X1429" s="2" t="s">
        <v>51</v>
      </c>
    </row>
    <row r="1430" spans="1:24" hidden="1" x14ac:dyDescent="0.65">
      <c r="A1430">
        <v>1424</v>
      </c>
      <c r="B1430" t="s">
        <v>29</v>
      </c>
      <c r="C1430" s="6">
        <v>1511717.9639999999</v>
      </c>
      <c r="D1430" s="6">
        <v>693959.63399999996</v>
      </c>
      <c r="E1430" s="2" t="s">
        <v>35</v>
      </c>
      <c r="F1430" s="1">
        <v>24</v>
      </c>
      <c r="G1430" s="2" t="s">
        <v>50</v>
      </c>
      <c r="J1430"/>
      <c r="K1430" s="19"/>
      <c r="L1430" s="21"/>
      <c r="M1430" s="27"/>
      <c r="N1430" s="19"/>
      <c r="O1430" s="21"/>
      <c r="Q1430" s="7">
        <f>Table2[[#This Row],[Elevation
PILE TOP]]-Table2[[#This Row],[LENGTH(m.)
(Actual)]]</f>
        <v>0</v>
      </c>
      <c r="R1430" s="2"/>
      <c r="S1430" s="7">
        <f>Table2[[#This Row],[N]]+Table2[[#This Row],[Pile 
Deviation 
N (m)]]</f>
        <v>1511717.9639999999</v>
      </c>
      <c r="T1430" s="7">
        <f>Table2[[#This Row],[E]]+Table2[[#This Row],[Pile 
Deviation 
E (m)]]</f>
        <v>693959.63399999996</v>
      </c>
      <c r="W1430" s="7">
        <v>0.24</v>
      </c>
      <c r="X1430" s="2" t="s">
        <v>51</v>
      </c>
    </row>
    <row r="1431" spans="1:24" ht="13.95" hidden="1" customHeight="1" x14ac:dyDescent="0.65">
      <c r="A1431">
        <v>1425</v>
      </c>
      <c r="B1431" t="s">
        <v>29</v>
      </c>
      <c r="C1431" s="6">
        <v>1511717.9310000001</v>
      </c>
      <c r="D1431" s="6">
        <v>693941.78799999994</v>
      </c>
      <c r="E1431" s="2" t="s">
        <v>35</v>
      </c>
      <c r="F1431" s="1">
        <v>24</v>
      </c>
      <c r="G1431" s="2" t="s">
        <v>50</v>
      </c>
      <c r="J1431"/>
      <c r="K1431" s="19"/>
      <c r="L1431" s="21"/>
      <c r="M1431" s="27"/>
      <c r="N1431" s="19"/>
      <c r="O1431" s="21"/>
      <c r="Q1431" s="7">
        <f>Table2[[#This Row],[Elevation
PILE TOP]]-Table2[[#This Row],[LENGTH(m.)
(Actual)]]</f>
        <v>0</v>
      </c>
      <c r="R1431" s="2"/>
      <c r="S1431" s="7">
        <f>Table2[[#This Row],[N]]+Table2[[#This Row],[Pile 
Deviation 
N (m)]]</f>
        <v>1511717.9310000001</v>
      </c>
      <c r="T1431" s="7">
        <f>Table2[[#This Row],[E]]+Table2[[#This Row],[Pile 
Deviation 
E (m)]]</f>
        <v>693941.78799999994</v>
      </c>
      <c r="W1431" s="7">
        <v>0.24</v>
      </c>
      <c r="X1431" s="2" t="s">
        <v>51</v>
      </c>
    </row>
    <row r="1432" spans="1:24" hidden="1" x14ac:dyDescent="0.65">
      <c r="A1432">
        <v>1426</v>
      </c>
      <c r="B1432" t="s">
        <v>29</v>
      </c>
      <c r="C1432" s="6">
        <v>1511717.8160000001</v>
      </c>
      <c r="D1432" s="6">
        <v>693928.04399999999</v>
      </c>
      <c r="E1432" s="2" t="s">
        <v>35</v>
      </c>
      <c r="F1432" s="1">
        <v>24</v>
      </c>
      <c r="G1432" s="2" t="s">
        <v>50</v>
      </c>
      <c r="J1432"/>
      <c r="K1432" s="19"/>
      <c r="L1432" s="21"/>
      <c r="M1432" s="27"/>
      <c r="N1432" s="19"/>
      <c r="O1432" s="21"/>
      <c r="Q1432" s="7">
        <f>Table2[[#This Row],[Elevation
PILE TOP]]-Table2[[#This Row],[LENGTH(m.)
(Actual)]]</f>
        <v>0</v>
      </c>
      <c r="R1432" s="2"/>
      <c r="S1432" s="7">
        <f>Table2[[#This Row],[N]]+Table2[[#This Row],[Pile 
Deviation 
N (m)]]</f>
        <v>1511717.8160000001</v>
      </c>
      <c r="T1432" s="7">
        <f>Table2[[#This Row],[E]]+Table2[[#This Row],[Pile 
Deviation 
E (m)]]</f>
        <v>693928.04399999999</v>
      </c>
      <c r="W1432" s="7">
        <v>0.24</v>
      </c>
      <c r="X1432" s="2" t="s">
        <v>51</v>
      </c>
    </row>
    <row r="1433" spans="1:24" ht="13.95" hidden="1" customHeight="1" x14ac:dyDescent="0.65">
      <c r="A1433">
        <v>1427</v>
      </c>
      <c r="B1433" t="s">
        <v>29</v>
      </c>
      <c r="C1433" s="6">
        <v>1511717.4380000001</v>
      </c>
      <c r="D1433" s="6">
        <v>694045.43599999999</v>
      </c>
      <c r="E1433" s="2" t="s">
        <v>35</v>
      </c>
      <c r="F1433" s="1">
        <v>24</v>
      </c>
      <c r="G1433" s="2" t="s">
        <v>50</v>
      </c>
      <c r="J1433"/>
      <c r="K1433" s="19"/>
      <c r="L1433" s="21"/>
      <c r="M1433" s="27"/>
      <c r="N1433" s="19"/>
      <c r="O1433" s="21"/>
      <c r="Q1433" s="7">
        <f>Table2[[#This Row],[Elevation
PILE TOP]]-Table2[[#This Row],[LENGTH(m.)
(Actual)]]</f>
        <v>0</v>
      </c>
      <c r="R1433" s="2"/>
      <c r="S1433" s="7">
        <f>Table2[[#This Row],[N]]+Table2[[#This Row],[Pile 
Deviation 
N (m)]]</f>
        <v>1511717.4380000001</v>
      </c>
      <c r="T1433" s="7">
        <f>Table2[[#This Row],[E]]+Table2[[#This Row],[Pile 
Deviation 
E (m)]]</f>
        <v>694045.43599999999</v>
      </c>
      <c r="W1433" s="7">
        <v>0.24</v>
      </c>
      <c r="X1433" s="2" t="s">
        <v>51</v>
      </c>
    </row>
    <row r="1434" spans="1:24" hidden="1" x14ac:dyDescent="0.65">
      <c r="A1434">
        <v>1428</v>
      </c>
      <c r="B1434" t="s">
        <v>29</v>
      </c>
      <c r="C1434" s="6">
        <v>1511717.2709999999</v>
      </c>
      <c r="D1434" s="6">
        <v>693956.20299999998</v>
      </c>
      <c r="E1434" s="2" t="s">
        <v>35</v>
      </c>
      <c r="F1434" s="1">
        <v>24</v>
      </c>
      <c r="G1434" s="2" t="s">
        <v>50</v>
      </c>
      <c r="J1434"/>
      <c r="K1434" s="19"/>
      <c r="L1434" s="21"/>
      <c r="M1434" s="27"/>
      <c r="N1434" s="19"/>
      <c r="O1434" s="21"/>
      <c r="Q1434" s="7">
        <f>Table2[[#This Row],[Elevation
PILE TOP]]-Table2[[#This Row],[LENGTH(m.)
(Actual)]]</f>
        <v>0</v>
      </c>
      <c r="R1434" s="2"/>
      <c r="S1434" s="7">
        <f>Table2[[#This Row],[N]]+Table2[[#This Row],[Pile 
Deviation 
N (m)]]</f>
        <v>1511717.2709999999</v>
      </c>
      <c r="T1434" s="7">
        <f>Table2[[#This Row],[E]]+Table2[[#This Row],[Pile 
Deviation 
E (m)]]</f>
        <v>693956.20299999998</v>
      </c>
      <c r="W1434" s="7">
        <v>0.24</v>
      </c>
      <c r="X1434" s="2" t="s">
        <v>51</v>
      </c>
    </row>
    <row r="1435" spans="1:24" ht="13.95" hidden="1" customHeight="1" x14ac:dyDescent="0.65">
      <c r="A1435">
        <v>1429</v>
      </c>
      <c r="B1435" t="s">
        <v>29</v>
      </c>
      <c r="C1435" s="6">
        <v>1511717.2379999999</v>
      </c>
      <c r="D1435" s="6">
        <v>693938.35699999996</v>
      </c>
      <c r="E1435" s="2" t="s">
        <v>35</v>
      </c>
      <c r="F1435" s="1">
        <v>24</v>
      </c>
      <c r="G1435" s="2" t="s">
        <v>50</v>
      </c>
      <c r="J1435"/>
      <c r="K1435" s="19"/>
      <c r="L1435" s="21"/>
      <c r="M1435" s="27"/>
      <c r="N1435" s="19"/>
      <c r="O1435" s="21"/>
      <c r="Q1435" s="7">
        <f>Table2[[#This Row],[Elevation
PILE TOP]]-Table2[[#This Row],[LENGTH(m.)
(Actual)]]</f>
        <v>0</v>
      </c>
      <c r="R1435" s="2"/>
      <c r="S1435" s="7">
        <f>Table2[[#This Row],[N]]+Table2[[#This Row],[Pile 
Deviation 
N (m)]]</f>
        <v>1511717.2379999999</v>
      </c>
      <c r="T1435" s="7">
        <f>Table2[[#This Row],[E]]+Table2[[#This Row],[Pile 
Deviation 
E (m)]]</f>
        <v>693938.35699999996</v>
      </c>
      <c r="W1435" s="7">
        <v>0.24</v>
      </c>
      <c r="X1435" s="2" t="s">
        <v>51</v>
      </c>
    </row>
    <row r="1436" spans="1:24" hidden="1" x14ac:dyDescent="0.65">
      <c r="A1436">
        <v>1430</v>
      </c>
      <c r="B1436" t="s">
        <v>29</v>
      </c>
      <c r="C1436" s="6">
        <v>1511717.098</v>
      </c>
      <c r="D1436" s="6">
        <v>693916.99899999995</v>
      </c>
      <c r="E1436" s="2" t="s">
        <v>35</v>
      </c>
      <c r="F1436" s="1">
        <v>24</v>
      </c>
      <c r="G1436" s="2" t="s">
        <v>50</v>
      </c>
      <c r="J1436"/>
      <c r="K1436" s="19"/>
      <c r="L1436" s="21"/>
      <c r="M1436" s="27"/>
      <c r="N1436" s="19"/>
      <c r="O1436" s="21"/>
      <c r="Q1436" s="7">
        <f>Table2[[#This Row],[Elevation
PILE TOP]]-Table2[[#This Row],[LENGTH(m.)
(Actual)]]</f>
        <v>0</v>
      </c>
      <c r="R1436" s="2"/>
      <c r="S1436" s="7">
        <f>Table2[[#This Row],[N]]+Table2[[#This Row],[Pile 
Deviation 
N (m)]]</f>
        <v>1511717.098</v>
      </c>
      <c r="T1436" s="7">
        <f>Table2[[#This Row],[E]]+Table2[[#This Row],[Pile 
Deviation 
E (m)]]</f>
        <v>693916.99899999995</v>
      </c>
      <c r="W1436" s="7">
        <v>0.24</v>
      </c>
      <c r="X1436" s="2" t="s">
        <v>51</v>
      </c>
    </row>
    <row r="1437" spans="1:24" ht="13.95" hidden="1" customHeight="1" x14ac:dyDescent="0.65">
      <c r="A1437">
        <v>1431</v>
      </c>
      <c r="B1437" t="s">
        <v>29</v>
      </c>
      <c r="C1437" s="6">
        <v>1511716.926</v>
      </c>
      <c r="D1437" s="6">
        <v>693931.429</v>
      </c>
      <c r="E1437" s="2" t="s">
        <v>35</v>
      </c>
      <c r="F1437" s="1">
        <v>24</v>
      </c>
      <c r="G1437" s="2" t="s">
        <v>50</v>
      </c>
      <c r="J1437"/>
      <c r="K1437" s="19"/>
      <c r="L1437" s="21"/>
      <c r="M1437" s="27"/>
      <c r="N1437" s="19"/>
      <c r="O1437" s="21"/>
      <c r="Q1437" s="7">
        <f>Table2[[#This Row],[Elevation
PILE TOP]]-Table2[[#This Row],[LENGTH(m.)
(Actual)]]</f>
        <v>0</v>
      </c>
      <c r="R1437" s="2"/>
      <c r="S1437" s="7">
        <f>Table2[[#This Row],[N]]+Table2[[#This Row],[Pile 
Deviation 
N (m)]]</f>
        <v>1511716.926</v>
      </c>
      <c r="T1437" s="7">
        <f>Table2[[#This Row],[E]]+Table2[[#This Row],[Pile 
Deviation 
E (m)]]</f>
        <v>693931.429</v>
      </c>
      <c r="W1437" s="7">
        <v>0.24</v>
      </c>
      <c r="X1437" s="2" t="s">
        <v>51</v>
      </c>
    </row>
    <row r="1438" spans="1:24" hidden="1" x14ac:dyDescent="0.65">
      <c r="A1438">
        <v>1432</v>
      </c>
      <c r="B1438" t="s">
        <v>29</v>
      </c>
      <c r="C1438" s="6">
        <v>1511716.746</v>
      </c>
      <c r="D1438" s="6">
        <v>694042.005</v>
      </c>
      <c r="E1438" s="2" t="s">
        <v>35</v>
      </c>
      <c r="F1438" s="1">
        <v>24</v>
      </c>
      <c r="G1438" s="2" t="s">
        <v>50</v>
      </c>
      <c r="J1438"/>
      <c r="K1438" s="19"/>
      <c r="L1438" s="21"/>
      <c r="M1438" s="27"/>
      <c r="N1438" s="19"/>
      <c r="O1438" s="21"/>
      <c r="Q1438" s="7">
        <f>Table2[[#This Row],[Elevation
PILE TOP]]-Table2[[#This Row],[LENGTH(m.)
(Actual)]]</f>
        <v>0</v>
      </c>
      <c r="R1438" s="2"/>
      <c r="S1438" s="7">
        <f>Table2[[#This Row],[N]]+Table2[[#This Row],[Pile 
Deviation 
N (m)]]</f>
        <v>1511716.746</v>
      </c>
      <c r="T1438" s="7">
        <f>Table2[[#This Row],[E]]+Table2[[#This Row],[Pile 
Deviation 
E (m)]]</f>
        <v>694042.005</v>
      </c>
      <c r="W1438" s="7">
        <v>0.24</v>
      </c>
      <c r="X1438" s="2" t="s">
        <v>51</v>
      </c>
    </row>
    <row r="1439" spans="1:24" ht="13.95" hidden="1" customHeight="1" x14ac:dyDescent="0.65">
      <c r="A1439">
        <v>1433</v>
      </c>
      <c r="B1439" t="s">
        <v>29</v>
      </c>
      <c r="C1439" s="6">
        <v>1511716.601</v>
      </c>
      <c r="D1439" s="6">
        <v>694058.03300000005</v>
      </c>
      <c r="E1439" s="2" t="s">
        <v>35</v>
      </c>
      <c r="F1439" s="1">
        <v>24</v>
      </c>
      <c r="G1439" s="2" t="s">
        <v>50</v>
      </c>
      <c r="J1439"/>
      <c r="K1439" s="19"/>
      <c r="L1439" s="21"/>
      <c r="M1439" s="27"/>
      <c r="N1439" s="19"/>
      <c r="O1439" s="21"/>
      <c r="Q1439" s="7">
        <f>Table2[[#This Row],[Elevation
PILE TOP]]-Table2[[#This Row],[LENGTH(m.)
(Actual)]]</f>
        <v>0</v>
      </c>
      <c r="R1439" s="2"/>
      <c r="S1439" s="7">
        <f>Table2[[#This Row],[N]]+Table2[[#This Row],[Pile 
Deviation 
N (m)]]</f>
        <v>1511716.601</v>
      </c>
      <c r="T1439" s="7">
        <f>Table2[[#This Row],[E]]+Table2[[#This Row],[Pile 
Deviation 
E (m)]]</f>
        <v>694058.03300000005</v>
      </c>
      <c r="W1439" s="7">
        <v>0.24</v>
      </c>
      <c r="X1439" s="2" t="s">
        <v>51</v>
      </c>
    </row>
    <row r="1440" spans="1:24" hidden="1" x14ac:dyDescent="0.65">
      <c r="A1440">
        <v>1434</v>
      </c>
      <c r="B1440" t="s">
        <v>29</v>
      </c>
      <c r="C1440" s="6">
        <v>1511716.578</v>
      </c>
      <c r="D1440" s="6">
        <v>693952.77300000004</v>
      </c>
      <c r="E1440" s="2" t="s">
        <v>35</v>
      </c>
      <c r="F1440" s="1">
        <v>24</v>
      </c>
      <c r="G1440" s="2" t="s">
        <v>50</v>
      </c>
      <c r="J1440"/>
      <c r="K1440" s="19"/>
      <c r="L1440" s="21"/>
      <c r="M1440" s="27"/>
      <c r="N1440" s="19"/>
      <c r="O1440" s="21"/>
      <c r="Q1440" s="7">
        <f>Table2[[#This Row],[Elevation
PILE TOP]]-Table2[[#This Row],[LENGTH(m.)
(Actual)]]</f>
        <v>0</v>
      </c>
      <c r="R1440" s="2"/>
      <c r="S1440" s="7">
        <f>Table2[[#This Row],[N]]+Table2[[#This Row],[Pile 
Deviation 
N (m)]]</f>
        <v>1511716.578</v>
      </c>
      <c r="T1440" s="7">
        <f>Table2[[#This Row],[E]]+Table2[[#This Row],[Pile 
Deviation 
E (m)]]</f>
        <v>693952.77300000004</v>
      </c>
      <c r="W1440" s="7">
        <v>0.24</v>
      </c>
      <c r="X1440" s="2" t="s">
        <v>51</v>
      </c>
    </row>
    <row r="1441" spans="1:24" ht="13.95" hidden="1" customHeight="1" x14ac:dyDescent="0.65">
      <c r="A1441">
        <v>1435</v>
      </c>
      <c r="B1441" t="s">
        <v>29</v>
      </c>
      <c r="C1441" s="6">
        <v>1511716.5449999999</v>
      </c>
      <c r="D1441" s="6">
        <v>693934.92599999998</v>
      </c>
      <c r="E1441" s="2" t="s">
        <v>35</v>
      </c>
      <c r="F1441" s="1">
        <v>24</v>
      </c>
      <c r="G1441" s="2" t="s">
        <v>50</v>
      </c>
      <c r="J1441"/>
      <c r="K1441" s="19"/>
      <c r="L1441" s="21"/>
      <c r="M1441" s="27"/>
      <c r="N1441" s="19"/>
      <c r="O1441" s="21"/>
      <c r="Q1441" s="7">
        <f>Table2[[#This Row],[Elevation
PILE TOP]]-Table2[[#This Row],[LENGTH(m.)
(Actual)]]</f>
        <v>0</v>
      </c>
      <c r="R1441" s="2"/>
      <c r="S1441" s="7">
        <f>Table2[[#This Row],[N]]+Table2[[#This Row],[Pile 
Deviation 
N (m)]]</f>
        <v>1511716.5449999999</v>
      </c>
      <c r="T1441" s="7">
        <f>Table2[[#This Row],[E]]+Table2[[#This Row],[Pile 
Deviation 
E (m)]]</f>
        <v>693934.92599999998</v>
      </c>
      <c r="W1441" s="7">
        <v>0.24</v>
      </c>
      <c r="X1441" s="2" t="s">
        <v>51</v>
      </c>
    </row>
    <row r="1442" spans="1:24" hidden="1" x14ac:dyDescent="0.65">
      <c r="A1442">
        <v>1436</v>
      </c>
      <c r="B1442" t="s">
        <v>29</v>
      </c>
      <c r="C1442" s="6">
        <v>1511716.38</v>
      </c>
      <c r="D1442" s="6">
        <v>693905.95400000003</v>
      </c>
      <c r="E1442" s="2" t="s">
        <v>35</v>
      </c>
      <c r="F1442" s="1">
        <v>24</v>
      </c>
      <c r="G1442" s="2" t="s">
        <v>50</v>
      </c>
      <c r="J1442"/>
      <c r="K1442" s="19"/>
      <c r="L1442" s="21"/>
      <c r="M1442" s="27"/>
      <c r="N1442" s="19"/>
      <c r="O1442" s="21"/>
      <c r="Q1442" s="7">
        <f>Table2[[#This Row],[Elevation
PILE TOP]]-Table2[[#This Row],[LENGTH(m.)
(Actual)]]</f>
        <v>0</v>
      </c>
      <c r="R1442" s="2"/>
      <c r="S1442" s="7">
        <f>Table2[[#This Row],[N]]+Table2[[#This Row],[Pile 
Deviation 
N (m)]]</f>
        <v>1511716.38</v>
      </c>
      <c r="T1442" s="7">
        <f>Table2[[#This Row],[E]]+Table2[[#This Row],[Pile 
Deviation 
E (m)]]</f>
        <v>693905.95400000003</v>
      </c>
      <c r="W1442" s="7">
        <v>0.24</v>
      </c>
      <c r="X1442" s="2" t="s">
        <v>51</v>
      </c>
    </row>
    <row r="1443" spans="1:24" ht="13.95" hidden="1" customHeight="1" x14ac:dyDescent="0.65">
      <c r="A1443">
        <v>1437</v>
      </c>
      <c r="B1443" t="s">
        <v>29</v>
      </c>
      <c r="C1443" s="6">
        <v>1511716.209</v>
      </c>
      <c r="D1443" s="6">
        <v>693920.38399999996</v>
      </c>
      <c r="E1443" s="2" t="s">
        <v>35</v>
      </c>
      <c r="F1443" s="1">
        <v>24</v>
      </c>
      <c r="G1443" s="2" t="s">
        <v>50</v>
      </c>
      <c r="J1443"/>
      <c r="K1443" s="19"/>
      <c r="L1443" s="21"/>
      <c r="M1443" s="27"/>
      <c r="N1443" s="19"/>
      <c r="O1443" s="21"/>
      <c r="Q1443" s="7">
        <f>Table2[[#This Row],[Elevation
PILE TOP]]-Table2[[#This Row],[LENGTH(m.)
(Actual)]]</f>
        <v>0</v>
      </c>
      <c r="R1443" s="2"/>
      <c r="S1443" s="7">
        <f>Table2[[#This Row],[N]]+Table2[[#This Row],[Pile 
Deviation 
N (m)]]</f>
        <v>1511716.209</v>
      </c>
      <c r="T1443" s="7">
        <f>Table2[[#This Row],[E]]+Table2[[#This Row],[Pile 
Deviation 
E (m)]]</f>
        <v>693920.38399999996</v>
      </c>
      <c r="W1443" s="7">
        <v>0.24</v>
      </c>
      <c r="X1443" s="2" t="s">
        <v>51</v>
      </c>
    </row>
    <row r="1444" spans="1:24" hidden="1" x14ac:dyDescent="0.65">
      <c r="A1444">
        <v>1438</v>
      </c>
      <c r="B1444" t="s">
        <v>29</v>
      </c>
      <c r="C1444" s="6">
        <v>1511716.0859999999</v>
      </c>
      <c r="D1444" s="6">
        <v>694056.42099999997</v>
      </c>
      <c r="E1444" s="2" t="s">
        <v>35</v>
      </c>
      <c r="F1444" s="1">
        <v>24</v>
      </c>
      <c r="G1444" s="2" t="s">
        <v>50</v>
      </c>
      <c r="J1444"/>
      <c r="K1444" s="19"/>
      <c r="L1444" s="21"/>
      <c r="M1444" s="27"/>
      <c r="N1444" s="19"/>
      <c r="O1444" s="21"/>
      <c r="Q1444" s="7">
        <f>Table2[[#This Row],[Elevation
PILE TOP]]-Table2[[#This Row],[LENGTH(m.)
(Actual)]]</f>
        <v>0</v>
      </c>
      <c r="R1444" s="2"/>
      <c r="S1444" s="7">
        <f>Table2[[#This Row],[N]]+Table2[[#This Row],[Pile 
Deviation 
N (m)]]</f>
        <v>1511716.0859999999</v>
      </c>
      <c r="T1444" s="7">
        <f>Table2[[#This Row],[E]]+Table2[[#This Row],[Pile 
Deviation 
E (m)]]</f>
        <v>694056.42099999997</v>
      </c>
      <c r="W1444" s="7">
        <v>0.24</v>
      </c>
      <c r="X1444" s="2" t="s">
        <v>51</v>
      </c>
    </row>
    <row r="1445" spans="1:24" ht="13.95" hidden="1" customHeight="1" x14ac:dyDescent="0.65">
      <c r="A1445">
        <v>1439</v>
      </c>
      <c r="B1445" t="s">
        <v>29</v>
      </c>
      <c r="C1445" s="6">
        <v>1511716.0530000001</v>
      </c>
      <c r="D1445" s="6">
        <v>694038.57499999995</v>
      </c>
      <c r="E1445" s="2" t="s">
        <v>35</v>
      </c>
      <c r="F1445" s="1">
        <v>24</v>
      </c>
      <c r="G1445" s="2" t="s">
        <v>50</v>
      </c>
      <c r="J1445"/>
      <c r="K1445" s="19"/>
      <c r="L1445" s="21"/>
      <c r="M1445" s="27"/>
      <c r="N1445" s="19"/>
      <c r="O1445" s="21"/>
      <c r="Q1445" s="7">
        <f>Table2[[#This Row],[Elevation
PILE TOP]]-Table2[[#This Row],[LENGTH(m.)
(Actual)]]</f>
        <v>0</v>
      </c>
      <c r="R1445" s="2"/>
      <c r="S1445" s="7">
        <f>Table2[[#This Row],[N]]+Table2[[#This Row],[Pile 
Deviation 
N (m)]]</f>
        <v>1511716.0530000001</v>
      </c>
      <c r="T1445" s="7">
        <f>Table2[[#This Row],[E]]+Table2[[#This Row],[Pile 
Deviation 
E (m)]]</f>
        <v>694038.57499999995</v>
      </c>
      <c r="W1445" s="7">
        <v>0.24</v>
      </c>
      <c r="X1445" s="2" t="s">
        <v>51</v>
      </c>
    </row>
    <row r="1446" spans="1:24" hidden="1" x14ac:dyDescent="0.65">
      <c r="A1446">
        <v>1440</v>
      </c>
      <c r="B1446" t="s">
        <v>29</v>
      </c>
      <c r="C1446" s="6">
        <v>1511715.8859999999</v>
      </c>
      <c r="D1446" s="6">
        <v>693949.34199999995</v>
      </c>
      <c r="E1446" s="2" t="s">
        <v>35</v>
      </c>
      <c r="F1446" s="1">
        <v>24</v>
      </c>
      <c r="G1446" s="2" t="s">
        <v>50</v>
      </c>
      <c r="J1446"/>
      <c r="K1446" s="19"/>
      <c r="L1446" s="21"/>
      <c r="M1446" s="27"/>
      <c r="N1446" s="19"/>
      <c r="O1446" s="21"/>
      <c r="Q1446" s="7">
        <f>Table2[[#This Row],[Elevation
PILE TOP]]-Table2[[#This Row],[LENGTH(m.)
(Actual)]]</f>
        <v>0</v>
      </c>
      <c r="R1446" s="2"/>
      <c r="S1446" s="7">
        <f>Table2[[#This Row],[N]]+Table2[[#This Row],[Pile 
Deviation 
N (m)]]</f>
        <v>1511715.8859999999</v>
      </c>
      <c r="T1446" s="7">
        <f>Table2[[#This Row],[E]]+Table2[[#This Row],[Pile 
Deviation 
E (m)]]</f>
        <v>693949.34199999995</v>
      </c>
      <c r="W1446" s="7">
        <v>0.24</v>
      </c>
      <c r="X1446" s="2" t="s">
        <v>51</v>
      </c>
    </row>
    <row r="1447" spans="1:24" ht="13.95" hidden="1" customHeight="1" x14ac:dyDescent="0.65">
      <c r="A1447">
        <v>1441</v>
      </c>
      <c r="B1447" t="s">
        <v>29</v>
      </c>
      <c r="C1447" s="6">
        <v>1511715.4909999999</v>
      </c>
      <c r="D1447" s="6">
        <v>693909.34</v>
      </c>
      <c r="E1447" s="2" t="s">
        <v>35</v>
      </c>
      <c r="F1447" s="1">
        <v>24</v>
      </c>
      <c r="G1447" s="2" t="s">
        <v>50</v>
      </c>
      <c r="J1447"/>
      <c r="K1447" s="19"/>
      <c r="L1447" s="21"/>
      <c r="M1447" s="27"/>
      <c r="N1447" s="19"/>
      <c r="O1447" s="21"/>
      <c r="Q1447" s="7">
        <f>Table2[[#This Row],[Elevation
PILE TOP]]-Table2[[#This Row],[LENGTH(m.)
(Actual)]]</f>
        <v>0</v>
      </c>
      <c r="R1447" s="2"/>
      <c r="S1447" s="7">
        <f>Table2[[#This Row],[N]]+Table2[[#This Row],[Pile 
Deviation 
N (m)]]</f>
        <v>1511715.4909999999</v>
      </c>
      <c r="T1447" s="7">
        <f>Table2[[#This Row],[E]]+Table2[[#This Row],[Pile 
Deviation 
E (m)]]</f>
        <v>693909.34</v>
      </c>
      <c r="W1447" s="7">
        <v>0.24</v>
      </c>
      <c r="X1447" s="2" t="s">
        <v>51</v>
      </c>
    </row>
    <row r="1448" spans="1:24" hidden="1" x14ac:dyDescent="0.65">
      <c r="A1448">
        <v>1442</v>
      </c>
      <c r="B1448" t="s">
        <v>29</v>
      </c>
      <c r="C1448" s="6">
        <v>1511715.3929999999</v>
      </c>
      <c r="D1448" s="6">
        <v>694052.99</v>
      </c>
      <c r="E1448" s="2" t="s">
        <v>35</v>
      </c>
      <c r="F1448" s="1">
        <v>24</v>
      </c>
      <c r="G1448" s="2" t="s">
        <v>50</v>
      </c>
      <c r="J1448"/>
      <c r="K1448" s="19"/>
      <c r="L1448" s="21"/>
      <c r="M1448" s="27"/>
      <c r="N1448" s="19"/>
      <c r="O1448" s="21"/>
      <c r="Q1448" s="7">
        <f>Table2[[#This Row],[Elevation
PILE TOP]]-Table2[[#This Row],[LENGTH(m.)
(Actual)]]</f>
        <v>0</v>
      </c>
      <c r="R1448" s="2"/>
      <c r="S1448" s="7">
        <f>Table2[[#This Row],[N]]+Table2[[#This Row],[Pile 
Deviation 
N (m)]]</f>
        <v>1511715.3929999999</v>
      </c>
      <c r="T1448" s="7">
        <f>Table2[[#This Row],[E]]+Table2[[#This Row],[Pile 
Deviation 
E (m)]]</f>
        <v>694052.99</v>
      </c>
      <c r="W1448" s="7">
        <v>0.24</v>
      </c>
      <c r="X1448" s="2" t="s">
        <v>51</v>
      </c>
    </row>
    <row r="1449" spans="1:24" ht="13.95" hidden="1" customHeight="1" x14ac:dyDescent="0.65">
      <c r="A1449">
        <v>1443</v>
      </c>
      <c r="B1449" t="s">
        <v>29</v>
      </c>
      <c r="C1449" s="6">
        <v>1511715.36</v>
      </c>
      <c r="D1449" s="6">
        <v>694035.14399999997</v>
      </c>
      <c r="E1449" s="2" t="s">
        <v>35</v>
      </c>
      <c r="F1449" s="1">
        <v>24</v>
      </c>
      <c r="G1449" s="2" t="s">
        <v>50</v>
      </c>
      <c r="J1449"/>
      <c r="K1449" s="19"/>
      <c r="L1449" s="21"/>
      <c r="M1449" s="27"/>
      <c r="N1449" s="19"/>
      <c r="O1449" s="21"/>
      <c r="Q1449" s="7">
        <f>Table2[[#This Row],[Elevation
PILE TOP]]-Table2[[#This Row],[LENGTH(m.)
(Actual)]]</f>
        <v>0</v>
      </c>
      <c r="R1449" s="2"/>
      <c r="S1449" s="7">
        <f>Table2[[#This Row],[N]]+Table2[[#This Row],[Pile 
Deviation 
N (m)]]</f>
        <v>1511715.36</v>
      </c>
      <c r="T1449" s="7">
        <f>Table2[[#This Row],[E]]+Table2[[#This Row],[Pile 
Deviation 
E (m)]]</f>
        <v>694035.14399999997</v>
      </c>
      <c r="W1449" s="7">
        <v>0.24</v>
      </c>
      <c r="X1449" s="2" t="s">
        <v>51</v>
      </c>
    </row>
    <row r="1450" spans="1:24" hidden="1" x14ac:dyDescent="0.65">
      <c r="A1450">
        <v>1444</v>
      </c>
      <c r="B1450" t="s">
        <v>29</v>
      </c>
      <c r="C1450" s="6">
        <v>1511715.32</v>
      </c>
      <c r="D1450" s="6">
        <v>693923.76899999997</v>
      </c>
      <c r="E1450" s="2" t="s">
        <v>35</v>
      </c>
      <c r="F1450" s="1">
        <v>24</v>
      </c>
      <c r="G1450" s="2" t="s">
        <v>50</v>
      </c>
      <c r="J1450"/>
      <c r="K1450" s="19"/>
      <c r="L1450" s="21"/>
      <c r="M1450" s="27"/>
      <c r="N1450" s="19"/>
      <c r="O1450" s="21"/>
      <c r="Q1450" s="7">
        <f>Table2[[#This Row],[Elevation
PILE TOP]]-Table2[[#This Row],[LENGTH(m.)
(Actual)]]</f>
        <v>0</v>
      </c>
      <c r="R1450" s="2"/>
      <c r="S1450" s="7">
        <f>Table2[[#This Row],[N]]+Table2[[#This Row],[Pile 
Deviation 
N (m)]]</f>
        <v>1511715.32</v>
      </c>
      <c r="T1450" s="7">
        <f>Table2[[#This Row],[E]]+Table2[[#This Row],[Pile 
Deviation 
E (m)]]</f>
        <v>693923.76899999997</v>
      </c>
      <c r="W1450" s="7">
        <v>0.24</v>
      </c>
      <c r="X1450" s="2" t="s">
        <v>51</v>
      </c>
    </row>
    <row r="1451" spans="1:24" ht="13.95" hidden="1" customHeight="1" x14ac:dyDescent="0.65">
      <c r="A1451">
        <v>1445</v>
      </c>
      <c r="B1451" t="s">
        <v>29</v>
      </c>
      <c r="C1451" s="6">
        <v>1511715.3030000001</v>
      </c>
      <c r="D1451" s="6">
        <v>694061.28399999999</v>
      </c>
      <c r="E1451" s="2" t="s">
        <v>35</v>
      </c>
      <c r="F1451" s="1">
        <v>24</v>
      </c>
      <c r="G1451" s="2" t="s">
        <v>50</v>
      </c>
      <c r="J1451"/>
      <c r="K1451" s="19"/>
      <c r="L1451" s="21"/>
      <c r="M1451" s="27"/>
      <c r="N1451" s="19"/>
      <c r="O1451" s="21"/>
      <c r="Q1451" s="7">
        <f>Table2[[#This Row],[Elevation
PILE TOP]]-Table2[[#This Row],[LENGTH(m.)
(Actual)]]</f>
        <v>0</v>
      </c>
      <c r="R1451" s="2"/>
      <c r="S1451" s="7">
        <f>Table2[[#This Row],[N]]+Table2[[#This Row],[Pile 
Deviation 
N (m)]]</f>
        <v>1511715.3030000001</v>
      </c>
      <c r="T1451" s="7">
        <f>Table2[[#This Row],[E]]+Table2[[#This Row],[Pile 
Deviation 
E (m)]]</f>
        <v>694061.28399999999</v>
      </c>
      <c r="W1451" s="7">
        <v>0.24</v>
      </c>
      <c r="X1451" s="2" t="s">
        <v>51</v>
      </c>
    </row>
    <row r="1452" spans="1:24" hidden="1" x14ac:dyDescent="0.65">
      <c r="A1452">
        <v>1446</v>
      </c>
      <c r="B1452" t="s">
        <v>29</v>
      </c>
      <c r="C1452" s="6">
        <v>1511715.226</v>
      </c>
      <c r="D1452" s="6">
        <v>693963.75800000003</v>
      </c>
      <c r="E1452" s="2" t="s">
        <v>35</v>
      </c>
      <c r="F1452" s="1">
        <v>24</v>
      </c>
      <c r="G1452" s="2" t="s">
        <v>50</v>
      </c>
      <c r="J1452"/>
      <c r="K1452" s="19"/>
      <c r="L1452" s="21"/>
      <c r="M1452" s="27"/>
      <c r="N1452" s="19"/>
      <c r="O1452" s="21"/>
      <c r="Q1452" s="7">
        <f>Table2[[#This Row],[Elevation
PILE TOP]]-Table2[[#This Row],[LENGTH(m.)
(Actual)]]</f>
        <v>0</v>
      </c>
      <c r="R1452" s="2"/>
      <c r="S1452" s="7">
        <f>Table2[[#This Row],[N]]+Table2[[#This Row],[Pile 
Deviation 
N (m)]]</f>
        <v>1511715.226</v>
      </c>
      <c r="T1452" s="7">
        <f>Table2[[#This Row],[E]]+Table2[[#This Row],[Pile 
Deviation 
E (m)]]</f>
        <v>693963.75800000003</v>
      </c>
      <c r="W1452" s="7">
        <v>0.24</v>
      </c>
      <c r="X1452" s="2" t="s">
        <v>51</v>
      </c>
    </row>
    <row r="1453" spans="1:24" ht="13.95" hidden="1" customHeight="1" x14ac:dyDescent="0.65">
      <c r="A1453">
        <v>1447</v>
      </c>
      <c r="B1453" t="s">
        <v>29</v>
      </c>
      <c r="C1453" s="6">
        <v>1511715.193</v>
      </c>
      <c r="D1453" s="6">
        <v>693945.91099999996</v>
      </c>
      <c r="E1453" s="2" t="s">
        <v>35</v>
      </c>
      <c r="F1453" s="1">
        <v>24</v>
      </c>
      <c r="G1453" s="2" t="s">
        <v>50</v>
      </c>
      <c r="J1453"/>
      <c r="K1453" s="19"/>
      <c r="L1453" s="21"/>
      <c r="M1453" s="27"/>
      <c r="N1453" s="19"/>
      <c r="O1453" s="21"/>
      <c r="Q1453" s="7">
        <f>Table2[[#This Row],[Elevation
PILE TOP]]-Table2[[#This Row],[LENGTH(m.)
(Actual)]]</f>
        <v>0</v>
      </c>
      <c r="R1453" s="2"/>
      <c r="S1453" s="7">
        <f>Table2[[#This Row],[N]]+Table2[[#This Row],[Pile 
Deviation 
N (m)]]</f>
        <v>1511715.193</v>
      </c>
      <c r="T1453" s="7">
        <f>Table2[[#This Row],[E]]+Table2[[#This Row],[Pile 
Deviation 
E (m)]]</f>
        <v>693945.91099999996</v>
      </c>
      <c r="W1453" s="7">
        <v>0.24</v>
      </c>
      <c r="X1453" s="2" t="s">
        <v>51</v>
      </c>
    </row>
    <row r="1454" spans="1:24" hidden="1" x14ac:dyDescent="0.65">
      <c r="A1454">
        <v>1448</v>
      </c>
      <c r="B1454" t="s">
        <v>29</v>
      </c>
      <c r="C1454" s="6">
        <v>1511714.7009999999</v>
      </c>
      <c r="D1454" s="6">
        <v>694049.56</v>
      </c>
      <c r="E1454" s="2" t="s">
        <v>35</v>
      </c>
      <c r="F1454" s="1">
        <v>24</v>
      </c>
      <c r="G1454" s="2" t="s">
        <v>50</v>
      </c>
      <c r="J1454"/>
      <c r="K1454" s="19"/>
      <c r="L1454" s="21"/>
      <c r="M1454" s="27"/>
      <c r="N1454" s="19"/>
      <c r="O1454" s="21"/>
      <c r="Q1454" s="7">
        <f>Table2[[#This Row],[Elevation
PILE TOP]]-Table2[[#This Row],[LENGTH(m.)
(Actual)]]</f>
        <v>0</v>
      </c>
      <c r="R1454" s="2"/>
      <c r="S1454" s="7">
        <f>Table2[[#This Row],[N]]+Table2[[#This Row],[Pile 
Deviation 
N (m)]]</f>
        <v>1511714.7009999999</v>
      </c>
      <c r="T1454" s="7">
        <f>Table2[[#This Row],[E]]+Table2[[#This Row],[Pile 
Deviation 
E (m)]]</f>
        <v>694049.56</v>
      </c>
      <c r="W1454" s="7">
        <v>0.24</v>
      </c>
      <c r="X1454" s="2" t="s">
        <v>51</v>
      </c>
    </row>
    <row r="1455" spans="1:24" ht="13.95" hidden="1" customHeight="1" x14ac:dyDescent="0.65">
      <c r="A1455">
        <v>1449</v>
      </c>
      <c r="B1455" t="s">
        <v>29</v>
      </c>
      <c r="C1455" s="6">
        <v>1511714.6669999999</v>
      </c>
      <c r="D1455" s="6">
        <v>694031.71299999999</v>
      </c>
      <c r="E1455" s="2" t="s">
        <v>35</v>
      </c>
      <c r="F1455" s="1">
        <v>24</v>
      </c>
      <c r="G1455" s="2" t="s">
        <v>50</v>
      </c>
      <c r="J1455"/>
      <c r="K1455" s="19"/>
      <c r="L1455" s="21"/>
      <c r="M1455" s="27"/>
      <c r="N1455" s="19"/>
      <c r="O1455" s="21"/>
      <c r="Q1455" s="7">
        <f>Table2[[#This Row],[Elevation
PILE TOP]]-Table2[[#This Row],[LENGTH(m.)
(Actual)]]</f>
        <v>0</v>
      </c>
      <c r="R1455" s="2"/>
      <c r="S1455" s="7">
        <f>Table2[[#This Row],[N]]+Table2[[#This Row],[Pile 
Deviation 
N (m)]]</f>
        <v>1511714.6669999999</v>
      </c>
      <c r="T1455" s="7">
        <f>Table2[[#This Row],[E]]+Table2[[#This Row],[Pile 
Deviation 
E (m)]]</f>
        <v>694031.71299999999</v>
      </c>
      <c r="W1455" s="7">
        <v>0.24</v>
      </c>
      <c r="X1455" s="2" t="s">
        <v>51</v>
      </c>
    </row>
    <row r="1456" spans="1:24" hidden="1" x14ac:dyDescent="0.65">
      <c r="A1456">
        <v>1450</v>
      </c>
      <c r="B1456" t="s">
        <v>29</v>
      </c>
      <c r="C1456" s="6">
        <v>1511714.602</v>
      </c>
      <c r="D1456" s="6">
        <v>693912.72499999998</v>
      </c>
      <c r="E1456" s="2" t="s">
        <v>35</v>
      </c>
      <c r="F1456" s="1">
        <v>24</v>
      </c>
      <c r="G1456" s="2" t="s">
        <v>50</v>
      </c>
      <c r="J1456"/>
      <c r="K1456" s="19"/>
      <c r="L1456" s="21"/>
      <c r="M1456" s="27"/>
      <c r="N1456" s="19"/>
      <c r="O1456" s="21"/>
      <c r="Q1456" s="7">
        <f>Table2[[#This Row],[Elevation
PILE TOP]]-Table2[[#This Row],[LENGTH(m.)
(Actual)]]</f>
        <v>0</v>
      </c>
      <c r="R1456" s="2"/>
      <c r="S1456" s="7">
        <f>Table2[[#This Row],[N]]+Table2[[#This Row],[Pile 
Deviation 
N (m)]]</f>
        <v>1511714.602</v>
      </c>
      <c r="T1456" s="7">
        <f>Table2[[#This Row],[E]]+Table2[[#This Row],[Pile 
Deviation 
E (m)]]</f>
        <v>693912.72499999998</v>
      </c>
      <c r="W1456" s="7">
        <v>0.24</v>
      </c>
      <c r="X1456" s="2" t="s">
        <v>51</v>
      </c>
    </row>
    <row r="1457" spans="1:24" ht="13.95" hidden="1" customHeight="1" x14ac:dyDescent="0.65">
      <c r="A1457">
        <v>1451</v>
      </c>
      <c r="B1457" t="s">
        <v>29</v>
      </c>
      <c r="C1457" s="6">
        <v>1511714.5330000001</v>
      </c>
      <c r="D1457" s="6">
        <v>693960.32700000005</v>
      </c>
      <c r="E1457" s="2" t="s">
        <v>35</v>
      </c>
      <c r="F1457" s="1">
        <v>24</v>
      </c>
      <c r="G1457" s="2" t="s">
        <v>50</v>
      </c>
      <c r="J1457"/>
      <c r="K1457" s="19"/>
      <c r="L1457" s="21"/>
      <c r="M1457" s="27"/>
      <c r="N1457" s="19"/>
      <c r="O1457" s="21"/>
      <c r="Q1457" s="7">
        <f>Table2[[#This Row],[Elevation
PILE TOP]]-Table2[[#This Row],[LENGTH(m.)
(Actual)]]</f>
        <v>0</v>
      </c>
      <c r="R1457" s="2"/>
      <c r="S1457" s="7">
        <f>Table2[[#This Row],[N]]+Table2[[#This Row],[Pile 
Deviation 
N (m)]]</f>
        <v>1511714.5330000001</v>
      </c>
      <c r="T1457" s="7">
        <f>Table2[[#This Row],[E]]+Table2[[#This Row],[Pile 
Deviation 
E (m)]]</f>
        <v>693960.32700000005</v>
      </c>
      <c r="W1457" s="7">
        <v>0.24</v>
      </c>
      <c r="X1457" s="2" t="s">
        <v>51</v>
      </c>
    </row>
    <row r="1458" spans="1:24" hidden="1" x14ac:dyDescent="0.65">
      <c r="A1458">
        <v>1452</v>
      </c>
      <c r="B1458" t="s">
        <v>29</v>
      </c>
      <c r="C1458" s="6">
        <v>1511714.5</v>
      </c>
      <c r="D1458" s="6">
        <v>693942.48</v>
      </c>
      <c r="E1458" s="2" t="s">
        <v>35</v>
      </c>
      <c r="F1458" s="1">
        <v>24</v>
      </c>
      <c r="G1458" s="2" t="s">
        <v>50</v>
      </c>
      <c r="J1458"/>
      <c r="K1458" s="19"/>
      <c r="L1458" s="21"/>
      <c r="M1458" s="27"/>
      <c r="N1458" s="19"/>
      <c r="O1458" s="21"/>
      <c r="Q1458" s="7">
        <f>Table2[[#This Row],[Elevation
PILE TOP]]-Table2[[#This Row],[LENGTH(m.)
(Actual)]]</f>
        <v>0</v>
      </c>
      <c r="R1458" s="2"/>
      <c r="S1458" s="7">
        <f>Table2[[#This Row],[N]]+Table2[[#This Row],[Pile 
Deviation 
N (m)]]</f>
        <v>1511714.5</v>
      </c>
      <c r="T1458" s="7">
        <f>Table2[[#This Row],[E]]+Table2[[#This Row],[Pile 
Deviation 
E (m)]]</f>
        <v>693942.48</v>
      </c>
      <c r="W1458" s="7">
        <v>0.24</v>
      </c>
      <c r="X1458" s="2" t="s">
        <v>51</v>
      </c>
    </row>
    <row r="1459" spans="1:24" ht="13.95" hidden="1" customHeight="1" x14ac:dyDescent="0.65">
      <c r="A1459">
        <v>1453</v>
      </c>
      <c r="B1459" t="s">
        <v>29</v>
      </c>
      <c r="C1459" s="6">
        <v>1511714.43</v>
      </c>
      <c r="D1459" s="6">
        <v>693927.15500000003</v>
      </c>
      <c r="E1459" s="2" t="s">
        <v>35</v>
      </c>
      <c r="F1459" s="1">
        <v>24</v>
      </c>
      <c r="G1459" s="2" t="s">
        <v>50</v>
      </c>
      <c r="J1459"/>
      <c r="K1459" s="19"/>
      <c r="L1459" s="21"/>
      <c r="M1459" s="27"/>
      <c r="N1459" s="19"/>
      <c r="O1459" s="21"/>
      <c r="Q1459" s="7">
        <f>Table2[[#This Row],[Elevation
PILE TOP]]-Table2[[#This Row],[LENGTH(m.)
(Actual)]]</f>
        <v>0</v>
      </c>
      <c r="R1459" s="2"/>
      <c r="S1459" s="7">
        <f>Table2[[#This Row],[N]]+Table2[[#This Row],[Pile 
Deviation 
N (m)]]</f>
        <v>1511714.43</v>
      </c>
      <c r="T1459" s="7">
        <f>Table2[[#This Row],[E]]+Table2[[#This Row],[Pile 
Deviation 
E (m)]]</f>
        <v>693927.15500000003</v>
      </c>
      <c r="W1459" s="7">
        <v>0.24</v>
      </c>
      <c r="X1459" s="2" t="s">
        <v>51</v>
      </c>
    </row>
    <row r="1460" spans="1:24" hidden="1" x14ac:dyDescent="0.65">
      <c r="A1460">
        <v>1454</v>
      </c>
      <c r="B1460" t="s">
        <v>29</v>
      </c>
      <c r="C1460" s="6">
        <v>1511714.0079999999</v>
      </c>
      <c r="D1460" s="6">
        <v>694046.12899999996</v>
      </c>
      <c r="E1460" s="2" t="s">
        <v>35</v>
      </c>
      <c r="F1460" s="1">
        <v>24</v>
      </c>
      <c r="G1460" s="2" t="s">
        <v>50</v>
      </c>
      <c r="J1460"/>
      <c r="K1460" s="19"/>
      <c r="L1460" s="21"/>
      <c r="M1460" s="27"/>
      <c r="N1460" s="19"/>
      <c r="O1460" s="21"/>
      <c r="Q1460" s="7">
        <f>Table2[[#This Row],[Elevation
PILE TOP]]-Table2[[#This Row],[LENGTH(m.)
(Actual)]]</f>
        <v>0</v>
      </c>
      <c r="R1460" s="2"/>
      <c r="S1460" s="7">
        <f>Table2[[#This Row],[N]]+Table2[[#This Row],[Pile 
Deviation 
N (m)]]</f>
        <v>1511714.0079999999</v>
      </c>
      <c r="T1460" s="7">
        <f>Table2[[#This Row],[E]]+Table2[[#This Row],[Pile 
Deviation 
E (m)]]</f>
        <v>694046.12899999996</v>
      </c>
      <c r="W1460" s="7">
        <v>0.24</v>
      </c>
      <c r="X1460" s="2" t="s">
        <v>51</v>
      </c>
    </row>
    <row r="1461" spans="1:24" ht="13.95" hidden="1" customHeight="1" x14ac:dyDescent="0.65">
      <c r="A1461">
        <v>1455</v>
      </c>
      <c r="B1461" t="s">
        <v>29</v>
      </c>
      <c r="C1461" s="6">
        <v>1511714.0049999999</v>
      </c>
      <c r="D1461" s="6">
        <v>694064.53399999999</v>
      </c>
      <c r="E1461" s="2" t="s">
        <v>35</v>
      </c>
      <c r="F1461" s="1">
        <v>24</v>
      </c>
      <c r="G1461" s="2" t="s">
        <v>50</v>
      </c>
      <c r="J1461"/>
      <c r="K1461" s="19"/>
      <c r="L1461" s="21"/>
      <c r="M1461" s="27"/>
      <c r="N1461" s="19"/>
      <c r="O1461" s="21"/>
      <c r="Q1461" s="7">
        <f>Table2[[#This Row],[Elevation
PILE TOP]]-Table2[[#This Row],[LENGTH(m.)
(Actual)]]</f>
        <v>0</v>
      </c>
      <c r="R1461" s="2"/>
      <c r="S1461" s="7">
        <f>Table2[[#This Row],[N]]+Table2[[#This Row],[Pile 
Deviation 
N (m)]]</f>
        <v>1511714.0049999999</v>
      </c>
      <c r="T1461" s="7">
        <f>Table2[[#This Row],[E]]+Table2[[#This Row],[Pile 
Deviation 
E (m)]]</f>
        <v>694064.53399999999</v>
      </c>
      <c r="W1461" s="7">
        <v>0.24</v>
      </c>
      <c r="X1461" s="2" t="s">
        <v>51</v>
      </c>
    </row>
    <row r="1462" spans="1:24" hidden="1" x14ac:dyDescent="0.65">
      <c r="A1462">
        <v>1456</v>
      </c>
      <c r="B1462" t="s">
        <v>29</v>
      </c>
      <c r="C1462" s="6">
        <v>1511713.9739999999</v>
      </c>
      <c r="D1462" s="6">
        <v>694028.28200000001</v>
      </c>
      <c r="E1462" s="2" t="s">
        <v>35</v>
      </c>
      <c r="F1462" s="1">
        <v>24</v>
      </c>
      <c r="G1462" s="2" t="s">
        <v>50</v>
      </c>
      <c r="J1462"/>
      <c r="K1462" s="19"/>
      <c r="L1462" s="21"/>
      <c r="M1462" s="27"/>
      <c r="N1462" s="19"/>
      <c r="O1462" s="21"/>
      <c r="Q1462" s="7">
        <f>Table2[[#This Row],[Elevation
PILE TOP]]-Table2[[#This Row],[LENGTH(m.)
(Actual)]]</f>
        <v>0</v>
      </c>
      <c r="R1462" s="2"/>
      <c r="S1462" s="7">
        <f>Table2[[#This Row],[N]]+Table2[[#This Row],[Pile 
Deviation 
N (m)]]</f>
        <v>1511713.9739999999</v>
      </c>
      <c r="T1462" s="7">
        <f>Table2[[#This Row],[E]]+Table2[[#This Row],[Pile 
Deviation 
E (m)]]</f>
        <v>694028.28200000001</v>
      </c>
      <c r="W1462" s="7">
        <v>0.24</v>
      </c>
      <c r="X1462" s="2" t="s">
        <v>51</v>
      </c>
    </row>
    <row r="1463" spans="1:24" ht="13.95" hidden="1" customHeight="1" x14ac:dyDescent="0.65">
      <c r="A1463">
        <v>1457</v>
      </c>
      <c r="B1463" t="s">
        <v>29</v>
      </c>
      <c r="C1463" s="6">
        <v>1511713.841</v>
      </c>
      <c r="D1463" s="6">
        <v>693956.89599999995</v>
      </c>
      <c r="E1463" s="2" t="s">
        <v>35</v>
      </c>
      <c r="F1463" s="1">
        <v>24</v>
      </c>
      <c r="G1463" s="2" t="s">
        <v>50</v>
      </c>
      <c r="J1463"/>
      <c r="K1463" s="19"/>
      <c r="L1463" s="21"/>
      <c r="M1463" s="27"/>
      <c r="N1463" s="19"/>
      <c r="O1463" s="21"/>
      <c r="Q1463" s="7">
        <f>Table2[[#This Row],[Elevation
PILE TOP]]-Table2[[#This Row],[LENGTH(m.)
(Actual)]]</f>
        <v>0</v>
      </c>
      <c r="R1463" s="2"/>
      <c r="S1463" s="7">
        <f>Table2[[#This Row],[N]]+Table2[[#This Row],[Pile 
Deviation 
N (m)]]</f>
        <v>1511713.841</v>
      </c>
      <c r="T1463" s="7">
        <f>Table2[[#This Row],[E]]+Table2[[#This Row],[Pile 
Deviation 
E (m)]]</f>
        <v>693956.89599999995</v>
      </c>
      <c r="W1463" s="7">
        <v>0.24</v>
      </c>
      <c r="X1463" s="2" t="s">
        <v>51</v>
      </c>
    </row>
    <row r="1464" spans="1:24" hidden="1" x14ac:dyDescent="0.65">
      <c r="A1464">
        <v>1458</v>
      </c>
      <c r="B1464" t="s">
        <v>29</v>
      </c>
      <c r="C1464" s="6">
        <v>1511713.807</v>
      </c>
      <c r="D1464" s="6">
        <v>693939.05</v>
      </c>
      <c r="E1464" s="2" t="s">
        <v>35</v>
      </c>
      <c r="F1464" s="1">
        <v>24</v>
      </c>
      <c r="G1464" s="2" t="s">
        <v>50</v>
      </c>
      <c r="J1464"/>
      <c r="K1464" s="19"/>
      <c r="L1464" s="21"/>
      <c r="M1464" s="27"/>
      <c r="N1464" s="19"/>
      <c r="O1464" s="21"/>
      <c r="Q1464" s="7">
        <f>Table2[[#This Row],[Elevation
PILE TOP]]-Table2[[#This Row],[LENGTH(m.)
(Actual)]]</f>
        <v>0</v>
      </c>
      <c r="R1464" s="2"/>
      <c r="S1464" s="7">
        <f>Table2[[#This Row],[N]]+Table2[[#This Row],[Pile 
Deviation 
N (m)]]</f>
        <v>1511713.807</v>
      </c>
      <c r="T1464" s="7">
        <f>Table2[[#This Row],[E]]+Table2[[#This Row],[Pile 
Deviation 
E (m)]]</f>
        <v>693939.05</v>
      </c>
      <c r="W1464" s="7">
        <v>0.24</v>
      </c>
      <c r="X1464" s="2" t="s">
        <v>51</v>
      </c>
    </row>
    <row r="1465" spans="1:24" ht="13.95" hidden="1" customHeight="1" x14ac:dyDescent="0.65">
      <c r="A1465">
        <v>1459</v>
      </c>
      <c r="B1465" t="s">
        <v>29</v>
      </c>
      <c r="C1465" s="6">
        <v>1511713.713</v>
      </c>
      <c r="D1465" s="6">
        <v>693916.11</v>
      </c>
      <c r="E1465" s="2" t="s">
        <v>35</v>
      </c>
      <c r="F1465" s="1">
        <v>24</v>
      </c>
      <c r="G1465" s="2" t="s">
        <v>50</v>
      </c>
      <c r="J1465"/>
      <c r="K1465" s="19"/>
      <c r="L1465" s="21"/>
      <c r="M1465" s="27"/>
      <c r="N1465" s="19"/>
      <c r="O1465" s="21"/>
      <c r="Q1465" s="7">
        <f>Table2[[#This Row],[Elevation
PILE TOP]]-Table2[[#This Row],[LENGTH(m.)
(Actual)]]</f>
        <v>0</v>
      </c>
      <c r="R1465" s="2"/>
      <c r="S1465" s="7">
        <f>Table2[[#This Row],[N]]+Table2[[#This Row],[Pile 
Deviation 
N (m)]]</f>
        <v>1511713.713</v>
      </c>
      <c r="T1465" s="7">
        <f>Table2[[#This Row],[E]]+Table2[[#This Row],[Pile 
Deviation 
E (m)]]</f>
        <v>693916.11</v>
      </c>
      <c r="W1465" s="7">
        <v>0.24</v>
      </c>
      <c r="X1465" s="2" t="s">
        <v>51</v>
      </c>
    </row>
    <row r="1466" spans="1:24" hidden="1" x14ac:dyDescent="0.65">
      <c r="A1466">
        <v>1460</v>
      </c>
      <c r="B1466" t="s">
        <v>29</v>
      </c>
      <c r="C1466" s="6">
        <v>1511713.541</v>
      </c>
      <c r="D1466" s="6">
        <v>693930.54</v>
      </c>
      <c r="E1466" s="2" t="s">
        <v>35</v>
      </c>
      <c r="F1466" s="1">
        <v>24</v>
      </c>
      <c r="G1466" s="2" t="s">
        <v>50</v>
      </c>
      <c r="J1466"/>
      <c r="K1466" s="19"/>
      <c r="L1466" s="21"/>
      <c r="M1466" s="27"/>
      <c r="N1466" s="19"/>
      <c r="O1466" s="21"/>
      <c r="Q1466" s="7">
        <f>Table2[[#This Row],[Elevation
PILE TOP]]-Table2[[#This Row],[LENGTH(m.)
(Actual)]]</f>
        <v>0</v>
      </c>
      <c r="R1466" s="2"/>
      <c r="S1466" s="7">
        <f>Table2[[#This Row],[N]]+Table2[[#This Row],[Pile 
Deviation 
N (m)]]</f>
        <v>1511713.541</v>
      </c>
      <c r="T1466" s="7">
        <f>Table2[[#This Row],[E]]+Table2[[#This Row],[Pile 
Deviation 
E (m)]]</f>
        <v>693930.54</v>
      </c>
      <c r="W1466" s="7">
        <v>0.24</v>
      </c>
      <c r="X1466" s="2" t="s">
        <v>51</v>
      </c>
    </row>
    <row r="1467" spans="1:24" ht="13.95" hidden="1" customHeight="1" x14ac:dyDescent="0.65">
      <c r="A1467">
        <v>1461</v>
      </c>
      <c r="B1467" t="s">
        <v>29</v>
      </c>
      <c r="C1467" s="6">
        <v>1511713.3149999999</v>
      </c>
      <c r="D1467" s="6">
        <v>694042.69799999997</v>
      </c>
      <c r="E1467" s="2" t="s">
        <v>35</v>
      </c>
      <c r="F1467" s="1">
        <v>24</v>
      </c>
      <c r="G1467" s="2" t="s">
        <v>50</v>
      </c>
      <c r="J1467"/>
      <c r="K1467" s="19"/>
      <c r="L1467" s="21"/>
      <c r="M1467" s="27"/>
      <c r="N1467" s="19"/>
      <c r="O1467" s="21"/>
      <c r="Q1467" s="7">
        <f>Table2[[#This Row],[Elevation
PILE TOP]]-Table2[[#This Row],[LENGTH(m.)
(Actual)]]</f>
        <v>0</v>
      </c>
      <c r="R1467" s="2"/>
      <c r="S1467" s="7">
        <f>Table2[[#This Row],[N]]+Table2[[#This Row],[Pile 
Deviation 
N (m)]]</f>
        <v>1511713.3149999999</v>
      </c>
      <c r="T1467" s="7">
        <f>Table2[[#This Row],[E]]+Table2[[#This Row],[Pile 
Deviation 
E (m)]]</f>
        <v>694042.69799999997</v>
      </c>
      <c r="W1467" s="7">
        <v>0.24</v>
      </c>
      <c r="X1467" s="2" t="s">
        <v>51</v>
      </c>
    </row>
    <row r="1468" spans="1:24" hidden="1" x14ac:dyDescent="0.65">
      <c r="A1468">
        <v>1462</v>
      </c>
      <c r="B1468" t="s">
        <v>29</v>
      </c>
      <c r="C1468" s="6">
        <v>1511713.281</v>
      </c>
      <c r="D1468" s="6">
        <v>694024.85199999996</v>
      </c>
      <c r="E1468" s="2" t="s">
        <v>35</v>
      </c>
      <c r="F1468" s="1">
        <v>24</v>
      </c>
      <c r="G1468" s="2" t="s">
        <v>50</v>
      </c>
      <c r="J1468"/>
      <c r="K1468" s="19"/>
      <c r="L1468" s="21"/>
      <c r="M1468" s="27"/>
      <c r="N1468" s="19"/>
      <c r="O1468" s="21"/>
      <c r="Q1468" s="7">
        <f>Table2[[#This Row],[Elevation
PILE TOP]]-Table2[[#This Row],[LENGTH(m.)
(Actual)]]</f>
        <v>0</v>
      </c>
      <c r="R1468" s="2"/>
      <c r="S1468" s="7">
        <f>Table2[[#This Row],[N]]+Table2[[#This Row],[Pile 
Deviation 
N (m)]]</f>
        <v>1511713.281</v>
      </c>
      <c r="T1468" s="7">
        <f>Table2[[#This Row],[E]]+Table2[[#This Row],[Pile 
Deviation 
E (m)]]</f>
        <v>694024.85199999996</v>
      </c>
      <c r="W1468" s="7">
        <v>0.24</v>
      </c>
      <c r="X1468" s="2" t="s">
        <v>51</v>
      </c>
    </row>
    <row r="1469" spans="1:24" ht="13.95" hidden="1" customHeight="1" x14ac:dyDescent="0.65">
      <c r="A1469">
        <v>1463</v>
      </c>
      <c r="B1469" t="s">
        <v>29</v>
      </c>
      <c r="C1469" s="6">
        <v>1511713.148</v>
      </c>
      <c r="D1469" s="6">
        <v>693953.46499999997</v>
      </c>
      <c r="E1469" s="2" t="s">
        <v>35</v>
      </c>
      <c r="F1469" s="1">
        <v>24</v>
      </c>
      <c r="G1469" s="2" t="s">
        <v>50</v>
      </c>
      <c r="J1469"/>
      <c r="K1469" s="19"/>
      <c r="L1469" s="21"/>
      <c r="M1469" s="27"/>
      <c r="N1469" s="19"/>
      <c r="O1469" s="21"/>
      <c r="Q1469" s="7">
        <f>Table2[[#This Row],[Elevation
PILE TOP]]-Table2[[#This Row],[LENGTH(m.)
(Actual)]]</f>
        <v>0</v>
      </c>
      <c r="R1469" s="2"/>
      <c r="S1469" s="7">
        <f>Table2[[#This Row],[N]]+Table2[[#This Row],[Pile 
Deviation 
N (m)]]</f>
        <v>1511713.148</v>
      </c>
      <c r="T1469" s="7">
        <f>Table2[[#This Row],[E]]+Table2[[#This Row],[Pile 
Deviation 
E (m)]]</f>
        <v>693953.46499999997</v>
      </c>
      <c r="W1469" s="7">
        <v>0.24</v>
      </c>
      <c r="X1469" s="2" t="s">
        <v>51</v>
      </c>
    </row>
    <row r="1470" spans="1:24" hidden="1" x14ac:dyDescent="0.65">
      <c r="A1470">
        <v>1464</v>
      </c>
      <c r="B1470" t="s">
        <v>29</v>
      </c>
      <c r="C1470" s="6">
        <v>1511713.1140000001</v>
      </c>
      <c r="D1470" s="6">
        <v>693935.61899999995</v>
      </c>
      <c r="E1470" s="2" t="s">
        <v>35</v>
      </c>
      <c r="F1470" s="1">
        <v>24</v>
      </c>
      <c r="G1470" s="2" t="s">
        <v>50</v>
      </c>
      <c r="J1470"/>
      <c r="K1470" s="19"/>
      <c r="L1470" s="21"/>
      <c r="M1470" s="27"/>
      <c r="N1470" s="19"/>
      <c r="O1470" s="21"/>
      <c r="Q1470" s="7">
        <f>Table2[[#This Row],[Elevation
PILE TOP]]-Table2[[#This Row],[LENGTH(m.)
(Actual)]]</f>
        <v>0</v>
      </c>
      <c r="R1470" s="2"/>
      <c r="S1470" s="7">
        <f>Table2[[#This Row],[N]]+Table2[[#This Row],[Pile 
Deviation 
N (m)]]</f>
        <v>1511713.1140000001</v>
      </c>
      <c r="T1470" s="7">
        <f>Table2[[#This Row],[E]]+Table2[[#This Row],[Pile 
Deviation 
E (m)]]</f>
        <v>693935.61899999995</v>
      </c>
      <c r="W1470" s="7">
        <v>0.24</v>
      </c>
      <c r="X1470" s="2" t="s">
        <v>51</v>
      </c>
    </row>
    <row r="1471" spans="1:24" ht="13.95" hidden="1" customHeight="1" x14ac:dyDescent="0.65">
      <c r="A1471">
        <v>1465</v>
      </c>
      <c r="B1471" t="s">
        <v>29</v>
      </c>
      <c r="C1471" s="6">
        <v>1511712.9950000001</v>
      </c>
      <c r="D1471" s="6">
        <v>693905.06499999994</v>
      </c>
      <c r="E1471" s="2" t="s">
        <v>35</v>
      </c>
      <c r="F1471" s="1">
        <v>24</v>
      </c>
      <c r="G1471" s="2" t="s">
        <v>50</v>
      </c>
      <c r="J1471"/>
      <c r="K1471" s="19"/>
      <c r="L1471" s="21"/>
      <c r="M1471" s="27"/>
      <c r="N1471" s="19"/>
      <c r="O1471" s="21"/>
      <c r="Q1471" s="7">
        <f>Table2[[#This Row],[Elevation
PILE TOP]]-Table2[[#This Row],[LENGTH(m.)
(Actual)]]</f>
        <v>0</v>
      </c>
      <c r="R1471" s="2"/>
      <c r="S1471" s="7">
        <f>Table2[[#This Row],[N]]+Table2[[#This Row],[Pile 
Deviation 
N (m)]]</f>
        <v>1511712.9950000001</v>
      </c>
      <c r="T1471" s="7">
        <f>Table2[[#This Row],[E]]+Table2[[#This Row],[Pile 
Deviation 
E (m)]]</f>
        <v>693905.06499999994</v>
      </c>
      <c r="W1471" s="7">
        <v>0.24</v>
      </c>
      <c r="X1471" s="2" t="s">
        <v>51</v>
      </c>
    </row>
    <row r="1472" spans="1:24" hidden="1" x14ac:dyDescent="0.65">
      <c r="A1472">
        <v>1466</v>
      </c>
      <c r="B1472" t="s">
        <v>29</v>
      </c>
      <c r="C1472" s="6">
        <v>1511712.946</v>
      </c>
      <c r="D1472" s="6">
        <v>693932.80599999998</v>
      </c>
      <c r="E1472" s="2" t="s">
        <v>35</v>
      </c>
      <c r="F1472" s="1">
        <v>24</v>
      </c>
      <c r="G1472" s="2" t="s">
        <v>50</v>
      </c>
      <c r="J1472"/>
      <c r="K1472" s="19"/>
      <c r="L1472" s="21"/>
      <c r="M1472" s="27"/>
      <c r="N1472" s="19"/>
      <c r="O1472" s="21"/>
      <c r="Q1472" s="7">
        <f>Table2[[#This Row],[Elevation
PILE TOP]]-Table2[[#This Row],[LENGTH(m.)
(Actual)]]</f>
        <v>0</v>
      </c>
      <c r="R1472" s="2"/>
      <c r="S1472" s="7">
        <f>Table2[[#This Row],[N]]+Table2[[#This Row],[Pile 
Deviation 
N (m)]]</f>
        <v>1511712.946</v>
      </c>
      <c r="T1472" s="7">
        <f>Table2[[#This Row],[E]]+Table2[[#This Row],[Pile 
Deviation 
E (m)]]</f>
        <v>693932.80599999998</v>
      </c>
      <c r="W1472" s="7">
        <v>0.24</v>
      </c>
      <c r="X1472" s="2" t="s">
        <v>51</v>
      </c>
    </row>
    <row r="1473" spans="1:24" ht="13.95" hidden="1" customHeight="1" x14ac:dyDescent="0.65">
      <c r="A1473">
        <v>1467</v>
      </c>
      <c r="B1473" t="s">
        <v>29</v>
      </c>
      <c r="C1473" s="6">
        <v>1511712.824</v>
      </c>
      <c r="D1473" s="6">
        <v>693919.495</v>
      </c>
      <c r="E1473" s="2" t="s">
        <v>35</v>
      </c>
      <c r="F1473" s="1">
        <v>24</v>
      </c>
      <c r="G1473" s="2" t="s">
        <v>50</v>
      </c>
      <c r="J1473"/>
      <c r="K1473" s="19"/>
      <c r="L1473" s="21"/>
      <c r="M1473" s="27"/>
      <c r="N1473" s="19"/>
      <c r="O1473" s="21"/>
      <c r="Q1473" s="7">
        <f>Table2[[#This Row],[Elevation
PILE TOP]]-Table2[[#This Row],[LENGTH(m.)
(Actual)]]</f>
        <v>0</v>
      </c>
      <c r="R1473" s="2"/>
      <c r="S1473" s="7">
        <f>Table2[[#This Row],[N]]+Table2[[#This Row],[Pile 
Deviation 
N (m)]]</f>
        <v>1511712.824</v>
      </c>
      <c r="T1473" s="7">
        <f>Table2[[#This Row],[E]]+Table2[[#This Row],[Pile 
Deviation 
E (m)]]</f>
        <v>693919.495</v>
      </c>
      <c r="W1473" s="7">
        <v>0.24</v>
      </c>
      <c r="X1473" s="2" t="s">
        <v>51</v>
      </c>
    </row>
    <row r="1474" spans="1:24" hidden="1" x14ac:dyDescent="0.65">
      <c r="A1474">
        <v>1468</v>
      </c>
      <c r="B1474" t="s">
        <v>29</v>
      </c>
      <c r="C1474" s="6">
        <v>1511712.7069999999</v>
      </c>
      <c r="D1474" s="6">
        <v>694067.78399999999</v>
      </c>
      <c r="E1474" s="2" t="s">
        <v>35</v>
      </c>
      <c r="F1474" s="1">
        <v>24</v>
      </c>
      <c r="G1474" s="2" t="s">
        <v>50</v>
      </c>
      <c r="J1474"/>
      <c r="K1474" s="19"/>
      <c r="L1474" s="21"/>
      <c r="M1474" s="27"/>
      <c r="N1474" s="19"/>
      <c r="O1474" s="21"/>
      <c r="Q1474" s="7">
        <f>Table2[[#This Row],[Elevation
PILE TOP]]-Table2[[#This Row],[LENGTH(m.)
(Actual)]]</f>
        <v>0</v>
      </c>
      <c r="R1474" s="2"/>
      <c r="S1474" s="7">
        <f>Table2[[#This Row],[N]]+Table2[[#This Row],[Pile 
Deviation 
N (m)]]</f>
        <v>1511712.7069999999</v>
      </c>
      <c r="T1474" s="7">
        <f>Table2[[#This Row],[E]]+Table2[[#This Row],[Pile 
Deviation 
E (m)]]</f>
        <v>694067.78399999999</v>
      </c>
      <c r="W1474" s="7">
        <v>0.24</v>
      </c>
      <c r="X1474" s="2" t="s">
        <v>51</v>
      </c>
    </row>
    <row r="1475" spans="1:24" ht="13.95" hidden="1" customHeight="1" x14ac:dyDescent="0.65">
      <c r="A1475">
        <v>1469</v>
      </c>
      <c r="B1475" t="s">
        <v>29</v>
      </c>
      <c r="C1475" s="6">
        <v>1511712.655</v>
      </c>
      <c r="D1475" s="6">
        <v>694057.11399999994</v>
      </c>
      <c r="E1475" s="2" t="s">
        <v>35</v>
      </c>
      <c r="F1475" s="1">
        <v>24</v>
      </c>
      <c r="G1475" s="2" t="s">
        <v>50</v>
      </c>
      <c r="J1475"/>
      <c r="K1475" s="19"/>
      <c r="L1475" s="21"/>
      <c r="M1475" s="27"/>
      <c r="N1475" s="19"/>
      <c r="O1475" s="21"/>
      <c r="Q1475" s="7">
        <f>Table2[[#This Row],[Elevation
PILE TOP]]-Table2[[#This Row],[LENGTH(m.)
(Actual)]]</f>
        <v>0</v>
      </c>
      <c r="R1475" s="2"/>
      <c r="S1475" s="7">
        <f>Table2[[#This Row],[N]]+Table2[[#This Row],[Pile 
Deviation 
N (m)]]</f>
        <v>1511712.655</v>
      </c>
      <c r="T1475" s="7">
        <f>Table2[[#This Row],[E]]+Table2[[#This Row],[Pile 
Deviation 
E (m)]]</f>
        <v>694057.11399999994</v>
      </c>
      <c r="W1475" s="7">
        <v>0.24</v>
      </c>
      <c r="X1475" s="2" t="s">
        <v>51</v>
      </c>
    </row>
    <row r="1476" spans="1:24" hidden="1" x14ac:dyDescent="0.65">
      <c r="A1476">
        <v>1470</v>
      </c>
      <c r="B1476" t="s">
        <v>29</v>
      </c>
      <c r="C1476" s="6">
        <v>1511712.622</v>
      </c>
      <c r="D1476" s="6">
        <v>694039.26699999999</v>
      </c>
      <c r="E1476" s="2" t="s">
        <v>35</v>
      </c>
      <c r="F1476" s="1">
        <v>24</v>
      </c>
      <c r="G1476" s="2" t="s">
        <v>50</v>
      </c>
      <c r="J1476"/>
      <c r="K1476" s="19"/>
      <c r="L1476" s="21"/>
      <c r="M1476" s="27"/>
      <c r="N1476" s="19"/>
      <c r="O1476" s="21"/>
      <c r="Q1476" s="7">
        <f>Table2[[#This Row],[Elevation
PILE TOP]]-Table2[[#This Row],[LENGTH(m.)
(Actual)]]</f>
        <v>0</v>
      </c>
      <c r="R1476" s="2"/>
      <c r="S1476" s="7">
        <f>Table2[[#This Row],[N]]+Table2[[#This Row],[Pile 
Deviation 
N (m)]]</f>
        <v>1511712.622</v>
      </c>
      <c r="T1476" s="7">
        <f>Table2[[#This Row],[E]]+Table2[[#This Row],[Pile 
Deviation 
E (m)]]</f>
        <v>694039.26699999999</v>
      </c>
      <c r="W1476" s="7">
        <v>0.24</v>
      </c>
      <c r="X1476" s="2" t="s">
        <v>51</v>
      </c>
    </row>
    <row r="1477" spans="1:24" ht="13.95" hidden="1" customHeight="1" x14ac:dyDescent="0.65">
      <c r="A1477">
        <v>1471</v>
      </c>
      <c r="B1477" t="s">
        <v>29</v>
      </c>
      <c r="C1477" s="6">
        <v>1511712.5889999999</v>
      </c>
      <c r="D1477" s="6">
        <v>694021.42099999997</v>
      </c>
      <c r="E1477" s="2" t="s">
        <v>35</v>
      </c>
      <c r="F1477" s="1">
        <v>24</v>
      </c>
      <c r="G1477" s="2" t="s">
        <v>50</v>
      </c>
      <c r="J1477"/>
      <c r="K1477" s="19"/>
      <c r="L1477" s="21"/>
      <c r="M1477" s="27"/>
      <c r="N1477" s="19"/>
      <c r="O1477" s="21"/>
      <c r="Q1477" s="7">
        <f>Table2[[#This Row],[Elevation
PILE TOP]]-Table2[[#This Row],[LENGTH(m.)
(Actual)]]</f>
        <v>0</v>
      </c>
      <c r="R1477" s="2"/>
      <c r="S1477" s="7">
        <f>Table2[[#This Row],[N]]+Table2[[#This Row],[Pile 
Deviation 
N (m)]]</f>
        <v>1511712.5889999999</v>
      </c>
      <c r="T1477" s="7">
        <f>Table2[[#This Row],[E]]+Table2[[#This Row],[Pile 
Deviation 
E (m)]]</f>
        <v>694021.42099999997</v>
      </c>
      <c r="W1477" s="7">
        <v>0.24</v>
      </c>
      <c r="X1477" s="2" t="s">
        <v>51</v>
      </c>
    </row>
    <row r="1478" spans="1:24" hidden="1" x14ac:dyDescent="0.65">
      <c r="A1478">
        <v>1472</v>
      </c>
      <c r="B1478" t="s">
        <v>29</v>
      </c>
      <c r="C1478" s="6">
        <v>1511712.4550000001</v>
      </c>
      <c r="D1478" s="6">
        <v>693950.03500000003</v>
      </c>
      <c r="E1478" s="2" t="s">
        <v>35</v>
      </c>
      <c r="F1478" s="1">
        <v>24</v>
      </c>
      <c r="G1478" s="2" t="s">
        <v>50</v>
      </c>
      <c r="J1478"/>
      <c r="K1478" s="19"/>
      <c r="L1478" s="21"/>
      <c r="M1478" s="27"/>
      <c r="N1478" s="19"/>
      <c r="O1478" s="21"/>
      <c r="Q1478" s="7">
        <f>Table2[[#This Row],[Elevation
PILE TOP]]-Table2[[#This Row],[LENGTH(m.)
(Actual)]]</f>
        <v>0</v>
      </c>
      <c r="R1478" s="2"/>
      <c r="S1478" s="7">
        <f>Table2[[#This Row],[N]]+Table2[[#This Row],[Pile 
Deviation 
N (m)]]</f>
        <v>1511712.4550000001</v>
      </c>
      <c r="T1478" s="7">
        <f>Table2[[#This Row],[E]]+Table2[[#This Row],[Pile 
Deviation 
E (m)]]</f>
        <v>693950.03500000003</v>
      </c>
      <c r="W1478" s="7">
        <v>0.24</v>
      </c>
      <c r="X1478" s="2" t="s">
        <v>51</v>
      </c>
    </row>
    <row r="1479" spans="1:24" ht="13.95" hidden="1" customHeight="1" x14ac:dyDescent="0.65">
      <c r="A1479">
        <v>1473</v>
      </c>
      <c r="B1479" t="s">
        <v>29</v>
      </c>
      <c r="C1479" s="6">
        <v>1511712.1059999999</v>
      </c>
      <c r="D1479" s="6">
        <v>693908.45</v>
      </c>
      <c r="E1479" s="2" t="s">
        <v>35</v>
      </c>
      <c r="F1479" s="1">
        <v>24</v>
      </c>
      <c r="G1479" s="2" t="s">
        <v>50</v>
      </c>
      <c r="J1479"/>
      <c r="K1479" s="19"/>
      <c r="L1479" s="21"/>
      <c r="M1479" s="27"/>
      <c r="N1479" s="19"/>
      <c r="O1479" s="21"/>
      <c r="Q1479" s="7">
        <f>Table2[[#This Row],[Elevation
PILE TOP]]-Table2[[#This Row],[LENGTH(m.)
(Actual)]]</f>
        <v>0</v>
      </c>
      <c r="R1479" s="2"/>
      <c r="S1479" s="7">
        <f>Table2[[#This Row],[N]]+Table2[[#This Row],[Pile 
Deviation 
N (m)]]</f>
        <v>1511712.1059999999</v>
      </c>
      <c r="T1479" s="7">
        <f>Table2[[#This Row],[E]]+Table2[[#This Row],[Pile 
Deviation 
E (m)]]</f>
        <v>693908.45</v>
      </c>
      <c r="W1479" s="7">
        <v>0.24</v>
      </c>
      <c r="X1479" s="2" t="s">
        <v>51</v>
      </c>
    </row>
    <row r="1480" spans="1:24" hidden="1" x14ac:dyDescent="0.65">
      <c r="A1480">
        <v>1474</v>
      </c>
      <c r="B1480" t="s">
        <v>29</v>
      </c>
      <c r="C1480" s="6">
        <v>1511712.0530000001</v>
      </c>
      <c r="D1480" s="6">
        <v>694059.98600000003</v>
      </c>
      <c r="E1480" s="2" t="s">
        <v>35</v>
      </c>
      <c r="F1480" s="1">
        <v>24</v>
      </c>
      <c r="G1480" s="2" t="s">
        <v>50</v>
      </c>
      <c r="J1480"/>
      <c r="K1480" s="19"/>
      <c r="L1480" s="21"/>
      <c r="M1480" s="27"/>
      <c r="N1480" s="19"/>
      <c r="O1480" s="21"/>
      <c r="Q1480" s="7">
        <f>Table2[[#This Row],[Elevation
PILE TOP]]-Table2[[#This Row],[LENGTH(m.)
(Actual)]]</f>
        <v>0</v>
      </c>
      <c r="R1480" s="2"/>
      <c r="S1480" s="7">
        <f>Table2[[#This Row],[N]]+Table2[[#This Row],[Pile 
Deviation 
N (m)]]</f>
        <v>1511712.0530000001</v>
      </c>
      <c r="T1480" s="7">
        <f>Table2[[#This Row],[E]]+Table2[[#This Row],[Pile 
Deviation 
E (m)]]</f>
        <v>694059.98600000003</v>
      </c>
      <c r="W1480" s="7">
        <v>0.24</v>
      </c>
      <c r="X1480" s="2" t="s">
        <v>51</v>
      </c>
    </row>
    <row r="1481" spans="1:24" ht="13.95" hidden="1" customHeight="1" x14ac:dyDescent="0.65">
      <c r="A1481">
        <v>1475</v>
      </c>
      <c r="B1481" t="s">
        <v>29</v>
      </c>
      <c r="C1481" s="6">
        <v>1511711.963</v>
      </c>
      <c r="D1481" s="6">
        <v>694053.68299999996</v>
      </c>
      <c r="E1481" s="2" t="s">
        <v>35</v>
      </c>
      <c r="F1481" s="1">
        <v>24</v>
      </c>
      <c r="G1481" s="2" t="s">
        <v>50</v>
      </c>
      <c r="J1481"/>
      <c r="K1481" s="19"/>
      <c r="L1481" s="21"/>
      <c r="M1481" s="27"/>
      <c r="N1481" s="19"/>
      <c r="O1481" s="21"/>
      <c r="Q1481" s="7">
        <f>Table2[[#This Row],[Elevation
PILE TOP]]-Table2[[#This Row],[LENGTH(m.)
(Actual)]]</f>
        <v>0</v>
      </c>
      <c r="R1481" s="2"/>
      <c r="S1481" s="7">
        <f>Table2[[#This Row],[N]]+Table2[[#This Row],[Pile 
Deviation 
N (m)]]</f>
        <v>1511711.963</v>
      </c>
      <c r="T1481" s="7">
        <f>Table2[[#This Row],[E]]+Table2[[#This Row],[Pile 
Deviation 
E (m)]]</f>
        <v>694053.68299999996</v>
      </c>
      <c r="W1481" s="7">
        <v>0.24</v>
      </c>
      <c r="X1481" s="2" t="s">
        <v>51</v>
      </c>
    </row>
    <row r="1482" spans="1:24" hidden="1" x14ac:dyDescent="0.65">
      <c r="A1482">
        <v>1476</v>
      </c>
      <c r="B1482" t="s">
        <v>29</v>
      </c>
      <c r="C1482" s="6">
        <v>1511711.9339999999</v>
      </c>
      <c r="D1482" s="6">
        <v>693922.88</v>
      </c>
      <c r="E1482" s="2" t="s">
        <v>35</v>
      </c>
      <c r="F1482" s="1">
        <v>24</v>
      </c>
      <c r="G1482" s="2" t="s">
        <v>50</v>
      </c>
      <c r="J1482"/>
      <c r="K1482" s="19"/>
      <c r="L1482" s="21"/>
      <c r="M1482" s="27"/>
      <c r="N1482" s="19"/>
      <c r="O1482" s="21"/>
      <c r="Q1482" s="7">
        <f>Table2[[#This Row],[Elevation
PILE TOP]]-Table2[[#This Row],[LENGTH(m.)
(Actual)]]</f>
        <v>0</v>
      </c>
      <c r="R1482" s="2"/>
      <c r="S1482" s="7">
        <f>Table2[[#This Row],[N]]+Table2[[#This Row],[Pile 
Deviation 
N (m)]]</f>
        <v>1511711.9339999999</v>
      </c>
      <c r="T1482" s="7">
        <f>Table2[[#This Row],[E]]+Table2[[#This Row],[Pile 
Deviation 
E (m)]]</f>
        <v>693922.88</v>
      </c>
      <c r="W1482" s="7">
        <v>0.24</v>
      </c>
      <c r="X1482" s="2" t="s">
        <v>51</v>
      </c>
    </row>
    <row r="1483" spans="1:24" ht="13.95" hidden="1" customHeight="1" x14ac:dyDescent="0.65">
      <c r="A1483">
        <v>1477</v>
      </c>
      <c r="B1483" t="s">
        <v>29</v>
      </c>
      <c r="C1483" s="6">
        <v>1511711.929</v>
      </c>
      <c r="D1483" s="6">
        <v>694035.83700000006</v>
      </c>
      <c r="E1483" s="2" t="s">
        <v>35</v>
      </c>
      <c r="F1483" s="1">
        <v>24</v>
      </c>
      <c r="G1483" s="2" t="s">
        <v>50</v>
      </c>
      <c r="J1483"/>
      <c r="K1483" s="19"/>
      <c r="L1483" s="21"/>
      <c r="M1483" s="27"/>
      <c r="N1483" s="19"/>
      <c r="O1483" s="21"/>
      <c r="Q1483" s="7">
        <f>Table2[[#This Row],[Elevation
PILE TOP]]-Table2[[#This Row],[LENGTH(m.)
(Actual)]]</f>
        <v>0</v>
      </c>
      <c r="R1483" s="2"/>
      <c r="S1483" s="7">
        <f>Table2[[#This Row],[N]]+Table2[[#This Row],[Pile 
Deviation 
N (m)]]</f>
        <v>1511711.929</v>
      </c>
      <c r="T1483" s="7">
        <f>Table2[[#This Row],[E]]+Table2[[#This Row],[Pile 
Deviation 
E (m)]]</f>
        <v>694035.83700000006</v>
      </c>
      <c r="W1483" s="7">
        <v>0.24</v>
      </c>
      <c r="X1483" s="2" t="s">
        <v>51</v>
      </c>
    </row>
    <row r="1484" spans="1:24" hidden="1" x14ac:dyDescent="0.65">
      <c r="A1484">
        <v>1478</v>
      </c>
      <c r="B1484" t="s">
        <v>29</v>
      </c>
      <c r="C1484" s="6">
        <v>1511711.8959999999</v>
      </c>
      <c r="D1484" s="6">
        <v>694017.99</v>
      </c>
      <c r="E1484" s="2" t="s">
        <v>35</v>
      </c>
      <c r="F1484" s="1">
        <v>24</v>
      </c>
      <c r="G1484" s="2" t="s">
        <v>50</v>
      </c>
      <c r="J1484"/>
      <c r="K1484" s="19"/>
      <c r="L1484" s="21"/>
      <c r="M1484" s="27"/>
      <c r="N1484" s="19"/>
      <c r="O1484" s="21"/>
      <c r="Q1484" s="7">
        <f>Table2[[#This Row],[Elevation
PILE TOP]]-Table2[[#This Row],[LENGTH(m.)
(Actual)]]</f>
        <v>0</v>
      </c>
      <c r="R1484" s="2"/>
      <c r="S1484" s="7">
        <f>Table2[[#This Row],[N]]+Table2[[#This Row],[Pile 
Deviation 
N (m)]]</f>
        <v>1511711.8959999999</v>
      </c>
      <c r="T1484" s="7">
        <f>Table2[[#This Row],[E]]+Table2[[#This Row],[Pile 
Deviation 
E (m)]]</f>
        <v>694017.99</v>
      </c>
      <c r="W1484" s="7">
        <v>0.24</v>
      </c>
      <c r="X1484" s="2" t="s">
        <v>51</v>
      </c>
    </row>
    <row r="1485" spans="1:24" ht="13.95" hidden="1" customHeight="1" x14ac:dyDescent="0.65">
      <c r="A1485">
        <v>1479</v>
      </c>
      <c r="B1485" t="s">
        <v>29</v>
      </c>
      <c r="C1485" s="6">
        <v>1511711.7949999999</v>
      </c>
      <c r="D1485" s="6">
        <v>693964.451</v>
      </c>
      <c r="E1485" s="2" t="s">
        <v>35</v>
      </c>
      <c r="F1485" s="1">
        <v>24</v>
      </c>
      <c r="G1485" s="2" t="s">
        <v>50</v>
      </c>
      <c r="J1485"/>
      <c r="K1485" s="19"/>
      <c r="L1485" s="21"/>
      <c r="M1485" s="27"/>
      <c r="N1485" s="19"/>
      <c r="O1485" s="21"/>
      <c r="Q1485" s="7">
        <f>Table2[[#This Row],[Elevation
PILE TOP]]-Table2[[#This Row],[LENGTH(m.)
(Actual)]]</f>
        <v>0</v>
      </c>
      <c r="R1485" s="2"/>
      <c r="S1485" s="7">
        <f>Table2[[#This Row],[N]]+Table2[[#This Row],[Pile 
Deviation 
N (m)]]</f>
        <v>1511711.7949999999</v>
      </c>
      <c r="T1485" s="7">
        <f>Table2[[#This Row],[E]]+Table2[[#This Row],[Pile 
Deviation 
E (m)]]</f>
        <v>693964.451</v>
      </c>
      <c r="W1485" s="7">
        <v>0.24</v>
      </c>
      <c r="X1485" s="2" t="s">
        <v>51</v>
      </c>
    </row>
    <row r="1486" spans="1:24" hidden="1" x14ac:dyDescent="0.65">
      <c r="A1486">
        <v>1480</v>
      </c>
      <c r="B1486" t="s">
        <v>29</v>
      </c>
      <c r="C1486" s="6">
        <v>1511711.7620000001</v>
      </c>
      <c r="D1486" s="6">
        <v>693946.60400000005</v>
      </c>
      <c r="E1486" s="2" t="s">
        <v>35</v>
      </c>
      <c r="F1486" s="1">
        <v>24</v>
      </c>
      <c r="G1486" s="2" t="s">
        <v>50</v>
      </c>
      <c r="J1486"/>
      <c r="K1486" s="19"/>
      <c r="L1486" s="21"/>
      <c r="M1486" s="27"/>
      <c r="N1486" s="19"/>
      <c r="O1486" s="21"/>
      <c r="Q1486" s="7">
        <f>Table2[[#This Row],[Elevation
PILE TOP]]-Table2[[#This Row],[LENGTH(m.)
(Actual)]]</f>
        <v>0</v>
      </c>
      <c r="R1486" s="2"/>
      <c r="S1486" s="7">
        <f>Table2[[#This Row],[N]]+Table2[[#This Row],[Pile 
Deviation 
N (m)]]</f>
        <v>1511711.7620000001</v>
      </c>
      <c r="T1486" s="7">
        <f>Table2[[#This Row],[E]]+Table2[[#This Row],[Pile 
Deviation 
E (m)]]</f>
        <v>693946.60400000005</v>
      </c>
      <c r="W1486" s="7">
        <v>0.24</v>
      </c>
      <c r="X1486" s="2" t="s">
        <v>51</v>
      </c>
    </row>
    <row r="1487" spans="1:24" ht="13.95" hidden="1" customHeight="1" x14ac:dyDescent="0.65">
      <c r="A1487">
        <v>1481</v>
      </c>
      <c r="B1487" t="s">
        <v>29</v>
      </c>
      <c r="C1487" s="6">
        <v>1511711.409</v>
      </c>
      <c r="D1487" s="6">
        <v>694071.03500000003</v>
      </c>
      <c r="E1487" s="2" t="s">
        <v>35</v>
      </c>
      <c r="F1487" s="1">
        <v>24</v>
      </c>
      <c r="G1487" s="2" t="s">
        <v>50</v>
      </c>
      <c r="J1487"/>
      <c r="K1487" s="19"/>
      <c r="L1487" s="21"/>
      <c r="M1487" s="27"/>
      <c r="N1487" s="19"/>
      <c r="O1487" s="21"/>
      <c r="Q1487" s="7">
        <f>Table2[[#This Row],[Elevation
PILE TOP]]-Table2[[#This Row],[LENGTH(m.)
(Actual)]]</f>
        <v>0</v>
      </c>
      <c r="R1487" s="2"/>
      <c r="S1487" s="7">
        <f>Table2[[#This Row],[N]]+Table2[[#This Row],[Pile 
Deviation 
N (m)]]</f>
        <v>1511711.409</v>
      </c>
      <c r="T1487" s="7">
        <f>Table2[[#This Row],[E]]+Table2[[#This Row],[Pile 
Deviation 
E (m)]]</f>
        <v>694071.03500000003</v>
      </c>
      <c r="W1487" s="7">
        <v>0.24</v>
      </c>
      <c r="X1487" s="2" t="s">
        <v>51</v>
      </c>
    </row>
    <row r="1488" spans="1:24" hidden="1" x14ac:dyDescent="0.65">
      <c r="A1488">
        <v>1482</v>
      </c>
      <c r="B1488" t="s">
        <v>29</v>
      </c>
      <c r="C1488" s="6">
        <v>1511711.27</v>
      </c>
      <c r="D1488" s="6">
        <v>694050.25199999998</v>
      </c>
      <c r="E1488" s="2" t="s">
        <v>35</v>
      </c>
      <c r="F1488" s="1">
        <v>24</v>
      </c>
      <c r="G1488" s="2" t="s">
        <v>50</v>
      </c>
      <c r="J1488"/>
      <c r="K1488" s="19"/>
      <c r="L1488" s="21"/>
      <c r="M1488" s="27"/>
      <c r="N1488" s="19"/>
      <c r="O1488" s="21"/>
      <c r="Q1488" s="7">
        <f>Table2[[#This Row],[Elevation
PILE TOP]]-Table2[[#This Row],[LENGTH(m.)
(Actual)]]</f>
        <v>0</v>
      </c>
      <c r="R1488" s="2"/>
      <c r="S1488" s="7">
        <f>Table2[[#This Row],[N]]+Table2[[#This Row],[Pile 
Deviation 
N (m)]]</f>
        <v>1511711.27</v>
      </c>
      <c r="T1488" s="7">
        <f>Table2[[#This Row],[E]]+Table2[[#This Row],[Pile 
Deviation 
E (m)]]</f>
        <v>694050.25199999998</v>
      </c>
      <c r="W1488" s="7">
        <v>0.24</v>
      </c>
      <c r="X1488" s="2" t="s">
        <v>51</v>
      </c>
    </row>
    <row r="1489" spans="1:24" ht="13.95" hidden="1" customHeight="1" x14ac:dyDescent="0.65">
      <c r="A1489">
        <v>1483</v>
      </c>
      <c r="B1489" t="s">
        <v>29</v>
      </c>
      <c r="C1489" s="6">
        <v>1511711.236</v>
      </c>
      <c r="D1489" s="6">
        <v>694032.40599999996</v>
      </c>
      <c r="E1489" s="2" t="s">
        <v>35</v>
      </c>
      <c r="F1489" s="1">
        <v>24</v>
      </c>
      <c r="G1489" s="2" t="s">
        <v>50</v>
      </c>
      <c r="J1489"/>
      <c r="K1489" s="19"/>
      <c r="L1489" s="21"/>
      <c r="M1489" s="27"/>
      <c r="N1489" s="19"/>
      <c r="O1489" s="21"/>
      <c r="Q1489" s="7">
        <f>Table2[[#This Row],[Elevation
PILE TOP]]-Table2[[#This Row],[LENGTH(m.)
(Actual)]]</f>
        <v>0</v>
      </c>
      <c r="R1489" s="2"/>
      <c r="S1489" s="7">
        <f>Table2[[#This Row],[N]]+Table2[[#This Row],[Pile 
Deviation 
N (m)]]</f>
        <v>1511711.236</v>
      </c>
      <c r="T1489" s="7">
        <f>Table2[[#This Row],[E]]+Table2[[#This Row],[Pile 
Deviation 
E (m)]]</f>
        <v>694032.40599999996</v>
      </c>
      <c r="W1489" s="7">
        <v>0.24</v>
      </c>
      <c r="X1489" s="2" t="s">
        <v>51</v>
      </c>
    </row>
    <row r="1490" spans="1:24" hidden="1" x14ac:dyDescent="0.65">
      <c r="A1490">
        <v>1484</v>
      </c>
      <c r="B1490" t="s">
        <v>29</v>
      </c>
      <c r="C1490" s="6">
        <v>1511711.2169999999</v>
      </c>
      <c r="D1490" s="6">
        <v>693911.83600000001</v>
      </c>
      <c r="E1490" s="2" t="s">
        <v>35</v>
      </c>
      <c r="F1490" s="1">
        <v>24</v>
      </c>
      <c r="G1490" s="2" t="s">
        <v>50</v>
      </c>
      <c r="J1490"/>
      <c r="K1490" s="19"/>
      <c r="L1490" s="21"/>
      <c r="M1490" s="27"/>
      <c r="N1490" s="19"/>
      <c r="O1490" s="21"/>
      <c r="Q1490" s="7">
        <f>Table2[[#This Row],[Elevation
PILE TOP]]-Table2[[#This Row],[LENGTH(m.)
(Actual)]]</f>
        <v>0</v>
      </c>
      <c r="R1490" s="2"/>
      <c r="S1490" s="7">
        <f>Table2[[#This Row],[N]]+Table2[[#This Row],[Pile 
Deviation 
N (m)]]</f>
        <v>1511711.2169999999</v>
      </c>
      <c r="T1490" s="7">
        <f>Table2[[#This Row],[E]]+Table2[[#This Row],[Pile 
Deviation 
E (m)]]</f>
        <v>693911.83600000001</v>
      </c>
      <c r="W1490" s="7">
        <v>0.24</v>
      </c>
      <c r="X1490" s="2" t="s">
        <v>51</v>
      </c>
    </row>
    <row r="1491" spans="1:24" ht="13.95" hidden="1" customHeight="1" x14ac:dyDescent="0.65">
      <c r="A1491">
        <v>1485</v>
      </c>
      <c r="B1491" t="s">
        <v>29</v>
      </c>
      <c r="C1491" s="6">
        <v>1511711.203</v>
      </c>
      <c r="D1491" s="6">
        <v>694014.55900000001</v>
      </c>
      <c r="E1491" s="2" t="s">
        <v>35</v>
      </c>
      <c r="F1491" s="1">
        <v>24</v>
      </c>
      <c r="G1491" s="2" t="s">
        <v>50</v>
      </c>
      <c r="J1491"/>
      <c r="K1491" s="19"/>
      <c r="L1491" s="21"/>
      <c r="M1491" s="27"/>
      <c r="N1491" s="19"/>
      <c r="O1491" s="21"/>
      <c r="Q1491" s="7">
        <f>Table2[[#This Row],[Elevation
PILE TOP]]-Table2[[#This Row],[LENGTH(m.)
(Actual)]]</f>
        <v>0</v>
      </c>
      <c r="R1491" s="2"/>
      <c r="S1491" s="7">
        <f>Table2[[#This Row],[N]]+Table2[[#This Row],[Pile 
Deviation 
N (m)]]</f>
        <v>1511711.203</v>
      </c>
      <c r="T1491" s="7">
        <f>Table2[[#This Row],[E]]+Table2[[#This Row],[Pile 
Deviation 
E (m)]]</f>
        <v>694014.55900000001</v>
      </c>
      <c r="W1491" s="7">
        <v>0.24</v>
      </c>
      <c r="X1491" s="2" t="s">
        <v>51</v>
      </c>
    </row>
    <row r="1492" spans="1:24" hidden="1" x14ac:dyDescent="0.65">
      <c r="A1492">
        <v>1486</v>
      </c>
      <c r="B1492" t="s">
        <v>29</v>
      </c>
      <c r="C1492" s="6">
        <v>1511711.1029999999</v>
      </c>
      <c r="D1492" s="6">
        <v>693961.02</v>
      </c>
      <c r="E1492" s="2" t="s">
        <v>35</v>
      </c>
      <c r="F1492" s="1">
        <v>24</v>
      </c>
      <c r="G1492" s="2" t="s">
        <v>50</v>
      </c>
      <c r="J1492"/>
      <c r="K1492" s="19"/>
      <c r="L1492" s="21"/>
      <c r="M1492" s="27"/>
      <c r="N1492" s="19"/>
      <c r="O1492" s="21"/>
      <c r="Q1492" s="7">
        <f>Table2[[#This Row],[Elevation
PILE TOP]]-Table2[[#This Row],[LENGTH(m.)
(Actual)]]</f>
        <v>0</v>
      </c>
      <c r="R1492" s="2"/>
      <c r="S1492" s="7">
        <f>Table2[[#This Row],[N]]+Table2[[#This Row],[Pile 
Deviation 
N (m)]]</f>
        <v>1511711.1029999999</v>
      </c>
      <c r="T1492" s="7">
        <f>Table2[[#This Row],[E]]+Table2[[#This Row],[Pile 
Deviation 
E (m)]]</f>
        <v>693961.02</v>
      </c>
      <c r="W1492" s="7">
        <v>0.24</v>
      </c>
      <c r="X1492" s="2" t="s">
        <v>51</v>
      </c>
    </row>
    <row r="1493" spans="1:24" ht="13.95" hidden="1" customHeight="1" x14ac:dyDescent="0.65">
      <c r="A1493">
        <v>1487</v>
      </c>
      <c r="B1493" t="s">
        <v>29</v>
      </c>
      <c r="C1493" s="6">
        <v>1511711.0689999999</v>
      </c>
      <c r="D1493" s="6">
        <v>693943.17299999995</v>
      </c>
      <c r="E1493" s="2" t="s">
        <v>35</v>
      </c>
      <c r="F1493" s="1">
        <v>24</v>
      </c>
      <c r="G1493" s="2" t="s">
        <v>50</v>
      </c>
      <c r="J1493"/>
      <c r="K1493" s="19"/>
      <c r="L1493" s="21"/>
      <c r="M1493" s="27"/>
      <c r="N1493" s="19"/>
      <c r="O1493" s="21"/>
      <c r="Q1493" s="7">
        <f>Table2[[#This Row],[Elevation
PILE TOP]]-Table2[[#This Row],[LENGTH(m.)
(Actual)]]</f>
        <v>0</v>
      </c>
      <c r="R1493" s="2"/>
      <c r="S1493" s="7">
        <f>Table2[[#This Row],[N]]+Table2[[#This Row],[Pile 
Deviation 
N (m)]]</f>
        <v>1511711.0689999999</v>
      </c>
      <c r="T1493" s="7">
        <f>Table2[[#This Row],[E]]+Table2[[#This Row],[Pile 
Deviation 
E (m)]]</f>
        <v>693943.17299999995</v>
      </c>
      <c r="W1493" s="7">
        <v>0.24</v>
      </c>
      <c r="X1493" s="2" t="s">
        <v>51</v>
      </c>
    </row>
    <row r="1494" spans="1:24" hidden="1" x14ac:dyDescent="0.65">
      <c r="A1494">
        <v>1488</v>
      </c>
      <c r="B1494" t="s">
        <v>29</v>
      </c>
      <c r="C1494" s="6">
        <v>1511711.0449999999</v>
      </c>
      <c r="D1494" s="6">
        <v>693926.26500000001</v>
      </c>
      <c r="E1494" s="2" t="s">
        <v>35</v>
      </c>
      <c r="F1494" s="1">
        <v>24</v>
      </c>
      <c r="G1494" s="2" t="s">
        <v>50</v>
      </c>
      <c r="J1494"/>
      <c r="K1494" s="19"/>
      <c r="L1494" s="21"/>
      <c r="M1494" s="27"/>
      <c r="N1494" s="19"/>
      <c r="O1494" s="21"/>
      <c r="Q1494" s="7">
        <f>Table2[[#This Row],[Elevation
PILE TOP]]-Table2[[#This Row],[LENGTH(m.)
(Actual)]]</f>
        <v>0</v>
      </c>
      <c r="R1494" s="2"/>
      <c r="S1494" s="7">
        <f>Table2[[#This Row],[N]]+Table2[[#This Row],[Pile 
Deviation 
N (m)]]</f>
        <v>1511711.0449999999</v>
      </c>
      <c r="T1494" s="7">
        <f>Table2[[#This Row],[E]]+Table2[[#This Row],[Pile 
Deviation 
E (m)]]</f>
        <v>693926.26500000001</v>
      </c>
      <c r="W1494" s="7">
        <v>0.24</v>
      </c>
      <c r="X1494" s="2" t="s">
        <v>51</v>
      </c>
    </row>
    <row r="1495" spans="1:24" ht="13.95" hidden="1" customHeight="1" x14ac:dyDescent="0.65">
      <c r="A1495">
        <v>1489</v>
      </c>
      <c r="B1495" t="s">
        <v>29</v>
      </c>
      <c r="C1495" s="6">
        <v>1511710.7549999999</v>
      </c>
      <c r="D1495" s="6">
        <v>694063.23600000003</v>
      </c>
      <c r="E1495" s="2" t="s">
        <v>35</v>
      </c>
      <c r="F1495" s="1">
        <v>24</v>
      </c>
      <c r="G1495" s="2" t="s">
        <v>50</v>
      </c>
      <c r="J1495"/>
      <c r="K1495" s="19"/>
      <c r="L1495" s="21"/>
      <c r="M1495" s="27"/>
      <c r="N1495" s="19"/>
      <c r="O1495" s="21"/>
      <c r="Q1495" s="7">
        <f>Table2[[#This Row],[Elevation
PILE TOP]]-Table2[[#This Row],[LENGTH(m.)
(Actual)]]</f>
        <v>0</v>
      </c>
      <c r="R1495" s="2"/>
      <c r="S1495" s="7">
        <f>Table2[[#This Row],[N]]+Table2[[#This Row],[Pile 
Deviation 
N (m)]]</f>
        <v>1511710.7549999999</v>
      </c>
      <c r="T1495" s="7">
        <f>Table2[[#This Row],[E]]+Table2[[#This Row],[Pile 
Deviation 
E (m)]]</f>
        <v>694063.23600000003</v>
      </c>
      <c r="W1495" s="7">
        <v>0.24</v>
      </c>
      <c r="X1495" s="2" t="s">
        <v>51</v>
      </c>
    </row>
    <row r="1496" spans="1:24" hidden="1" x14ac:dyDescent="0.65">
      <c r="A1496">
        <v>1490</v>
      </c>
      <c r="B1496" t="s">
        <v>29</v>
      </c>
      <c r="C1496" s="6">
        <v>1511710.577</v>
      </c>
      <c r="D1496" s="6">
        <v>694046.82200000004</v>
      </c>
      <c r="E1496" s="2" t="s">
        <v>35</v>
      </c>
      <c r="F1496" s="1">
        <v>24</v>
      </c>
      <c r="G1496" s="2" t="s">
        <v>50</v>
      </c>
      <c r="J1496"/>
      <c r="K1496" s="19"/>
      <c r="L1496" s="21"/>
      <c r="M1496" s="27"/>
      <c r="N1496" s="19"/>
      <c r="O1496" s="21"/>
      <c r="Q1496" s="7">
        <f>Table2[[#This Row],[Elevation
PILE TOP]]-Table2[[#This Row],[LENGTH(m.)
(Actual)]]</f>
        <v>0</v>
      </c>
      <c r="R1496" s="2"/>
      <c r="S1496" s="7">
        <f>Table2[[#This Row],[N]]+Table2[[#This Row],[Pile 
Deviation 
N (m)]]</f>
        <v>1511710.577</v>
      </c>
      <c r="T1496" s="7">
        <f>Table2[[#This Row],[E]]+Table2[[#This Row],[Pile 
Deviation 
E (m)]]</f>
        <v>694046.82200000004</v>
      </c>
      <c r="W1496" s="7">
        <v>0.24</v>
      </c>
      <c r="X1496" s="2" t="s">
        <v>51</v>
      </c>
    </row>
    <row r="1497" spans="1:24" ht="13.95" hidden="1" customHeight="1" x14ac:dyDescent="0.65">
      <c r="A1497">
        <v>1491</v>
      </c>
      <c r="B1497" t="s">
        <v>29</v>
      </c>
      <c r="C1497" s="6">
        <v>1511710.544</v>
      </c>
      <c r="D1497" s="6">
        <v>694028.97499999998</v>
      </c>
      <c r="E1497" s="2" t="s">
        <v>35</v>
      </c>
      <c r="F1497" s="1">
        <v>24</v>
      </c>
      <c r="G1497" s="2" t="s">
        <v>50</v>
      </c>
      <c r="J1497"/>
      <c r="K1497" s="19"/>
      <c r="L1497" s="21"/>
      <c r="M1497" s="27"/>
      <c r="N1497" s="19"/>
      <c r="O1497" s="21"/>
      <c r="Q1497" s="7">
        <f>Table2[[#This Row],[Elevation
PILE TOP]]-Table2[[#This Row],[LENGTH(m.)
(Actual)]]</f>
        <v>0</v>
      </c>
      <c r="R1497" s="2"/>
      <c r="S1497" s="7">
        <f>Table2[[#This Row],[N]]+Table2[[#This Row],[Pile 
Deviation 
N (m)]]</f>
        <v>1511710.544</v>
      </c>
      <c r="T1497" s="7">
        <f>Table2[[#This Row],[E]]+Table2[[#This Row],[Pile 
Deviation 
E (m)]]</f>
        <v>694028.97499999998</v>
      </c>
      <c r="W1497" s="7">
        <v>0.24</v>
      </c>
      <c r="X1497" s="2" t="s">
        <v>51</v>
      </c>
    </row>
    <row r="1498" spans="1:24" hidden="1" x14ac:dyDescent="0.65">
      <c r="A1498">
        <v>1492</v>
      </c>
      <c r="B1498" t="s">
        <v>29</v>
      </c>
      <c r="C1498" s="6">
        <v>1511710.51</v>
      </c>
      <c r="D1498" s="6">
        <v>694011.12899999996</v>
      </c>
      <c r="E1498" s="2" t="s">
        <v>35</v>
      </c>
      <c r="F1498" s="1">
        <v>24</v>
      </c>
      <c r="G1498" s="2" t="s">
        <v>50</v>
      </c>
      <c r="J1498"/>
      <c r="K1498" s="19"/>
      <c r="L1498" s="21"/>
      <c r="M1498" s="27"/>
      <c r="N1498" s="19"/>
      <c r="O1498" s="21"/>
      <c r="Q1498" s="7">
        <f>Table2[[#This Row],[Elevation
PILE TOP]]-Table2[[#This Row],[LENGTH(m.)
(Actual)]]</f>
        <v>0</v>
      </c>
      <c r="R1498" s="2"/>
      <c r="S1498" s="7">
        <f>Table2[[#This Row],[N]]+Table2[[#This Row],[Pile 
Deviation 
N (m)]]</f>
        <v>1511710.51</v>
      </c>
      <c r="T1498" s="7">
        <f>Table2[[#This Row],[E]]+Table2[[#This Row],[Pile 
Deviation 
E (m)]]</f>
        <v>694011.12899999996</v>
      </c>
      <c r="W1498" s="7">
        <v>0.24</v>
      </c>
      <c r="X1498" s="2" t="s">
        <v>51</v>
      </c>
    </row>
    <row r="1499" spans="1:24" ht="13.95" hidden="1" customHeight="1" x14ac:dyDescent="0.65">
      <c r="A1499">
        <v>1493</v>
      </c>
      <c r="B1499" t="s">
        <v>29</v>
      </c>
      <c r="C1499" s="6">
        <v>1511710.41</v>
      </c>
      <c r="D1499" s="6">
        <v>693957.58900000004</v>
      </c>
      <c r="E1499" s="2" t="s">
        <v>35</v>
      </c>
      <c r="F1499" s="1">
        <v>24</v>
      </c>
      <c r="G1499" s="2" t="s">
        <v>50</v>
      </c>
      <c r="J1499"/>
      <c r="K1499" s="19"/>
      <c r="L1499" s="21"/>
      <c r="M1499" s="27"/>
      <c r="N1499" s="19"/>
      <c r="O1499" s="21"/>
      <c r="Q1499" s="7">
        <f>Table2[[#This Row],[Elevation
PILE TOP]]-Table2[[#This Row],[LENGTH(m.)
(Actual)]]</f>
        <v>0</v>
      </c>
      <c r="R1499" s="2"/>
      <c r="S1499" s="7">
        <f>Table2[[#This Row],[N]]+Table2[[#This Row],[Pile 
Deviation 
N (m)]]</f>
        <v>1511710.41</v>
      </c>
      <c r="T1499" s="7">
        <f>Table2[[#This Row],[E]]+Table2[[#This Row],[Pile 
Deviation 
E (m)]]</f>
        <v>693957.58900000004</v>
      </c>
      <c r="W1499" s="7">
        <v>0.24</v>
      </c>
      <c r="X1499" s="2" t="s">
        <v>51</v>
      </c>
    </row>
    <row r="1500" spans="1:24" hidden="1" x14ac:dyDescent="0.65">
      <c r="A1500">
        <v>1494</v>
      </c>
      <c r="B1500" t="s">
        <v>29</v>
      </c>
      <c r="C1500" s="6">
        <v>1511710.3759999999</v>
      </c>
      <c r="D1500" s="6">
        <v>693939.74199999997</v>
      </c>
      <c r="E1500" s="2" t="s">
        <v>35</v>
      </c>
      <c r="F1500" s="1">
        <v>24</v>
      </c>
      <c r="G1500" s="2" t="s">
        <v>50</v>
      </c>
      <c r="J1500"/>
      <c r="K1500" s="19"/>
      <c r="L1500" s="21"/>
      <c r="M1500" s="27"/>
      <c r="N1500" s="19"/>
      <c r="O1500" s="21"/>
      <c r="Q1500" s="7">
        <f>Table2[[#This Row],[Elevation
PILE TOP]]-Table2[[#This Row],[LENGTH(m.)
(Actual)]]</f>
        <v>0</v>
      </c>
      <c r="R1500" s="2"/>
      <c r="S1500" s="7">
        <f>Table2[[#This Row],[N]]+Table2[[#This Row],[Pile 
Deviation 
N (m)]]</f>
        <v>1511710.3759999999</v>
      </c>
      <c r="T1500" s="7">
        <f>Table2[[#This Row],[E]]+Table2[[#This Row],[Pile 
Deviation 
E (m)]]</f>
        <v>693939.74199999997</v>
      </c>
      <c r="W1500" s="7">
        <v>0.24</v>
      </c>
      <c r="X1500" s="2" t="s">
        <v>51</v>
      </c>
    </row>
    <row r="1501" spans="1:24" ht="13.95" hidden="1" customHeight="1" x14ac:dyDescent="0.65">
      <c r="A1501">
        <v>1495</v>
      </c>
      <c r="B1501" t="s">
        <v>29</v>
      </c>
      <c r="C1501" s="6">
        <v>1511710.327</v>
      </c>
      <c r="D1501" s="6">
        <v>693915.22100000002</v>
      </c>
      <c r="E1501" s="2" t="s">
        <v>35</v>
      </c>
      <c r="F1501" s="1">
        <v>24</v>
      </c>
      <c r="G1501" s="2" t="s">
        <v>50</v>
      </c>
      <c r="J1501"/>
      <c r="K1501" s="19"/>
      <c r="L1501" s="21"/>
      <c r="M1501" s="27"/>
      <c r="N1501" s="19"/>
      <c r="O1501" s="21"/>
      <c r="Q1501" s="7">
        <f>Table2[[#This Row],[Elevation
PILE TOP]]-Table2[[#This Row],[LENGTH(m.)
(Actual)]]</f>
        <v>0</v>
      </c>
      <c r="R1501" s="2"/>
      <c r="S1501" s="7">
        <f>Table2[[#This Row],[N]]+Table2[[#This Row],[Pile 
Deviation 
N (m)]]</f>
        <v>1511710.327</v>
      </c>
      <c r="T1501" s="7">
        <f>Table2[[#This Row],[E]]+Table2[[#This Row],[Pile 
Deviation 
E (m)]]</f>
        <v>693915.22100000002</v>
      </c>
      <c r="W1501" s="7">
        <v>0.24</v>
      </c>
      <c r="X1501" s="2" t="s">
        <v>51</v>
      </c>
    </row>
    <row r="1502" spans="1:24" hidden="1" x14ac:dyDescent="0.65">
      <c r="A1502">
        <v>1496</v>
      </c>
      <c r="B1502" t="s">
        <v>29</v>
      </c>
      <c r="C1502" s="6">
        <v>1511710.156</v>
      </c>
      <c r="D1502" s="6">
        <v>693929.65099999995</v>
      </c>
      <c r="E1502" s="2" t="s">
        <v>35</v>
      </c>
      <c r="F1502" s="1">
        <v>24</v>
      </c>
      <c r="G1502" s="2" t="s">
        <v>50</v>
      </c>
      <c r="J1502"/>
      <c r="K1502" s="19"/>
      <c r="L1502" s="21"/>
      <c r="M1502" s="27"/>
      <c r="N1502" s="19"/>
      <c r="O1502" s="21"/>
      <c r="Q1502" s="7">
        <f>Table2[[#This Row],[Elevation
PILE TOP]]-Table2[[#This Row],[LENGTH(m.)
(Actual)]]</f>
        <v>0</v>
      </c>
      <c r="R1502" s="2"/>
      <c r="S1502" s="7">
        <f>Table2[[#This Row],[N]]+Table2[[#This Row],[Pile 
Deviation 
N (m)]]</f>
        <v>1511710.156</v>
      </c>
      <c r="T1502" s="7">
        <f>Table2[[#This Row],[E]]+Table2[[#This Row],[Pile 
Deviation 
E (m)]]</f>
        <v>693929.65099999995</v>
      </c>
      <c r="W1502" s="7">
        <v>0.24</v>
      </c>
      <c r="X1502" s="2" t="s">
        <v>51</v>
      </c>
    </row>
    <row r="1503" spans="1:24" ht="13.95" hidden="1" customHeight="1" x14ac:dyDescent="0.65">
      <c r="A1503">
        <v>1497</v>
      </c>
      <c r="B1503" t="s">
        <v>29</v>
      </c>
      <c r="C1503" s="6">
        <v>1511710.111</v>
      </c>
      <c r="D1503" s="6">
        <v>694074.28500000003</v>
      </c>
      <c r="E1503" s="2" t="s">
        <v>35</v>
      </c>
      <c r="F1503" s="1">
        <v>24</v>
      </c>
      <c r="G1503" s="2" t="s">
        <v>50</v>
      </c>
      <c r="J1503"/>
      <c r="K1503" s="19"/>
      <c r="L1503" s="21"/>
      <c r="M1503" s="27"/>
      <c r="N1503" s="19"/>
      <c r="O1503" s="21"/>
      <c r="Q1503" s="7">
        <f>Table2[[#This Row],[Elevation
PILE TOP]]-Table2[[#This Row],[LENGTH(m.)
(Actual)]]</f>
        <v>0</v>
      </c>
      <c r="R1503" s="2"/>
      <c r="S1503" s="7">
        <f>Table2[[#This Row],[N]]+Table2[[#This Row],[Pile 
Deviation 
N (m)]]</f>
        <v>1511710.111</v>
      </c>
      <c r="T1503" s="7">
        <f>Table2[[#This Row],[E]]+Table2[[#This Row],[Pile 
Deviation 
E (m)]]</f>
        <v>694074.28500000003</v>
      </c>
      <c r="W1503" s="7">
        <v>0.24</v>
      </c>
      <c r="X1503" s="2" t="s">
        <v>51</v>
      </c>
    </row>
    <row r="1504" spans="1:24" hidden="1" x14ac:dyDescent="0.65">
      <c r="A1504">
        <v>1498</v>
      </c>
      <c r="B1504" t="s">
        <v>29</v>
      </c>
      <c r="C1504" s="6">
        <v>1511709.8840000001</v>
      </c>
      <c r="D1504" s="6">
        <v>694043.39099999995</v>
      </c>
      <c r="E1504" s="2" t="s">
        <v>35</v>
      </c>
      <c r="F1504" s="1">
        <v>24</v>
      </c>
      <c r="G1504" s="2" t="s">
        <v>50</v>
      </c>
      <c r="J1504"/>
      <c r="K1504" s="19"/>
      <c r="L1504" s="21"/>
      <c r="M1504" s="27"/>
      <c r="N1504" s="19"/>
      <c r="O1504" s="21"/>
      <c r="Q1504" s="7">
        <f>Table2[[#This Row],[Elevation
PILE TOP]]-Table2[[#This Row],[LENGTH(m.)
(Actual)]]</f>
        <v>0</v>
      </c>
      <c r="R1504" s="2"/>
      <c r="S1504" s="7">
        <f>Table2[[#This Row],[N]]+Table2[[#This Row],[Pile 
Deviation 
N (m)]]</f>
        <v>1511709.8840000001</v>
      </c>
      <c r="T1504" s="7">
        <f>Table2[[#This Row],[E]]+Table2[[#This Row],[Pile 
Deviation 
E (m)]]</f>
        <v>694043.39099999995</v>
      </c>
      <c r="W1504" s="7">
        <v>0.24</v>
      </c>
      <c r="X1504" s="2" t="s">
        <v>51</v>
      </c>
    </row>
    <row r="1505" spans="1:24" ht="13.95" hidden="1" customHeight="1" x14ac:dyDescent="0.65">
      <c r="A1505">
        <v>1499</v>
      </c>
      <c r="B1505" t="s">
        <v>29</v>
      </c>
      <c r="C1505" s="6">
        <v>1511709.851</v>
      </c>
      <c r="D1505" s="6">
        <v>694025.54399999999</v>
      </c>
      <c r="E1505" s="2" t="s">
        <v>35</v>
      </c>
      <c r="F1505" s="1">
        <v>24</v>
      </c>
      <c r="G1505" s="2" t="s">
        <v>50</v>
      </c>
      <c r="J1505"/>
      <c r="K1505" s="19"/>
      <c r="L1505" s="21"/>
      <c r="M1505" s="27"/>
      <c r="N1505" s="19"/>
      <c r="O1505" s="21"/>
      <c r="Q1505" s="7">
        <f>Table2[[#This Row],[Elevation
PILE TOP]]-Table2[[#This Row],[LENGTH(m.)
(Actual)]]</f>
        <v>0</v>
      </c>
      <c r="R1505" s="2"/>
      <c r="S1505" s="7">
        <f>Table2[[#This Row],[N]]+Table2[[#This Row],[Pile 
Deviation 
N (m)]]</f>
        <v>1511709.851</v>
      </c>
      <c r="T1505" s="7">
        <f>Table2[[#This Row],[E]]+Table2[[#This Row],[Pile 
Deviation 
E (m)]]</f>
        <v>694025.54399999999</v>
      </c>
      <c r="W1505" s="7">
        <v>0.24</v>
      </c>
      <c r="X1505" s="2" t="s">
        <v>51</v>
      </c>
    </row>
    <row r="1506" spans="1:24" hidden="1" x14ac:dyDescent="0.65">
      <c r="A1506">
        <v>1500</v>
      </c>
      <c r="B1506" t="s">
        <v>29</v>
      </c>
      <c r="C1506" s="6">
        <v>1511709.817</v>
      </c>
      <c r="D1506" s="6">
        <v>694007.69799999997</v>
      </c>
      <c r="E1506" s="2" t="s">
        <v>35</v>
      </c>
      <c r="F1506" s="1">
        <v>24</v>
      </c>
      <c r="G1506" s="2" t="s">
        <v>50</v>
      </c>
      <c r="J1506"/>
      <c r="K1506" s="19"/>
      <c r="L1506" s="21"/>
      <c r="M1506" s="27"/>
      <c r="N1506" s="19"/>
      <c r="O1506" s="21"/>
      <c r="Q1506" s="7">
        <f>Table2[[#This Row],[Elevation
PILE TOP]]-Table2[[#This Row],[LENGTH(m.)
(Actual)]]</f>
        <v>0</v>
      </c>
      <c r="R1506" s="2"/>
      <c r="S1506" s="7">
        <f>Table2[[#This Row],[N]]+Table2[[#This Row],[Pile 
Deviation 
N (m)]]</f>
        <v>1511709.817</v>
      </c>
      <c r="T1506" s="7">
        <f>Table2[[#This Row],[E]]+Table2[[#This Row],[Pile 
Deviation 
E (m)]]</f>
        <v>694007.69799999997</v>
      </c>
      <c r="W1506" s="7">
        <v>0.24</v>
      </c>
      <c r="X1506" s="2" t="s">
        <v>51</v>
      </c>
    </row>
    <row r="1507" spans="1:24" ht="13.95" hidden="1" customHeight="1" x14ac:dyDescent="0.65">
      <c r="A1507">
        <v>1501</v>
      </c>
      <c r="B1507" t="s">
        <v>29</v>
      </c>
      <c r="C1507" s="6">
        <v>1511709.7169999999</v>
      </c>
      <c r="D1507" s="6">
        <v>693954.15800000005</v>
      </c>
      <c r="E1507" s="2" t="s">
        <v>35</v>
      </c>
      <c r="F1507" s="1">
        <v>24</v>
      </c>
      <c r="G1507" s="2" t="s">
        <v>50</v>
      </c>
      <c r="J1507"/>
      <c r="K1507" s="19"/>
      <c r="L1507" s="21"/>
      <c r="M1507" s="27"/>
      <c r="N1507" s="19"/>
      <c r="O1507" s="21"/>
      <c r="Q1507" s="7">
        <f>Table2[[#This Row],[Elevation
PILE TOP]]-Table2[[#This Row],[LENGTH(m.)
(Actual)]]</f>
        <v>0</v>
      </c>
      <c r="R1507" s="2"/>
      <c r="S1507" s="7">
        <f>Table2[[#This Row],[N]]+Table2[[#This Row],[Pile 
Deviation 
N (m)]]</f>
        <v>1511709.7169999999</v>
      </c>
      <c r="T1507" s="7">
        <f>Table2[[#This Row],[E]]+Table2[[#This Row],[Pile 
Deviation 
E (m)]]</f>
        <v>693954.15800000005</v>
      </c>
      <c r="W1507" s="7">
        <v>0.24</v>
      </c>
      <c r="X1507" s="2" t="s">
        <v>51</v>
      </c>
    </row>
    <row r="1508" spans="1:24" hidden="1" x14ac:dyDescent="0.65">
      <c r="A1508">
        <v>1502</v>
      </c>
      <c r="B1508" t="s">
        <v>29</v>
      </c>
      <c r="C1508" s="6">
        <v>1511709.6839999999</v>
      </c>
      <c r="D1508" s="6">
        <v>693936.31200000003</v>
      </c>
      <c r="E1508" s="2" t="s">
        <v>35</v>
      </c>
      <c r="F1508" s="1">
        <v>24</v>
      </c>
      <c r="G1508" s="2" t="s">
        <v>50</v>
      </c>
      <c r="J1508"/>
      <c r="K1508" s="19"/>
      <c r="L1508" s="21"/>
      <c r="M1508" s="27"/>
      <c r="N1508" s="19"/>
      <c r="O1508" s="21"/>
      <c r="Q1508" s="7">
        <f>Table2[[#This Row],[Elevation
PILE TOP]]-Table2[[#This Row],[LENGTH(m.)
(Actual)]]</f>
        <v>0</v>
      </c>
      <c r="R1508" s="2"/>
      <c r="S1508" s="7">
        <f>Table2[[#This Row],[N]]+Table2[[#This Row],[Pile 
Deviation 
N (m)]]</f>
        <v>1511709.6839999999</v>
      </c>
      <c r="T1508" s="7">
        <f>Table2[[#This Row],[E]]+Table2[[#This Row],[Pile 
Deviation 
E (m)]]</f>
        <v>693936.31200000003</v>
      </c>
      <c r="W1508" s="7">
        <v>0.24</v>
      </c>
      <c r="X1508" s="2" t="s">
        <v>51</v>
      </c>
    </row>
    <row r="1509" spans="1:24" ht="13.95" hidden="1" customHeight="1" x14ac:dyDescent="0.65">
      <c r="A1509">
        <v>1503</v>
      </c>
      <c r="B1509" t="s">
        <v>29</v>
      </c>
      <c r="C1509" s="6">
        <v>1511709.61</v>
      </c>
      <c r="D1509" s="6">
        <v>693904.17599999998</v>
      </c>
      <c r="E1509" s="2" t="s">
        <v>35</v>
      </c>
      <c r="F1509" s="1">
        <v>24</v>
      </c>
      <c r="G1509" s="2" t="s">
        <v>50</v>
      </c>
      <c r="J1509"/>
      <c r="K1509" s="19"/>
      <c r="L1509" s="21"/>
      <c r="M1509" s="27"/>
      <c r="N1509" s="19"/>
      <c r="O1509" s="21"/>
      <c r="Q1509" s="7">
        <f>Table2[[#This Row],[Elevation
PILE TOP]]-Table2[[#This Row],[LENGTH(m.)
(Actual)]]</f>
        <v>0</v>
      </c>
      <c r="R1509" s="2"/>
      <c r="S1509" s="7">
        <f>Table2[[#This Row],[N]]+Table2[[#This Row],[Pile 
Deviation 
N (m)]]</f>
        <v>1511709.61</v>
      </c>
      <c r="T1509" s="7">
        <f>Table2[[#This Row],[E]]+Table2[[#This Row],[Pile 
Deviation 
E (m)]]</f>
        <v>693904.17599999998</v>
      </c>
      <c r="W1509" s="7">
        <v>0.24</v>
      </c>
      <c r="X1509" s="2" t="s">
        <v>51</v>
      </c>
    </row>
    <row r="1510" spans="1:24" hidden="1" x14ac:dyDescent="0.65">
      <c r="A1510">
        <v>1504</v>
      </c>
      <c r="B1510" t="s">
        <v>29</v>
      </c>
      <c r="C1510" s="6">
        <v>1511709.4569999999</v>
      </c>
      <c r="D1510" s="6">
        <v>694066.48600000003</v>
      </c>
      <c r="E1510" s="2" t="s">
        <v>35</v>
      </c>
      <c r="F1510" s="1">
        <v>24</v>
      </c>
      <c r="G1510" s="2" t="s">
        <v>50</v>
      </c>
      <c r="J1510"/>
      <c r="K1510" s="19"/>
      <c r="L1510" s="21"/>
      <c r="M1510" s="27"/>
      <c r="N1510" s="19"/>
      <c r="O1510" s="21"/>
      <c r="Q1510" s="7">
        <f>Table2[[#This Row],[Elevation
PILE TOP]]-Table2[[#This Row],[LENGTH(m.)
(Actual)]]</f>
        <v>0</v>
      </c>
      <c r="R1510" s="2"/>
      <c r="S1510" s="7">
        <f>Table2[[#This Row],[N]]+Table2[[#This Row],[Pile 
Deviation 
N (m)]]</f>
        <v>1511709.4569999999</v>
      </c>
      <c r="T1510" s="7">
        <f>Table2[[#This Row],[E]]+Table2[[#This Row],[Pile 
Deviation 
E (m)]]</f>
        <v>694066.48600000003</v>
      </c>
      <c r="W1510" s="7">
        <v>0.24</v>
      </c>
      <c r="X1510" s="2" t="s">
        <v>51</v>
      </c>
    </row>
    <row r="1511" spans="1:24" ht="13.95" hidden="1" customHeight="1" x14ac:dyDescent="0.65">
      <c r="A1511">
        <v>1505</v>
      </c>
      <c r="B1511" t="s">
        <v>29</v>
      </c>
      <c r="C1511" s="6">
        <v>1511709.4380000001</v>
      </c>
      <c r="D1511" s="6">
        <v>693918.60600000003</v>
      </c>
      <c r="E1511" s="2" t="s">
        <v>35</v>
      </c>
      <c r="F1511" s="1">
        <v>24</v>
      </c>
      <c r="G1511" s="2" t="s">
        <v>50</v>
      </c>
      <c r="J1511"/>
      <c r="K1511" s="19"/>
      <c r="L1511" s="21"/>
      <c r="M1511" s="27"/>
      <c r="N1511" s="19"/>
      <c r="O1511" s="21"/>
      <c r="Q1511" s="7">
        <f>Table2[[#This Row],[Elevation
PILE TOP]]-Table2[[#This Row],[LENGTH(m.)
(Actual)]]</f>
        <v>0</v>
      </c>
      <c r="R1511" s="2"/>
      <c r="S1511" s="7">
        <f>Table2[[#This Row],[N]]+Table2[[#This Row],[Pile 
Deviation 
N (m)]]</f>
        <v>1511709.4380000001</v>
      </c>
      <c r="T1511" s="7">
        <f>Table2[[#This Row],[E]]+Table2[[#This Row],[Pile 
Deviation 
E (m)]]</f>
        <v>693918.60600000003</v>
      </c>
      <c r="W1511" s="7">
        <v>0.24</v>
      </c>
      <c r="X1511" s="2" t="s">
        <v>51</v>
      </c>
    </row>
    <row r="1512" spans="1:24" hidden="1" x14ac:dyDescent="0.65">
      <c r="A1512">
        <v>1506</v>
      </c>
      <c r="B1512" t="s">
        <v>29</v>
      </c>
      <c r="C1512" s="6">
        <v>1511709.3859999999</v>
      </c>
      <c r="D1512" s="6">
        <v>693932.58200000005</v>
      </c>
      <c r="E1512" s="2" t="s">
        <v>35</v>
      </c>
      <c r="F1512" s="1">
        <v>24</v>
      </c>
      <c r="G1512" s="2" t="s">
        <v>50</v>
      </c>
      <c r="J1512"/>
      <c r="K1512" s="19"/>
      <c r="L1512" s="21"/>
      <c r="M1512" s="27"/>
      <c r="N1512" s="19"/>
      <c r="O1512" s="21"/>
      <c r="Q1512" s="7">
        <f>Table2[[#This Row],[Elevation
PILE TOP]]-Table2[[#This Row],[LENGTH(m.)
(Actual)]]</f>
        <v>0</v>
      </c>
      <c r="R1512" s="2"/>
      <c r="S1512" s="7">
        <f>Table2[[#This Row],[N]]+Table2[[#This Row],[Pile 
Deviation 
N (m)]]</f>
        <v>1511709.3859999999</v>
      </c>
      <c r="T1512" s="7">
        <f>Table2[[#This Row],[E]]+Table2[[#This Row],[Pile 
Deviation 
E (m)]]</f>
        <v>693932.58200000005</v>
      </c>
      <c r="W1512" s="7">
        <v>0.24</v>
      </c>
      <c r="X1512" s="2" t="s">
        <v>51</v>
      </c>
    </row>
    <row r="1513" spans="1:24" ht="13.95" hidden="1" customHeight="1" x14ac:dyDescent="0.65">
      <c r="A1513">
        <v>1507</v>
      </c>
      <c r="B1513" t="s">
        <v>29</v>
      </c>
      <c r="C1513" s="6">
        <v>1511709.2930000001</v>
      </c>
      <c r="D1513" s="6">
        <v>693934.37899999996</v>
      </c>
      <c r="E1513" s="2" t="s">
        <v>35</v>
      </c>
      <c r="F1513" s="1">
        <v>24</v>
      </c>
      <c r="G1513" s="2" t="s">
        <v>50</v>
      </c>
      <c r="J1513"/>
      <c r="K1513" s="19"/>
      <c r="L1513" s="21"/>
      <c r="M1513" s="27"/>
      <c r="N1513" s="19"/>
      <c r="O1513" s="21"/>
      <c r="Q1513" s="7">
        <f>Table2[[#This Row],[Elevation
PILE TOP]]-Table2[[#This Row],[LENGTH(m.)
(Actual)]]</f>
        <v>0</v>
      </c>
      <c r="R1513" s="2"/>
      <c r="S1513" s="7">
        <f>Table2[[#This Row],[N]]+Table2[[#This Row],[Pile 
Deviation 
N (m)]]</f>
        <v>1511709.2930000001</v>
      </c>
      <c r="T1513" s="7">
        <f>Table2[[#This Row],[E]]+Table2[[#This Row],[Pile 
Deviation 
E (m)]]</f>
        <v>693934.37899999996</v>
      </c>
      <c r="W1513" s="7">
        <v>0.24</v>
      </c>
      <c r="X1513" s="2" t="s">
        <v>51</v>
      </c>
    </row>
    <row r="1514" spans="1:24" hidden="1" x14ac:dyDescent="0.65">
      <c r="A1514">
        <v>1508</v>
      </c>
      <c r="B1514" t="s">
        <v>29</v>
      </c>
      <c r="C1514" s="6">
        <v>1511709.2250000001</v>
      </c>
      <c r="D1514" s="6">
        <v>694057.80700000003</v>
      </c>
      <c r="E1514" s="2" t="s">
        <v>35</v>
      </c>
      <c r="F1514" s="1">
        <v>24</v>
      </c>
      <c r="G1514" s="2" t="s">
        <v>50</v>
      </c>
      <c r="J1514"/>
      <c r="K1514" s="19"/>
      <c r="L1514" s="21"/>
      <c r="M1514" s="27"/>
      <c r="N1514" s="19"/>
      <c r="O1514" s="21"/>
      <c r="Q1514" s="7">
        <f>Table2[[#This Row],[Elevation
PILE TOP]]-Table2[[#This Row],[LENGTH(m.)
(Actual)]]</f>
        <v>0</v>
      </c>
      <c r="R1514" s="2"/>
      <c r="S1514" s="7">
        <f>Table2[[#This Row],[N]]+Table2[[#This Row],[Pile 
Deviation 
N (m)]]</f>
        <v>1511709.2250000001</v>
      </c>
      <c r="T1514" s="7">
        <f>Table2[[#This Row],[E]]+Table2[[#This Row],[Pile 
Deviation 
E (m)]]</f>
        <v>694057.80700000003</v>
      </c>
      <c r="W1514" s="7">
        <v>0.24</v>
      </c>
      <c r="X1514" s="2" t="s">
        <v>51</v>
      </c>
    </row>
    <row r="1515" spans="1:24" ht="13.95" hidden="1" customHeight="1" x14ac:dyDescent="0.65">
      <c r="A1515">
        <v>1509</v>
      </c>
      <c r="B1515" t="s">
        <v>29</v>
      </c>
      <c r="C1515" s="6">
        <v>1511709.1910000001</v>
      </c>
      <c r="D1515" s="6">
        <v>694039.96</v>
      </c>
      <c r="E1515" s="2" t="s">
        <v>35</v>
      </c>
      <c r="F1515" s="1">
        <v>24</v>
      </c>
      <c r="G1515" s="2" t="s">
        <v>50</v>
      </c>
      <c r="J1515"/>
      <c r="K1515" s="19"/>
      <c r="L1515" s="21"/>
      <c r="M1515" s="27"/>
      <c r="N1515" s="19"/>
      <c r="O1515" s="21"/>
      <c r="Q1515" s="7">
        <f>Table2[[#This Row],[Elevation
PILE TOP]]-Table2[[#This Row],[LENGTH(m.)
(Actual)]]</f>
        <v>0</v>
      </c>
      <c r="R1515" s="2"/>
      <c r="S1515" s="7">
        <f>Table2[[#This Row],[N]]+Table2[[#This Row],[Pile 
Deviation 
N (m)]]</f>
        <v>1511709.1910000001</v>
      </c>
      <c r="T1515" s="7">
        <f>Table2[[#This Row],[E]]+Table2[[#This Row],[Pile 
Deviation 
E (m)]]</f>
        <v>694039.96</v>
      </c>
      <c r="W1515" s="7">
        <v>0.24</v>
      </c>
      <c r="X1515" s="2" t="s">
        <v>51</v>
      </c>
    </row>
    <row r="1516" spans="1:24" hidden="1" x14ac:dyDescent="0.65">
      <c r="A1516">
        <v>1510</v>
      </c>
      <c r="B1516" t="s">
        <v>29</v>
      </c>
      <c r="C1516" s="6">
        <v>1511709.1580000001</v>
      </c>
      <c r="D1516" s="6">
        <v>694022.11399999994</v>
      </c>
      <c r="E1516" s="2" t="s">
        <v>35</v>
      </c>
      <c r="F1516" s="1">
        <v>24</v>
      </c>
      <c r="G1516" s="2" t="s">
        <v>50</v>
      </c>
      <c r="J1516"/>
      <c r="K1516" s="19"/>
      <c r="L1516" s="21"/>
      <c r="M1516" s="27"/>
      <c r="N1516" s="19"/>
      <c r="O1516" s="21"/>
      <c r="Q1516" s="7">
        <f>Table2[[#This Row],[Elevation
PILE TOP]]-Table2[[#This Row],[LENGTH(m.)
(Actual)]]</f>
        <v>0</v>
      </c>
      <c r="R1516" s="2"/>
      <c r="S1516" s="7">
        <f>Table2[[#This Row],[N]]+Table2[[#This Row],[Pile 
Deviation 
N (m)]]</f>
        <v>1511709.1580000001</v>
      </c>
      <c r="T1516" s="7">
        <f>Table2[[#This Row],[E]]+Table2[[#This Row],[Pile 
Deviation 
E (m)]]</f>
        <v>694022.11399999994</v>
      </c>
      <c r="W1516" s="7">
        <v>0.24</v>
      </c>
      <c r="X1516" s="2" t="s">
        <v>51</v>
      </c>
    </row>
    <row r="1517" spans="1:24" ht="13.95" hidden="1" customHeight="1" x14ac:dyDescent="0.65">
      <c r="A1517">
        <v>1511</v>
      </c>
      <c r="B1517" t="s">
        <v>29</v>
      </c>
      <c r="C1517" s="6">
        <v>1511709.1240000001</v>
      </c>
      <c r="D1517" s="6">
        <v>694004.26699999999</v>
      </c>
      <c r="E1517" s="2" t="s">
        <v>35</v>
      </c>
      <c r="F1517" s="1">
        <v>24</v>
      </c>
      <c r="G1517" s="2" t="s">
        <v>50</v>
      </c>
      <c r="J1517"/>
      <c r="K1517" s="19"/>
      <c r="L1517" s="21"/>
      <c r="M1517" s="27"/>
      <c r="N1517" s="19"/>
      <c r="O1517" s="21"/>
      <c r="Q1517" s="7">
        <f>Table2[[#This Row],[Elevation
PILE TOP]]-Table2[[#This Row],[LENGTH(m.)
(Actual)]]</f>
        <v>0</v>
      </c>
      <c r="R1517" s="2"/>
      <c r="S1517" s="7">
        <f>Table2[[#This Row],[N]]+Table2[[#This Row],[Pile 
Deviation 
N (m)]]</f>
        <v>1511709.1240000001</v>
      </c>
      <c r="T1517" s="7">
        <f>Table2[[#This Row],[E]]+Table2[[#This Row],[Pile 
Deviation 
E (m)]]</f>
        <v>694004.26699999999</v>
      </c>
      <c r="W1517" s="7">
        <v>0.24</v>
      </c>
      <c r="X1517" s="2" t="s">
        <v>51</v>
      </c>
    </row>
    <row r="1518" spans="1:24" hidden="1" x14ac:dyDescent="0.65">
      <c r="A1518">
        <v>1512</v>
      </c>
      <c r="B1518" t="s">
        <v>29</v>
      </c>
      <c r="C1518" s="6">
        <v>1511709.024</v>
      </c>
      <c r="D1518" s="6">
        <v>693950.728</v>
      </c>
      <c r="E1518" s="2" t="s">
        <v>35</v>
      </c>
      <c r="F1518" s="1">
        <v>24</v>
      </c>
      <c r="G1518" s="2" t="s">
        <v>50</v>
      </c>
      <c r="J1518"/>
      <c r="K1518" s="19"/>
      <c r="L1518" s="21"/>
      <c r="M1518" s="27"/>
      <c r="N1518" s="19"/>
      <c r="O1518" s="21"/>
      <c r="Q1518" s="7">
        <f>Table2[[#This Row],[Elevation
PILE TOP]]-Table2[[#This Row],[LENGTH(m.)
(Actual)]]</f>
        <v>0</v>
      </c>
      <c r="R1518" s="2"/>
      <c r="S1518" s="7">
        <f>Table2[[#This Row],[N]]+Table2[[#This Row],[Pile 
Deviation 
N (m)]]</f>
        <v>1511709.024</v>
      </c>
      <c r="T1518" s="7">
        <f>Table2[[#This Row],[E]]+Table2[[#This Row],[Pile 
Deviation 
E (m)]]</f>
        <v>693950.728</v>
      </c>
      <c r="W1518" s="7">
        <v>0.24</v>
      </c>
      <c r="X1518" s="2" t="s">
        <v>51</v>
      </c>
    </row>
    <row r="1519" spans="1:24" ht="13.95" hidden="1" customHeight="1" x14ac:dyDescent="0.65">
      <c r="A1519">
        <v>1513</v>
      </c>
      <c r="B1519" t="s">
        <v>29</v>
      </c>
      <c r="C1519" s="6">
        <v>1511708.8130000001</v>
      </c>
      <c r="D1519" s="6">
        <v>694077.53599999996</v>
      </c>
      <c r="E1519" s="2" t="s">
        <v>35</v>
      </c>
      <c r="F1519" s="1">
        <v>24</v>
      </c>
      <c r="G1519" s="2" t="s">
        <v>50</v>
      </c>
      <c r="J1519"/>
      <c r="K1519" s="19"/>
      <c r="L1519" s="21"/>
      <c r="M1519" s="27"/>
      <c r="N1519" s="19"/>
      <c r="O1519" s="21"/>
      <c r="Q1519" s="7">
        <f>Table2[[#This Row],[Elevation
PILE TOP]]-Table2[[#This Row],[LENGTH(m.)
(Actual)]]</f>
        <v>0</v>
      </c>
      <c r="R1519" s="2"/>
      <c r="S1519" s="7">
        <f>Table2[[#This Row],[N]]+Table2[[#This Row],[Pile 
Deviation 
N (m)]]</f>
        <v>1511708.8130000001</v>
      </c>
      <c r="T1519" s="7">
        <f>Table2[[#This Row],[E]]+Table2[[#This Row],[Pile 
Deviation 
E (m)]]</f>
        <v>694077.53599999996</v>
      </c>
      <c r="W1519" s="7">
        <v>0.24</v>
      </c>
      <c r="X1519" s="2" t="s">
        <v>51</v>
      </c>
    </row>
    <row r="1520" spans="1:24" hidden="1" x14ac:dyDescent="0.65">
      <c r="A1520">
        <v>1514</v>
      </c>
      <c r="B1520" t="s">
        <v>29</v>
      </c>
      <c r="C1520" s="6">
        <v>1511708.8019999999</v>
      </c>
      <c r="D1520" s="6">
        <v>694058.68799999997</v>
      </c>
      <c r="E1520" s="2" t="s">
        <v>35</v>
      </c>
      <c r="F1520" s="1">
        <v>24</v>
      </c>
      <c r="G1520" s="2" t="s">
        <v>50</v>
      </c>
      <c r="J1520"/>
      <c r="K1520" s="19"/>
      <c r="L1520" s="21"/>
      <c r="M1520" s="27"/>
      <c r="N1520" s="19"/>
      <c r="O1520" s="21"/>
      <c r="Q1520" s="7">
        <f>Table2[[#This Row],[Elevation
PILE TOP]]-Table2[[#This Row],[LENGTH(m.)
(Actual)]]</f>
        <v>0</v>
      </c>
      <c r="R1520" s="2"/>
      <c r="S1520" s="7">
        <f>Table2[[#This Row],[N]]+Table2[[#This Row],[Pile 
Deviation 
N (m)]]</f>
        <v>1511708.8019999999</v>
      </c>
      <c r="T1520" s="7">
        <f>Table2[[#This Row],[E]]+Table2[[#This Row],[Pile 
Deviation 
E (m)]]</f>
        <v>694058.68799999997</v>
      </c>
      <c r="W1520" s="7">
        <v>0.24</v>
      </c>
      <c r="X1520" s="2" t="s">
        <v>51</v>
      </c>
    </row>
    <row r="1521" spans="1:28" ht="13.95" hidden="1" customHeight="1" x14ac:dyDescent="0.65">
      <c r="A1521">
        <v>1515</v>
      </c>
      <c r="B1521" t="s">
        <v>29</v>
      </c>
      <c r="C1521" s="6">
        <v>1511708.7209999999</v>
      </c>
      <c r="D1521" s="6">
        <v>693907.56099999999</v>
      </c>
      <c r="E1521" s="2" t="s">
        <v>35</v>
      </c>
      <c r="F1521" s="1">
        <v>24</v>
      </c>
      <c r="G1521" s="2" t="s">
        <v>50</v>
      </c>
      <c r="J1521"/>
      <c r="K1521" s="19"/>
      <c r="L1521" s="21"/>
      <c r="M1521" s="27"/>
      <c r="N1521" s="19"/>
      <c r="O1521" s="21"/>
      <c r="Q1521" s="7">
        <f>Table2[[#This Row],[Elevation
PILE TOP]]-Table2[[#This Row],[LENGTH(m.)
(Actual)]]</f>
        <v>0</v>
      </c>
      <c r="R1521" s="2"/>
      <c r="S1521" s="7">
        <f>Table2[[#This Row],[N]]+Table2[[#This Row],[Pile 
Deviation 
N (m)]]</f>
        <v>1511708.7209999999</v>
      </c>
      <c r="T1521" s="7">
        <f>Table2[[#This Row],[E]]+Table2[[#This Row],[Pile 
Deviation 
E (m)]]</f>
        <v>693907.56099999999</v>
      </c>
      <c r="W1521" s="7">
        <v>0.24</v>
      </c>
      <c r="X1521" s="2" t="s">
        <v>51</v>
      </c>
    </row>
    <row r="1522" spans="1:28" hidden="1" x14ac:dyDescent="0.65">
      <c r="A1522">
        <v>1516</v>
      </c>
      <c r="B1522" t="s">
        <v>29</v>
      </c>
      <c r="C1522" s="6">
        <v>1511708.5490000001</v>
      </c>
      <c r="D1522" s="6">
        <v>693921.99100000004</v>
      </c>
      <c r="E1522" s="2" t="s">
        <v>35</v>
      </c>
      <c r="F1522" s="1">
        <v>24</v>
      </c>
      <c r="G1522" s="2" t="s">
        <v>50</v>
      </c>
      <c r="J1522"/>
      <c r="K1522" s="19"/>
      <c r="L1522" s="21"/>
      <c r="M1522" s="27"/>
      <c r="N1522" s="19"/>
      <c r="O1522" s="21"/>
      <c r="Q1522" s="7">
        <f>Table2[[#This Row],[Elevation
PILE TOP]]-Table2[[#This Row],[LENGTH(m.)
(Actual)]]</f>
        <v>0</v>
      </c>
      <c r="R1522" s="2"/>
      <c r="S1522" s="7">
        <f>Table2[[#This Row],[N]]+Table2[[#This Row],[Pile 
Deviation 
N (m)]]</f>
        <v>1511708.5490000001</v>
      </c>
      <c r="T1522" s="7">
        <f>Table2[[#This Row],[E]]+Table2[[#This Row],[Pile 
Deviation 
E (m)]]</f>
        <v>693921.99100000004</v>
      </c>
      <c r="W1522" s="7">
        <v>0.24</v>
      </c>
      <c r="X1522" s="2" t="s">
        <v>51</v>
      </c>
    </row>
    <row r="1523" spans="1:28" ht="13.95" hidden="1" customHeight="1" x14ac:dyDescent="0.65">
      <c r="A1523">
        <v>1517</v>
      </c>
      <c r="B1523" t="s">
        <v>29</v>
      </c>
      <c r="C1523" s="6">
        <v>1511708.5319999999</v>
      </c>
      <c r="D1523" s="6">
        <v>694054.37600000005</v>
      </c>
      <c r="E1523" s="2" t="s">
        <v>35</v>
      </c>
      <c r="F1523" s="1">
        <v>24</v>
      </c>
      <c r="G1523" s="2" t="s">
        <v>50</v>
      </c>
      <c r="J1523"/>
      <c r="K1523" s="19"/>
      <c r="L1523" s="21"/>
      <c r="M1523" s="27"/>
      <c r="N1523" s="19"/>
      <c r="O1523" s="21"/>
      <c r="Q1523" s="7">
        <f>Table2[[#This Row],[Elevation
PILE TOP]]-Table2[[#This Row],[LENGTH(m.)
(Actual)]]</f>
        <v>0</v>
      </c>
      <c r="R1523" s="2"/>
      <c r="S1523" s="7">
        <f>Table2[[#This Row],[N]]+Table2[[#This Row],[Pile 
Deviation 
N (m)]]</f>
        <v>1511708.5319999999</v>
      </c>
      <c r="T1523" s="7">
        <f>Table2[[#This Row],[E]]+Table2[[#This Row],[Pile 
Deviation 
E (m)]]</f>
        <v>694054.37600000005</v>
      </c>
      <c r="W1523" s="7">
        <v>0.24</v>
      </c>
      <c r="X1523" s="2" t="s">
        <v>51</v>
      </c>
    </row>
    <row r="1524" spans="1:28" hidden="1" x14ac:dyDescent="0.65">
      <c r="A1524">
        <v>1518</v>
      </c>
      <c r="B1524" t="s">
        <v>29</v>
      </c>
      <c r="C1524" s="6">
        <v>1511708.4979999999</v>
      </c>
      <c r="D1524" s="6">
        <v>694036.52899999998</v>
      </c>
      <c r="E1524" s="2" t="s">
        <v>35</v>
      </c>
      <c r="F1524" s="1">
        <v>24</v>
      </c>
      <c r="G1524" s="2" t="s">
        <v>50</v>
      </c>
      <c r="J1524"/>
      <c r="K1524" s="19"/>
      <c r="L1524" s="21"/>
      <c r="M1524" s="27"/>
      <c r="N1524" s="19"/>
      <c r="O1524" s="21"/>
      <c r="Q1524" s="7">
        <f>Table2[[#This Row],[Elevation
PILE TOP]]-Table2[[#This Row],[LENGTH(m.)
(Actual)]]</f>
        <v>0</v>
      </c>
      <c r="R1524" s="2"/>
      <c r="S1524" s="7">
        <f>Table2[[#This Row],[N]]+Table2[[#This Row],[Pile 
Deviation 
N (m)]]</f>
        <v>1511708.4979999999</v>
      </c>
      <c r="T1524" s="7">
        <f>Table2[[#This Row],[E]]+Table2[[#This Row],[Pile 
Deviation 
E (m)]]</f>
        <v>694036.52899999998</v>
      </c>
      <c r="W1524" s="7">
        <v>0.24</v>
      </c>
      <c r="X1524" s="2" t="s">
        <v>51</v>
      </c>
    </row>
    <row r="1525" spans="1:28" ht="13.95" hidden="1" customHeight="1" x14ac:dyDescent="0.65">
      <c r="A1525">
        <v>1519</v>
      </c>
      <c r="B1525" t="s">
        <v>29</v>
      </c>
      <c r="C1525" s="6">
        <v>1511708.4650000001</v>
      </c>
      <c r="D1525" s="6">
        <v>694018.68299999996</v>
      </c>
      <c r="E1525" s="2" t="s">
        <v>35</v>
      </c>
      <c r="F1525" s="1">
        <v>24</v>
      </c>
      <c r="G1525" s="2" t="s">
        <v>50</v>
      </c>
      <c r="J1525"/>
      <c r="K1525" s="19"/>
      <c r="L1525" s="21"/>
      <c r="M1525" s="27"/>
      <c r="N1525" s="19"/>
      <c r="O1525" s="21"/>
      <c r="Q1525" s="7">
        <f>Table2[[#This Row],[Elevation
PILE TOP]]-Table2[[#This Row],[LENGTH(m.)
(Actual)]]</f>
        <v>0</v>
      </c>
      <c r="R1525" s="2"/>
      <c r="S1525" s="7">
        <f>Table2[[#This Row],[N]]+Table2[[#This Row],[Pile 
Deviation 
N (m)]]</f>
        <v>1511708.4650000001</v>
      </c>
      <c r="T1525" s="7">
        <f>Table2[[#This Row],[E]]+Table2[[#This Row],[Pile 
Deviation 
E (m)]]</f>
        <v>694018.68299999996</v>
      </c>
      <c r="W1525" s="7">
        <v>0.24</v>
      </c>
      <c r="X1525" s="2" t="s">
        <v>51</v>
      </c>
    </row>
    <row r="1526" spans="1:28" hidden="1" x14ac:dyDescent="0.65">
      <c r="A1526">
        <v>1520</v>
      </c>
      <c r="B1526" t="s">
        <v>29</v>
      </c>
      <c r="C1526" s="6">
        <v>1511708.432</v>
      </c>
      <c r="D1526" s="6">
        <v>694000.83600000001</v>
      </c>
      <c r="E1526" s="2" t="s">
        <v>35</v>
      </c>
      <c r="F1526" s="1">
        <v>24</v>
      </c>
      <c r="G1526" s="2" t="s">
        <v>50</v>
      </c>
      <c r="J1526"/>
      <c r="K1526" s="19"/>
      <c r="L1526" s="21"/>
      <c r="M1526" s="27"/>
      <c r="N1526" s="19"/>
      <c r="O1526" s="21"/>
      <c r="Q1526" s="7">
        <f>Table2[[#This Row],[Elevation
PILE TOP]]-Table2[[#This Row],[LENGTH(m.)
(Actual)]]</f>
        <v>0</v>
      </c>
      <c r="R1526" s="2"/>
      <c r="S1526" s="7">
        <f>Table2[[#This Row],[N]]+Table2[[#This Row],[Pile 
Deviation 
N (m)]]</f>
        <v>1511708.432</v>
      </c>
      <c r="T1526" s="7">
        <f>Table2[[#This Row],[E]]+Table2[[#This Row],[Pile 
Deviation 
E (m)]]</f>
        <v>694000.83600000001</v>
      </c>
      <c r="W1526" s="7">
        <v>0.24</v>
      </c>
      <c r="X1526" s="2" t="s">
        <v>51</v>
      </c>
    </row>
    <row r="1527" spans="1:28" ht="13.95" hidden="1" customHeight="1" x14ac:dyDescent="0.65">
      <c r="A1527">
        <v>1521</v>
      </c>
      <c r="B1527" t="s">
        <v>29</v>
      </c>
      <c r="C1527" s="6">
        <v>1511708.365</v>
      </c>
      <c r="D1527" s="6">
        <v>693965.14300000004</v>
      </c>
      <c r="E1527" s="2" t="s">
        <v>35</v>
      </c>
      <c r="F1527" s="1">
        <v>24</v>
      </c>
      <c r="G1527" s="2" t="s">
        <v>50</v>
      </c>
      <c r="J1527"/>
      <c r="K1527" s="19"/>
      <c r="L1527" s="21"/>
      <c r="M1527" s="27"/>
      <c r="N1527" s="19"/>
      <c r="O1527" s="21"/>
      <c r="Q1527" s="7">
        <f>Table2[[#This Row],[Elevation
PILE TOP]]-Table2[[#This Row],[LENGTH(m.)
(Actual)]]</f>
        <v>0</v>
      </c>
      <c r="R1527" s="2"/>
      <c r="S1527" s="7">
        <f>Table2[[#This Row],[N]]+Table2[[#This Row],[Pile 
Deviation 
N (m)]]</f>
        <v>1511708.365</v>
      </c>
      <c r="T1527" s="7">
        <f>Table2[[#This Row],[E]]+Table2[[#This Row],[Pile 
Deviation 
E (m)]]</f>
        <v>693965.14300000004</v>
      </c>
      <c r="W1527" s="7">
        <v>0.24</v>
      </c>
      <c r="X1527" s="2" t="s">
        <v>51</v>
      </c>
    </row>
    <row r="1528" spans="1:28" hidden="1" x14ac:dyDescent="0.65">
      <c r="A1528">
        <v>1522</v>
      </c>
      <c r="B1528" t="s">
        <v>29</v>
      </c>
      <c r="C1528" s="6">
        <v>1511708.331</v>
      </c>
      <c r="D1528" s="6">
        <v>693947.29700000002</v>
      </c>
      <c r="E1528" s="2" t="s">
        <v>35</v>
      </c>
      <c r="F1528" s="1">
        <v>24</v>
      </c>
      <c r="G1528" s="2" t="s">
        <v>50</v>
      </c>
      <c r="J1528"/>
      <c r="K1528" s="19"/>
      <c r="L1528" s="21"/>
      <c r="M1528" s="27"/>
      <c r="N1528" s="19"/>
      <c r="O1528" s="21"/>
      <c r="Q1528" s="7">
        <f>Table2[[#This Row],[Elevation
PILE TOP]]-Table2[[#This Row],[LENGTH(m.)
(Actual)]]</f>
        <v>0</v>
      </c>
      <c r="R1528" s="2"/>
      <c r="S1528" s="7">
        <f>Table2[[#This Row],[N]]+Table2[[#This Row],[Pile 
Deviation 
N (m)]]</f>
        <v>1511708.331</v>
      </c>
      <c r="T1528" s="7">
        <f>Table2[[#This Row],[E]]+Table2[[#This Row],[Pile 
Deviation 
E (m)]]</f>
        <v>693947.29700000002</v>
      </c>
      <c r="W1528" s="7">
        <v>0.24</v>
      </c>
      <c r="X1528" s="2" t="s">
        <v>51</v>
      </c>
    </row>
    <row r="1529" spans="1:28" ht="13.95" hidden="1" customHeight="1" x14ac:dyDescent="0.65">
      <c r="A1529">
        <v>1523</v>
      </c>
      <c r="B1529" t="s">
        <v>29</v>
      </c>
      <c r="C1529" s="6">
        <v>1511708.1580000001</v>
      </c>
      <c r="D1529" s="6">
        <v>694069.73699999996</v>
      </c>
      <c r="E1529" s="2" t="s">
        <v>35</v>
      </c>
      <c r="F1529" s="1">
        <v>24</v>
      </c>
      <c r="G1529" s="2" t="s">
        <v>50</v>
      </c>
      <c r="J1529"/>
      <c r="K1529" s="19"/>
      <c r="L1529" s="21"/>
      <c r="M1529" s="27"/>
      <c r="N1529" s="19"/>
      <c r="O1529" s="21"/>
      <c r="Q1529" s="7">
        <f>Table2[[#This Row],[Elevation
PILE TOP]]-Table2[[#This Row],[LENGTH(m.)
(Actual)]]</f>
        <v>0</v>
      </c>
      <c r="R1529" s="2"/>
      <c r="S1529" s="7">
        <f>Table2[[#This Row],[N]]+Table2[[#This Row],[Pile 
Deviation 
N (m)]]</f>
        <v>1511708.1580000001</v>
      </c>
      <c r="T1529" s="7">
        <f>Table2[[#This Row],[E]]+Table2[[#This Row],[Pile 
Deviation 
E (m)]]</f>
        <v>694069.73699999996</v>
      </c>
      <c r="W1529" s="7">
        <v>0.24</v>
      </c>
      <c r="X1529" s="2" t="s">
        <v>51</v>
      </c>
    </row>
    <row r="1530" spans="1:28" hidden="1" x14ac:dyDescent="0.65">
      <c r="A1530">
        <v>1524</v>
      </c>
      <c r="B1530" t="s">
        <v>29</v>
      </c>
      <c r="C1530" s="6">
        <v>1511707.8389999999</v>
      </c>
      <c r="D1530" s="6">
        <v>694050.94499999995</v>
      </c>
      <c r="E1530" s="2" t="s">
        <v>35</v>
      </c>
      <c r="F1530" s="1">
        <v>24</v>
      </c>
      <c r="G1530" s="2" t="s">
        <v>50</v>
      </c>
      <c r="J1530"/>
      <c r="K1530" s="19"/>
      <c r="L1530" s="21"/>
      <c r="M1530" s="27"/>
      <c r="N1530" s="19"/>
      <c r="O1530" s="21"/>
      <c r="Q1530" s="7">
        <f>Table2[[#This Row],[Elevation
PILE TOP]]-Table2[[#This Row],[LENGTH(m.)
(Actual)]]</f>
        <v>0</v>
      </c>
      <c r="R1530" s="2"/>
      <c r="S1530" s="7">
        <f>Table2[[#This Row],[N]]+Table2[[#This Row],[Pile 
Deviation 
N (m)]]</f>
        <v>1511707.8389999999</v>
      </c>
      <c r="T1530" s="7">
        <f>Table2[[#This Row],[E]]+Table2[[#This Row],[Pile 
Deviation 
E (m)]]</f>
        <v>694050.94499999995</v>
      </c>
      <c r="W1530" s="7">
        <v>0.24</v>
      </c>
      <c r="X1530" s="2" t="s">
        <v>51</v>
      </c>
    </row>
    <row r="1531" spans="1:28" ht="13.95" hidden="1" customHeight="1" x14ac:dyDescent="0.65">
      <c r="A1531">
        <v>1525</v>
      </c>
      <c r="B1531" t="s">
        <v>29</v>
      </c>
      <c r="C1531" s="6">
        <v>1511707.831</v>
      </c>
      <c r="D1531" s="6">
        <v>693910.946</v>
      </c>
      <c r="E1531" s="2" t="s">
        <v>35</v>
      </c>
      <c r="F1531" s="1">
        <v>24</v>
      </c>
      <c r="G1531" s="2" t="s">
        <v>50</v>
      </c>
      <c r="J1531"/>
      <c r="K1531" s="19"/>
      <c r="L1531" s="21"/>
      <c r="M1531" s="27"/>
      <c r="N1531" s="19"/>
      <c r="O1531" s="21"/>
      <c r="Q1531" s="7">
        <f>Table2[[#This Row],[Elevation
PILE TOP]]-Table2[[#This Row],[LENGTH(m.)
(Actual)]]</f>
        <v>0</v>
      </c>
      <c r="R1531" s="2"/>
      <c r="S1531" s="7">
        <f>Table2[[#This Row],[N]]+Table2[[#This Row],[Pile 
Deviation 
N (m)]]</f>
        <v>1511707.831</v>
      </c>
      <c r="T1531" s="7">
        <f>Table2[[#This Row],[E]]+Table2[[#This Row],[Pile 
Deviation 
E (m)]]</f>
        <v>693910.946</v>
      </c>
      <c r="W1531" s="7">
        <v>0.24</v>
      </c>
      <c r="X1531" s="2" t="s">
        <v>51</v>
      </c>
    </row>
    <row r="1532" spans="1:28" hidden="1" x14ac:dyDescent="0.65">
      <c r="A1532">
        <v>1526</v>
      </c>
      <c r="B1532" t="s">
        <v>29</v>
      </c>
      <c r="C1532" s="6">
        <v>1511707.8060000001</v>
      </c>
      <c r="D1532" s="6">
        <v>694033.09900000005</v>
      </c>
      <c r="E1532" s="2" t="s">
        <v>35</v>
      </c>
      <c r="F1532" s="1">
        <v>24</v>
      </c>
      <c r="G1532" s="2" t="s">
        <v>50</v>
      </c>
      <c r="J1532"/>
      <c r="K1532" s="19"/>
      <c r="L1532" s="21"/>
      <c r="M1532" s="27"/>
      <c r="N1532" s="19"/>
      <c r="O1532" s="21"/>
      <c r="Q1532" s="7">
        <f>Table2[[#This Row],[Elevation
PILE TOP]]-Table2[[#This Row],[LENGTH(m.)
(Actual)]]</f>
        <v>0</v>
      </c>
      <c r="R1532" s="2"/>
      <c r="S1532" s="7">
        <f>Table2[[#This Row],[N]]+Table2[[#This Row],[Pile 
Deviation 
N (m)]]</f>
        <v>1511707.8060000001</v>
      </c>
      <c r="T1532" s="7">
        <f>Table2[[#This Row],[E]]+Table2[[#This Row],[Pile 
Deviation 
E (m)]]</f>
        <v>694033.09900000005</v>
      </c>
      <c r="W1532" s="7">
        <v>0.24</v>
      </c>
      <c r="X1532" s="2" t="s">
        <v>51</v>
      </c>
    </row>
    <row r="1533" spans="1:28" ht="13.95" customHeight="1" x14ac:dyDescent="0.65">
      <c r="A1533">
        <v>1527</v>
      </c>
      <c r="B1533" t="s">
        <v>29</v>
      </c>
      <c r="C1533" s="6">
        <v>1511707.7720000001</v>
      </c>
      <c r="D1533" s="6">
        <v>694015.25199999998</v>
      </c>
      <c r="E1533" s="2" t="s">
        <v>35</v>
      </c>
      <c r="F1533" s="1">
        <v>24</v>
      </c>
      <c r="G1533" s="2" t="s">
        <v>50</v>
      </c>
      <c r="J1533">
        <v>2</v>
      </c>
      <c r="K1533" s="19"/>
      <c r="L1533" s="21">
        <v>0.56180555555555556</v>
      </c>
      <c r="M1533" s="27" t="s">
        <v>32</v>
      </c>
      <c r="N1533" s="19"/>
      <c r="O1533" s="21">
        <v>0.5854166666666667</v>
      </c>
      <c r="Q1533" s="7">
        <f>Table2[[#This Row],[Elevation
PILE TOP]]-Table2[[#This Row],[LENGTH(m.)
(Actual)]]</f>
        <v>-26</v>
      </c>
      <c r="R1533" s="2">
        <v>26</v>
      </c>
      <c r="S1533" s="7">
        <f>Table2[[#This Row],[N]]+Table2[[#This Row],[Pile 
Deviation 
N (m)]]</f>
        <v>1511707.7720000001</v>
      </c>
      <c r="T1533" s="7">
        <f>Table2[[#This Row],[E]]+Table2[[#This Row],[Pile 
Deviation 
E (m)]]</f>
        <v>694015.25199999998</v>
      </c>
      <c r="W1533" s="7">
        <v>0.24</v>
      </c>
      <c r="X1533" s="2" t="s">
        <v>51</v>
      </c>
      <c r="Y1533" t="s">
        <v>34</v>
      </c>
      <c r="Z1533" s="9">
        <v>46183</v>
      </c>
      <c r="AA1533" s="9">
        <v>46183</v>
      </c>
      <c r="AB1533">
        <v>1</v>
      </c>
    </row>
    <row r="1534" spans="1:28" hidden="1" x14ac:dyDescent="0.65">
      <c r="A1534">
        <v>1528</v>
      </c>
      <c r="B1534" t="s">
        <v>29</v>
      </c>
      <c r="C1534" s="6">
        <v>1511707.7390000001</v>
      </c>
      <c r="D1534" s="6">
        <v>693997.40599999996</v>
      </c>
      <c r="E1534" s="2" t="s">
        <v>35</v>
      </c>
      <c r="F1534" s="1">
        <v>24</v>
      </c>
      <c r="G1534" s="2" t="s">
        <v>50</v>
      </c>
      <c r="J1534"/>
      <c r="K1534" s="19"/>
      <c r="L1534" s="21"/>
      <c r="M1534" s="27"/>
      <c r="N1534" s="19"/>
      <c r="O1534" s="21"/>
      <c r="Q1534" s="7">
        <f>Table2[[#This Row],[Elevation
PILE TOP]]-Table2[[#This Row],[LENGTH(m.)
(Actual)]]</f>
        <v>0</v>
      </c>
      <c r="R1534" s="2"/>
      <c r="S1534" s="7">
        <f>Table2[[#This Row],[N]]+Table2[[#This Row],[Pile 
Deviation 
N (m)]]</f>
        <v>1511707.7390000001</v>
      </c>
      <c r="T1534" s="7">
        <f>Table2[[#This Row],[E]]+Table2[[#This Row],[Pile 
Deviation 
E (m)]]</f>
        <v>693997.40599999996</v>
      </c>
      <c r="W1534" s="7">
        <v>0.24</v>
      </c>
      <c r="X1534" s="2" t="s">
        <v>51</v>
      </c>
    </row>
    <row r="1535" spans="1:28" ht="13.95" hidden="1" customHeight="1" x14ac:dyDescent="0.65">
      <c r="A1535">
        <v>1529</v>
      </c>
      <c r="B1535" t="s">
        <v>29</v>
      </c>
      <c r="C1535" s="6">
        <v>1511707.672</v>
      </c>
      <c r="D1535" s="6">
        <v>693961.71299999999</v>
      </c>
      <c r="E1535" s="2" t="s">
        <v>35</v>
      </c>
      <c r="F1535" s="1">
        <v>24</v>
      </c>
      <c r="G1535" s="2" t="s">
        <v>50</v>
      </c>
      <c r="J1535"/>
      <c r="K1535" s="19"/>
      <c r="L1535" s="21"/>
      <c r="M1535" s="27"/>
      <c r="N1535" s="19"/>
      <c r="O1535" s="21"/>
      <c r="Q1535" s="7">
        <f>Table2[[#This Row],[Elevation
PILE TOP]]-Table2[[#This Row],[LENGTH(m.)
(Actual)]]</f>
        <v>0</v>
      </c>
      <c r="R1535" s="2"/>
      <c r="S1535" s="7">
        <f>Table2[[#This Row],[N]]+Table2[[#This Row],[Pile 
Deviation 
N (m)]]</f>
        <v>1511707.672</v>
      </c>
      <c r="T1535" s="7">
        <f>Table2[[#This Row],[E]]+Table2[[#This Row],[Pile 
Deviation 
E (m)]]</f>
        <v>693961.71299999999</v>
      </c>
      <c r="W1535" s="7">
        <v>0.24</v>
      </c>
      <c r="X1535" s="2" t="s">
        <v>51</v>
      </c>
    </row>
    <row r="1536" spans="1:28" hidden="1" x14ac:dyDescent="0.65">
      <c r="A1536">
        <v>1530</v>
      </c>
      <c r="B1536" t="s">
        <v>29</v>
      </c>
      <c r="C1536" s="6">
        <v>1511707.638</v>
      </c>
      <c r="D1536" s="6">
        <v>693943.86600000004</v>
      </c>
      <c r="E1536" s="2" t="s">
        <v>35</v>
      </c>
      <c r="F1536" s="1">
        <v>24</v>
      </c>
      <c r="G1536" s="2" t="s">
        <v>50</v>
      </c>
      <c r="J1536"/>
      <c r="K1536" s="19"/>
      <c r="L1536" s="21"/>
      <c r="M1536" s="27"/>
      <c r="N1536" s="19"/>
      <c r="O1536" s="21"/>
      <c r="Q1536" s="7">
        <f>Table2[[#This Row],[Elevation
PILE TOP]]-Table2[[#This Row],[LENGTH(m.)
(Actual)]]</f>
        <v>0</v>
      </c>
      <c r="R1536" s="2"/>
      <c r="S1536" s="7">
        <f>Table2[[#This Row],[N]]+Table2[[#This Row],[Pile 
Deviation 
N (m)]]</f>
        <v>1511707.638</v>
      </c>
      <c r="T1536" s="7">
        <f>Table2[[#This Row],[E]]+Table2[[#This Row],[Pile 
Deviation 
E (m)]]</f>
        <v>693943.86600000004</v>
      </c>
      <c r="W1536" s="7">
        <v>0.24</v>
      </c>
      <c r="X1536" s="2" t="s">
        <v>51</v>
      </c>
    </row>
    <row r="1537" spans="1:24" ht="13.95" hidden="1" customHeight="1" x14ac:dyDescent="0.65">
      <c r="A1537">
        <v>1531</v>
      </c>
      <c r="B1537" t="s">
        <v>29</v>
      </c>
      <c r="C1537" s="6">
        <v>1511707.5149999999</v>
      </c>
      <c r="D1537" s="6">
        <v>694080.78599999996</v>
      </c>
      <c r="E1537" s="2" t="s">
        <v>35</v>
      </c>
      <c r="F1537" s="1">
        <v>24</v>
      </c>
      <c r="G1537" s="2" t="s">
        <v>50</v>
      </c>
      <c r="J1537"/>
      <c r="K1537" s="19"/>
      <c r="L1537" s="21"/>
      <c r="M1537" s="27"/>
      <c r="N1537" s="19"/>
      <c r="O1537" s="21"/>
      <c r="Q1537" s="7">
        <f>Table2[[#This Row],[Elevation
PILE TOP]]-Table2[[#This Row],[LENGTH(m.)
(Actual)]]</f>
        <v>0</v>
      </c>
      <c r="R1537" s="2"/>
      <c r="S1537" s="7">
        <f>Table2[[#This Row],[N]]+Table2[[#This Row],[Pile 
Deviation 
N (m)]]</f>
        <v>1511707.5149999999</v>
      </c>
      <c r="T1537" s="7">
        <f>Table2[[#This Row],[E]]+Table2[[#This Row],[Pile 
Deviation 
E (m)]]</f>
        <v>694080.78599999996</v>
      </c>
      <c r="W1537" s="7">
        <v>0.24</v>
      </c>
      <c r="X1537" s="2" t="s">
        <v>51</v>
      </c>
    </row>
    <row r="1538" spans="1:24" hidden="1" x14ac:dyDescent="0.65">
      <c r="A1538">
        <v>1532</v>
      </c>
      <c r="B1538" t="s">
        <v>29</v>
      </c>
      <c r="C1538" s="6">
        <v>1511707.504</v>
      </c>
      <c r="D1538" s="6">
        <v>694061.93799999997</v>
      </c>
      <c r="E1538" s="2" t="s">
        <v>35</v>
      </c>
      <c r="F1538" s="1">
        <v>24</v>
      </c>
      <c r="G1538" s="2" t="s">
        <v>50</v>
      </c>
      <c r="J1538"/>
      <c r="K1538" s="19"/>
      <c r="L1538" s="21"/>
      <c r="M1538" s="27"/>
      <c r="N1538" s="19"/>
      <c r="O1538" s="21"/>
      <c r="Q1538" s="7">
        <f>Table2[[#This Row],[Elevation
PILE TOP]]-Table2[[#This Row],[LENGTH(m.)
(Actual)]]</f>
        <v>0</v>
      </c>
      <c r="R1538" s="2"/>
      <c r="S1538" s="7">
        <f>Table2[[#This Row],[N]]+Table2[[#This Row],[Pile 
Deviation 
N (m)]]</f>
        <v>1511707.504</v>
      </c>
      <c r="T1538" s="7">
        <f>Table2[[#This Row],[E]]+Table2[[#This Row],[Pile 
Deviation 
E (m)]]</f>
        <v>694061.93799999997</v>
      </c>
      <c r="W1538" s="7">
        <v>0.24</v>
      </c>
      <c r="X1538" s="2" t="s">
        <v>51</v>
      </c>
    </row>
    <row r="1539" spans="1:24" ht="13.95" hidden="1" customHeight="1" x14ac:dyDescent="0.65">
      <c r="A1539">
        <v>1533</v>
      </c>
      <c r="B1539" t="s">
        <v>29</v>
      </c>
      <c r="C1539" s="6">
        <v>1511707.1459999999</v>
      </c>
      <c r="D1539" s="6">
        <v>694047.51500000001</v>
      </c>
      <c r="E1539" s="2" t="s">
        <v>35</v>
      </c>
      <c r="F1539" s="1">
        <v>24</v>
      </c>
      <c r="G1539" s="2" t="s">
        <v>50</v>
      </c>
      <c r="J1539"/>
      <c r="K1539" s="19"/>
      <c r="L1539" s="21"/>
      <c r="M1539" s="27"/>
      <c r="N1539" s="19"/>
      <c r="O1539" s="21"/>
      <c r="Q1539" s="7">
        <f>Table2[[#This Row],[Elevation
PILE TOP]]-Table2[[#This Row],[LENGTH(m.)
(Actual)]]</f>
        <v>0</v>
      </c>
      <c r="R1539" s="2"/>
      <c r="S1539" s="7">
        <f>Table2[[#This Row],[N]]+Table2[[#This Row],[Pile 
Deviation 
N (m)]]</f>
        <v>1511707.1459999999</v>
      </c>
      <c r="T1539" s="7">
        <f>Table2[[#This Row],[E]]+Table2[[#This Row],[Pile 
Deviation 
E (m)]]</f>
        <v>694047.51500000001</v>
      </c>
      <c r="W1539" s="7">
        <v>0.24</v>
      </c>
      <c r="X1539" s="2" t="s">
        <v>51</v>
      </c>
    </row>
    <row r="1540" spans="1:24" hidden="1" x14ac:dyDescent="0.65">
      <c r="A1540">
        <v>1534</v>
      </c>
      <c r="B1540" t="s">
        <v>29</v>
      </c>
      <c r="C1540" s="6">
        <v>1511707.1129999999</v>
      </c>
      <c r="D1540" s="6">
        <v>694029.66799999995</v>
      </c>
      <c r="E1540" s="2" t="s">
        <v>35</v>
      </c>
      <c r="F1540" s="1">
        <v>24</v>
      </c>
      <c r="G1540" s="2" t="s">
        <v>50</v>
      </c>
      <c r="J1540"/>
      <c r="K1540" s="19"/>
      <c r="L1540" s="21"/>
      <c r="M1540" s="27"/>
      <c r="N1540" s="19"/>
      <c r="O1540" s="21"/>
      <c r="Q1540" s="7">
        <f>Table2[[#This Row],[Elevation
PILE TOP]]-Table2[[#This Row],[LENGTH(m.)
(Actual)]]</f>
        <v>0</v>
      </c>
      <c r="R1540" s="2"/>
      <c r="S1540" s="7">
        <f>Table2[[#This Row],[N]]+Table2[[#This Row],[Pile 
Deviation 
N (m)]]</f>
        <v>1511707.1129999999</v>
      </c>
      <c r="T1540" s="7">
        <f>Table2[[#This Row],[E]]+Table2[[#This Row],[Pile 
Deviation 
E (m)]]</f>
        <v>694029.66799999995</v>
      </c>
      <c r="W1540" s="7">
        <v>0.24</v>
      </c>
      <c r="X1540" s="2" t="s">
        <v>51</v>
      </c>
    </row>
    <row r="1541" spans="1:24" ht="13.95" hidden="1" customHeight="1" x14ac:dyDescent="0.65">
      <c r="A1541">
        <v>1535</v>
      </c>
      <c r="B1541" t="s">
        <v>29</v>
      </c>
      <c r="C1541" s="6">
        <v>1511707.0789999999</v>
      </c>
      <c r="D1541" s="6">
        <v>694011.821</v>
      </c>
      <c r="E1541" s="2" t="s">
        <v>35</v>
      </c>
      <c r="F1541" s="1">
        <v>24</v>
      </c>
      <c r="G1541" s="2" t="s">
        <v>50</v>
      </c>
      <c r="J1541"/>
      <c r="K1541" s="19"/>
      <c r="L1541" s="21"/>
      <c r="M1541" s="27"/>
      <c r="N1541" s="19"/>
      <c r="O1541" s="21"/>
      <c r="Q1541" s="7">
        <f>Table2[[#This Row],[Elevation
PILE TOP]]-Table2[[#This Row],[LENGTH(m.)
(Actual)]]</f>
        <v>0</v>
      </c>
      <c r="R1541" s="2"/>
      <c r="S1541" s="7">
        <f>Table2[[#This Row],[N]]+Table2[[#This Row],[Pile 
Deviation 
N (m)]]</f>
        <v>1511707.0789999999</v>
      </c>
      <c r="T1541" s="7">
        <f>Table2[[#This Row],[E]]+Table2[[#This Row],[Pile 
Deviation 
E (m)]]</f>
        <v>694011.821</v>
      </c>
      <c r="W1541" s="7">
        <v>0.24</v>
      </c>
      <c r="X1541" s="2" t="s">
        <v>51</v>
      </c>
    </row>
    <row r="1542" spans="1:24" hidden="1" x14ac:dyDescent="0.65">
      <c r="A1542">
        <v>1536</v>
      </c>
      <c r="B1542" t="s">
        <v>29</v>
      </c>
      <c r="C1542" s="6">
        <v>1511707.0460000001</v>
      </c>
      <c r="D1542" s="6">
        <v>693993.97499999998</v>
      </c>
      <c r="E1542" s="2" t="s">
        <v>35</v>
      </c>
      <c r="F1542" s="1">
        <v>24</v>
      </c>
      <c r="G1542" s="2" t="s">
        <v>50</v>
      </c>
      <c r="J1542"/>
      <c r="K1542" s="19"/>
      <c r="L1542" s="21"/>
      <c r="M1542" s="27"/>
      <c r="N1542" s="19"/>
      <c r="O1542" s="21"/>
      <c r="Q1542" s="7">
        <f>Table2[[#This Row],[Elevation
PILE TOP]]-Table2[[#This Row],[LENGTH(m.)
(Actual)]]</f>
        <v>0</v>
      </c>
      <c r="R1542" s="2"/>
      <c r="S1542" s="7">
        <f>Table2[[#This Row],[N]]+Table2[[#This Row],[Pile 
Deviation 
N (m)]]</f>
        <v>1511707.0460000001</v>
      </c>
      <c r="T1542" s="7">
        <f>Table2[[#This Row],[E]]+Table2[[#This Row],[Pile 
Deviation 
E (m)]]</f>
        <v>693993.97499999998</v>
      </c>
      <c r="W1542" s="7">
        <v>0.24</v>
      </c>
      <c r="X1542" s="2" t="s">
        <v>51</v>
      </c>
    </row>
    <row r="1543" spans="1:24" ht="13.95" hidden="1" customHeight="1" x14ac:dyDescent="0.65">
      <c r="A1543">
        <v>1537</v>
      </c>
      <c r="B1543" t="s">
        <v>29</v>
      </c>
      <c r="C1543" s="6">
        <v>1511706.9790000001</v>
      </c>
      <c r="D1543" s="6">
        <v>693958.28200000001</v>
      </c>
      <c r="E1543" s="2" t="s">
        <v>35</v>
      </c>
      <c r="F1543" s="1">
        <v>24</v>
      </c>
      <c r="G1543" s="2" t="s">
        <v>50</v>
      </c>
      <c r="J1543"/>
      <c r="K1543" s="19"/>
      <c r="L1543" s="21"/>
      <c r="M1543" s="27"/>
      <c r="N1543" s="19"/>
      <c r="O1543" s="21"/>
      <c r="Q1543" s="7">
        <f>Table2[[#This Row],[Elevation
PILE TOP]]-Table2[[#This Row],[LENGTH(m.)
(Actual)]]</f>
        <v>0</v>
      </c>
      <c r="R1543" s="2"/>
      <c r="S1543" s="7">
        <f>Table2[[#This Row],[N]]+Table2[[#This Row],[Pile 
Deviation 
N (m)]]</f>
        <v>1511706.9790000001</v>
      </c>
      <c r="T1543" s="7">
        <f>Table2[[#This Row],[E]]+Table2[[#This Row],[Pile 
Deviation 
E (m)]]</f>
        <v>693958.28200000001</v>
      </c>
      <c r="W1543" s="7">
        <v>0.24</v>
      </c>
      <c r="X1543" s="2" t="s">
        <v>51</v>
      </c>
    </row>
    <row r="1544" spans="1:24" hidden="1" x14ac:dyDescent="0.65">
      <c r="A1544">
        <v>1538</v>
      </c>
      <c r="B1544" t="s">
        <v>29</v>
      </c>
      <c r="C1544" s="6">
        <v>1511706.946</v>
      </c>
      <c r="D1544" s="6">
        <v>693940.43500000006</v>
      </c>
      <c r="E1544" s="2" t="s">
        <v>35</v>
      </c>
      <c r="F1544" s="1">
        <v>24</v>
      </c>
      <c r="G1544" s="2" t="s">
        <v>50</v>
      </c>
      <c r="J1544"/>
      <c r="K1544" s="19"/>
      <c r="L1544" s="21"/>
      <c r="M1544" s="27"/>
      <c r="N1544" s="19"/>
      <c r="O1544" s="21"/>
      <c r="Q1544" s="7">
        <f>Table2[[#This Row],[Elevation
PILE TOP]]-Table2[[#This Row],[LENGTH(m.)
(Actual)]]</f>
        <v>0</v>
      </c>
      <c r="R1544" s="2"/>
      <c r="S1544" s="7">
        <f>Table2[[#This Row],[N]]+Table2[[#This Row],[Pile 
Deviation 
N (m)]]</f>
        <v>1511706.946</v>
      </c>
      <c r="T1544" s="7">
        <f>Table2[[#This Row],[E]]+Table2[[#This Row],[Pile 
Deviation 
E (m)]]</f>
        <v>693940.43500000006</v>
      </c>
      <c r="W1544" s="7">
        <v>0.24</v>
      </c>
      <c r="X1544" s="2" t="s">
        <v>51</v>
      </c>
    </row>
    <row r="1545" spans="1:24" ht="13.95" hidden="1" customHeight="1" x14ac:dyDescent="0.65">
      <c r="A1545">
        <v>1539</v>
      </c>
      <c r="B1545" t="s">
        <v>29</v>
      </c>
      <c r="C1545" s="6">
        <v>1511706.942</v>
      </c>
      <c r="D1545" s="6">
        <v>693914.33200000005</v>
      </c>
      <c r="E1545" s="2" t="s">
        <v>35</v>
      </c>
      <c r="F1545" s="1">
        <v>24</v>
      </c>
      <c r="G1545" s="2" t="s">
        <v>50</v>
      </c>
      <c r="J1545"/>
      <c r="K1545" s="19"/>
      <c r="L1545" s="21"/>
      <c r="M1545" s="27"/>
      <c r="N1545" s="19"/>
      <c r="O1545" s="21"/>
      <c r="Q1545" s="7">
        <f>Table2[[#This Row],[Elevation
PILE TOP]]-Table2[[#This Row],[LENGTH(m.)
(Actual)]]</f>
        <v>0</v>
      </c>
      <c r="R1545" s="2"/>
      <c r="S1545" s="7">
        <f>Table2[[#This Row],[N]]+Table2[[#This Row],[Pile 
Deviation 
N (m)]]</f>
        <v>1511706.942</v>
      </c>
      <c r="T1545" s="7">
        <f>Table2[[#This Row],[E]]+Table2[[#This Row],[Pile 
Deviation 
E (m)]]</f>
        <v>693914.33200000005</v>
      </c>
      <c r="W1545" s="7">
        <v>0.24</v>
      </c>
      <c r="X1545" s="2" t="s">
        <v>51</v>
      </c>
    </row>
    <row r="1546" spans="1:24" hidden="1" x14ac:dyDescent="0.65">
      <c r="A1546">
        <v>1540</v>
      </c>
      <c r="B1546" t="s">
        <v>29</v>
      </c>
      <c r="C1546" s="6">
        <v>1511706.86</v>
      </c>
      <c r="D1546" s="6">
        <v>694072.98699999996</v>
      </c>
      <c r="E1546" s="2" t="s">
        <v>35</v>
      </c>
      <c r="F1546" s="1">
        <v>24</v>
      </c>
      <c r="G1546" s="2" t="s">
        <v>50</v>
      </c>
      <c r="J1546"/>
      <c r="K1546" s="19"/>
      <c r="L1546" s="21"/>
      <c r="M1546" s="27"/>
      <c r="N1546" s="19"/>
      <c r="O1546" s="21"/>
      <c r="Q1546" s="7">
        <f>Table2[[#This Row],[Elevation
PILE TOP]]-Table2[[#This Row],[LENGTH(m.)
(Actual)]]</f>
        <v>0</v>
      </c>
      <c r="R1546" s="2"/>
      <c r="S1546" s="7">
        <f>Table2[[#This Row],[N]]+Table2[[#This Row],[Pile 
Deviation 
N (m)]]</f>
        <v>1511706.86</v>
      </c>
      <c r="T1546" s="7">
        <f>Table2[[#This Row],[E]]+Table2[[#This Row],[Pile 
Deviation 
E (m)]]</f>
        <v>694072.98699999996</v>
      </c>
      <c r="W1546" s="7">
        <v>0.24</v>
      </c>
      <c r="X1546" s="2" t="s">
        <v>51</v>
      </c>
    </row>
    <row r="1547" spans="1:24" ht="13.95" hidden="1" customHeight="1" x14ac:dyDescent="0.65">
      <c r="A1547">
        <v>1541</v>
      </c>
      <c r="B1547" t="s">
        <v>29</v>
      </c>
      <c r="C1547" s="6">
        <v>1511706.7579999999</v>
      </c>
      <c r="D1547" s="6">
        <v>693937.34</v>
      </c>
      <c r="E1547" s="2" t="s">
        <v>35</v>
      </c>
      <c r="F1547" s="1">
        <v>24</v>
      </c>
      <c r="G1547" s="2" t="s">
        <v>50</v>
      </c>
      <c r="J1547"/>
      <c r="K1547" s="19"/>
      <c r="L1547" s="21"/>
      <c r="M1547" s="27"/>
      <c r="N1547" s="19"/>
      <c r="O1547" s="21"/>
      <c r="Q1547" s="7">
        <f>Table2[[#This Row],[Elevation
PILE TOP]]-Table2[[#This Row],[LENGTH(m.)
(Actual)]]</f>
        <v>0</v>
      </c>
      <c r="R1547" s="2"/>
      <c r="S1547" s="7">
        <f>Table2[[#This Row],[N]]+Table2[[#This Row],[Pile 
Deviation 
N (m)]]</f>
        <v>1511706.7579999999</v>
      </c>
      <c r="T1547" s="7">
        <f>Table2[[#This Row],[E]]+Table2[[#This Row],[Pile 
Deviation 
E (m)]]</f>
        <v>693937.34</v>
      </c>
      <c r="W1547" s="7">
        <v>0.24</v>
      </c>
      <c r="X1547" s="2" t="s">
        <v>51</v>
      </c>
    </row>
    <row r="1548" spans="1:24" hidden="1" x14ac:dyDescent="0.65">
      <c r="A1548">
        <v>1542</v>
      </c>
      <c r="B1548" t="s">
        <v>29</v>
      </c>
      <c r="C1548" s="6">
        <v>1511706.4909999999</v>
      </c>
      <c r="D1548" s="6">
        <v>694076.60800000001</v>
      </c>
      <c r="E1548" s="2" t="s">
        <v>35</v>
      </c>
      <c r="F1548" s="1">
        <v>24</v>
      </c>
      <c r="G1548" s="2" t="s">
        <v>50</v>
      </c>
      <c r="J1548"/>
      <c r="K1548" s="19"/>
      <c r="L1548" s="21"/>
      <c r="M1548" s="27"/>
      <c r="N1548" s="19"/>
      <c r="O1548" s="21"/>
      <c r="Q1548" s="7">
        <f>Table2[[#This Row],[Elevation
PILE TOP]]-Table2[[#This Row],[LENGTH(m.)
(Actual)]]</f>
        <v>0</v>
      </c>
      <c r="R1548" s="2"/>
      <c r="S1548" s="7">
        <f>Table2[[#This Row],[N]]+Table2[[#This Row],[Pile 
Deviation 
N (m)]]</f>
        <v>1511706.4909999999</v>
      </c>
      <c r="T1548" s="7">
        <f>Table2[[#This Row],[E]]+Table2[[#This Row],[Pile 
Deviation 
E (m)]]</f>
        <v>694076.60800000001</v>
      </c>
      <c r="W1548" s="7">
        <v>0.24</v>
      </c>
      <c r="X1548" s="2" t="s">
        <v>51</v>
      </c>
    </row>
    <row r="1549" spans="1:24" ht="13.95" hidden="1" customHeight="1" x14ac:dyDescent="0.65">
      <c r="A1549">
        <v>1543</v>
      </c>
      <c r="B1549" t="s">
        <v>29</v>
      </c>
      <c r="C1549" s="6">
        <v>1511706.453</v>
      </c>
      <c r="D1549" s="6">
        <v>694044.08400000003</v>
      </c>
      <c r="E1549" s="2" t="s">
        <v>35</v>
      </c>
      <c r="F1549" s="1">
        <v>24</v>
      </c>
      <c r="G1549" s="2" t="s">
        <v>50</v>
      </c>
      <c r="J1549"/>
      <c r="K1549" s="19"/>
      <c r="L1549" s="21"/>
      <c r="M1549" s="27"/>
      <c r="N1549" s="19"/>
      <c r="O1549" s="21"/>
      <c r="Q1549" s="7">
        <f>Table2[[#This Row],[Elevation
PILE TOP]]-Table2[[#This Row],[LENGTH(m.)
(Actual)]]</f>
        <v>0</v>
      </c>
      <c r="R1549" s="2"/>
      <c r="S1549" s="7">
        <f>Table2[[#This Row],[N]]+Table2[[#This Row],[Pile 
Deviation 
N (m)]]</f>
        <v>1511706.453</v>
      </c>
      <c r="T1549" s="7">
        <f>Table2[[#This Row],[E]]+Table2[[#This Row],[Pile 
Deviation 
E (m)]]</f>
        <v>694044.08400000003</v>
      </c>
      <c r="W1549" s="7">
        <v>0.24</v>
      </c>
      <c r="X1549" s="2" t="s">
        <v>51</v>
      </c>
    </row>
    <row r="1550" spans="1:24" hidden="1" x14ac:dyDescent="0.65">
      <c r="A1550">
        <v>1544</v>
      </c>
      <c r="B1550" t="s">
        <v>29</v>
      </c>
      <c r="C1550" s="6">
        <v>1511706.42</v>
      </c>
      <c r="D1550" s="6">
        <v>694026.23699999996</v>
      </c>
      <c r="E1550" s="2" t="s">
        <v>35</v>
      </c>
      <c r="F1550" s="1">
        <v>24</v>
      </c>
      <c r="G1550" s="2" t="s">
        <v>50</v>
      </c>
      <c r="J1550"/>
      <c r="K1550" s="19"/>
      <c r="L1550" s="21"/>
      <c r="M1550" s="27"/>
      <c r="N1550" s="19"/>
      <c r="O1550" s="21"/>
      <c r="Q1550" s="7">
        <f>Table2[[#This Row],[Elevation
PILE TOP]]-Table2[[#This Row],[LENGTH(m.)
(Actual)]]</f>
        <v>0</v>
      </c>
      <c r="R1550" s="2"/>
      <c r="S1550" s="7">
        <f>Table2[[#This Row],[N]]+Table2[[#This Row],[Pile 
Deviation 
N (m)]]</f>
        <v>1511706.42</v>
      </c>
      <c r="T1550" s="7">
        <f>Table2[[#This Row],[E]]+Table2[[#This Row],[Pile 
Deviation 
E (m)]]</f>
        <v>694026.23699999996</v>
      </c>
      <c r="W1550" s="7">
        <v>0.24</v>
      </c>
      <c r="X1550" s="2" t="s">
        <v>51</v>
      </c>
    </row>
    <row r="1551" spans="1:24" ht="13.95" hidden="1" customHeight="1" x14ac:dyDescent="0.65">
      <c r="A1551">
        <v>1545</v>
      </c>
      <c r="B1551" t="s">
        <v>29</v>
      </c>
      <c r="C1551" s="6">
        <v>1511706.3870000001</v>
      </c>
      <c r="D1551" s="6">
        <v>694008.39099999995</v>
      </c>
      <c r="E1551" s="2" t="s">
        <v>35</v>
      </c>
      <c r="F1551" s="1">
        <v>24</v>
      </c>
      <c r="G1551" s="2" t="s">
        <v>50</v>
      </c>
      <c r="J1551"/>
      <c r="K1551" s="19"/>
      <c r="L1551" s="21"/>
      <c r="M1551" s="27"/>
      <c r="N1551" s="19"/>
      <c r="O1551" s="21"/>
      <c r="Q1551" s="7">
        <f>Table2[[#This Row],[Elevation
PILE TOP]]-Table2[[#This Row],[LENGTH(m.)
(Actual)]]</f>
        <v>0</v>
      </c>
      <c r="R1551" s="2"/>
      <c r="S1551" s="7">
        <f>Table2[[#This Row],[N]]+Table2[[#This Row],[Pile 
Deviation 
N (m)]]</f>
        <v>1511706.3870000001</v>
      </c>
      <c r="T1551" s="7">
        <f>Table2[[#This Row],[E]]+Table2[[#This Row],[Pile 
Deviation 
E (m)]]</f>
        <v>694008.39099999995</v>
      </c>
      <c r="W1551" s="7">
        <v>0.24</v>
      </c>
      <c r="X1551" s="2" t="s">
        <v>51</v>
      </c>
    </row>
    <row r="1552" spans="1:24" hidden="1" x14ac:dyDescent="0.65">
      <c r="A1552">
        <v>1546</v>
      </c>
      <c r="B1552" t="s">
        <v>29</v>
      </c>
      <c r="C1552" s="6">
        <v>1511706.3529999999</v>
      </c>
      <c r="D1552" s="6">
        <v>693990.54399999999</v>
      </c>
      <c r="E1552" s="2" t="s">
        <v>35</v>
      </c>
      <c r="F1552" s="1">
        <v>24</v>
      </c>
      <c r="G1552" s="2" t="s">
        <v>50</v>
      </c>
      <c r="J1552"/>
      <c r="K1552" s="19"/>
      <c r="L1552" s="21"/>
      <c r="M1552" s="27"/>
      <c r="N1552" s="19"/>
      <c r="O1552" s="21"/>
      <c r="Q1552" s="7">
        <f>Table2[[#This Row],[Elevation
PILE TOP]]-Table2[[#This Row],[LENGTH(m.)
(Actual)]]</f>
        <v>0</v>
      </c>
      <c r="R1552" s="2"/>
      <c r="S1552" s="7">
        <f>Table2[[#This Row],[N]]+Table2[[#This Row],[Pile 
Deviation 
N (m)]]</f>
        <v>1511706.3529999999</v>
      </c>
      <c r="T1552" s="7">
        <f>Table2[[#This Row],[E]]+Table2[[#This Row],[Pile 
Deviation 
E (m)]]</f>
        <v>693990.54399999999</v>
      </c>
      <c r="W1552" s="7">
        <v>0.24</v>
      </c>
      <c r="X1552" s="2" t="s">
        <v>51</v>
      </c>
    </row>
    <row r="1553" spans="1:27" ht="13.95" hidden="1" customHeight="1" x14ac:dyDescent="0.65">
      <c r="A1553">
        <v>1547</v>
      </c>
      <c r="B1553" t="s">
        <v>29</v>
      </c>
      <c r="C1553" s="6">
        <v>1511706.2860000001</v>
      </c>
      <c r="D1553" s="6">
        <v>693954.85100000002</v>
      </c>
      <c r="E1553" s="2" t="s">
        <v>35</v>
      </c>
      <c r="F1553" s="1">
        <v>24</v>
      </c>
      <c r="G1553" s="2" t="s">
        <v>50</v>
      </c>
      <c r="J1553"/>
      <c r="K1553" s="19"/>
      <c r="L1553" s="21"/>
      <c r="M1553" s="27"/>
      <c r="N1553" s="19"/>
      <c r="O1553" s="21"/>
      <c r="Q1553" s="7">
        <f>Table2[[#This Row],[Elevation
PILE TOP]]-Table2[[#This Row],[LENGTH(m.)
(Actual)]]</f>
        <v>0</v>
      </c>
      <c r="R1553" s="2"/>
      <c r="S1553" s="7">
        <f>Table2[[#This Row],[N]]+Table2[[#This Row],[Pile 
Deviation 
N (m)]]</f>
        <v>1511706.2860000001</v>
      </c>
      <c r="T1553" s="7">
        <f>Table2[[#This Row],[E]]+Table2[[#This Row],[Pile 
Deviation 
E (m)]]</f>
        <v>693954.85100000002</v>
      </c>
      <c r="W1553" s="7">
        <v>0.24</v>
      </c>
      <c r="X1553" s="2" t="s">
        <v>51</v>
      </c>
    </row>
    <row r="1554" spans="1:27" hidden="1" x14ac:dyDescent="0.65">
      <c r="A1554">
        <v>1548</v>
      </c>
      <c r="B1554" t="s">
        <v>29</v>
      </c>
      <c r="C1554" s="6">
        <v>1511706.2250000001</v>
      </c>
      <c r="D1554" s="6">
        <v>693903.28700000001</v>
      </c>
      <c r="E1554" s="2" t="s">
        <v>35</v>
      </c>
      <c r="F1554" s="1">
        <v>24</v>
      </c>
      <c r="G1554" s="2" t="s">
        <v>50</v>
      </c>
      <c r="J1554"/>
      <c r="K1554" s="19"/>
      <c r="L1554" s="21"/>
      <c r="M1554" s="27"/>
      <c r="N1554" s="19"/>
      <c r="O1554" s="21"/>
      <c r="Q1554" s="7">
        <f>Table2[[#This Row],[Elevation
PILE TOP]]-Table2[[#This Row],[LENGTH(m.)
(Actual)]]</f>
        <v>0</v>
      </c>
      <c r="R1554" s="2"/>
      <c r="S1554" s="7">
        <f>Table2[[#This Row],[N]]+Table2[[#This Row],[Pile 
Deviation 
N (m)]]</f>
        <v>1511706.2250000001</v>
      </c>
      <c r="T1554" s="7">
        <f>Table2[[#This Row],[E]]+Table2[[#This Row],[Pile 
Deviation 
E (m)]]</f>
        <v>693903.28700000001</v>
      </c>
      <c r="W1554" s="7">
        <v>0.24</v>
      </c>
      <c r="X1554" s="2" t="s">
        <v>51</v>
      </c>
    </row>
    <row r="1555" spans="1:27" ht="13.95" hidden="1" customHeight="1" x14ac:dyDescent="0.65">
      <c r="A1555">
        <v>1549</v>
      </c>
      <c r="B1555" t="s">
        <v>29</v>
      </c>
      <c r="C1555" s="6">
        <v>1511706.2169999999</v>
      </c>
      <c r="D1555" s="6">
        <v>694084.03599999996</v>
      </c>
      <c r="E1555" s="2" t="s">
        <v>35</v>
      </c>
      <c r="F1555" s="1">
        <v>24</v>
      </c>
      <c r="G1555" s="2" t="s">
        <v>50</v>
      </c>
      <c r="J1555"/>
      <c r="K1555" s="19"/>
      <c r="L1555" s="21"/>
      <c r="M1555" s="27"/>
      <c r="N1555" s="19"/>
      <c r="O1555" s="21"/>
      <c r="Q1555" s="7">
        <f>Table2[[#This Row],[Elevation
PILE TOP]]-Table2[[#This Row],[LENGTH(m.)
(Actual)]]</f>
        <v>0</v>
      </c>
      <c r="R1555" s="2"/>
      <c r="S1555" s="7">
        <f>Table2[[#This Row],[N]]+Table2[[#This Row],[Pile 
Deviation 
N (m)]]</f>
        <v>1511706.2169999999</v>
      </c>
      <c r="T1555" s="7">
        <f>Table2[[#This Row],[E]]+Table2[[#This Row],[Pile 
Deviation 
E (m)]]</f>
        <v>694084.03599999996</v>
      </c>
      <c r="W1555" s="7">
        <v>0.24</v>
      </c>
      <c r="X1555" s="2" t="s">
        <v>51</v>
      </c>
    </row>
    <row r="1556" spans="1:27" hidden="1" x14ac:dyDescent="0.65">
      <c r="A1556">
        <v>1550</v>
      </c>
      <c r="B1556" t="s">
        <v>29</v>
      </c>
      <c r="C1556" s="6">
        <v>1511706.206</v>
      </c>
      <c r="D1556" s="6">
        <v>694065.18799999997</v>
      </c>
      <c r="E1556" s="2" t="s">
        <v>35</v>
      </c>
      <c r="F1556" s="1">
        <v>24</v>
      </c>
      <c r="G1556" s="2" t="s">
        <v>50</v>
      </c>
      <c r="J1556"/>
      <c r="K1556" s="19"/>
      <c r="L1556" s="21"/>
      <c r="M1556" s="27"/>
      <c r="N1556" s="19"/>
      <c r="O1556" s="21"/>
      <c r="Q1556" s="7">
        <f>Table2[[#This Row],[Elevation
PILE TOP]]-Table2[[#This Row],[LENGTH(m.)
(Actual)]]</f>
        <v>0</v>
      </c>
      <c r="R1556" s="2"/>
      <c r="S1556" s="7">
        <f>Table2[[#This Row],[N]]+Table2[[#This Row],[Pile 
Deviation 
N (m)]]</f>
        <v>1511706.206</v>
      </c>
      <c r="T1556" s="7">
        <f>Table2[[#This Row],[E]]+Table2[[#This Row],[Pile 
Deviation 
E (m)]]</f>
        <v>694065.18799999997</v>
      </c>
      <c r="W1556" s="7">
        <v>0.24</v>
      </c>
      <c r="X1556" s="2" t="s">
        <v>51</v>
      </c>
    </row>
    <row r="1557" spans="1:27" ht="13.95" customHeight="1" x14ac:dyDescent="0.65">
      <c r="A1557">
        <v>1551</v>
      </c>
      <c r="B1557" t="s">
        <v>29</v>
      </c>
      <c r="C1557" s="6">
        <v>1511706.09</v>
      </c>
      <c r="D1557" s="6">
        <v>693934.13199999998</v>
      </c>
      <c r="E1557" s="2" t="s">
        <v>35</v>
      </c>
      <c r="F1557" s="1">
        <v>24</v>
      </c>
      <c r="G1557" s="2" t="s">
        <v>50</v>
      </c>
      <c r="J1557"/>
      <c r="K1557" s="19"/>
      <c r="L1557" s="21"/>
      <c r="M1557" s="27"/>
      <c r="N1557" s="19"/>
      <c r="O1557" s="21"/>
      <c r="Q1557" s="7">
        <f>Table2[[#This Row],[Elevation
PILE TOP]]-Table2[[#This Row],[LENGTH(m.)
(Actual)]]</f>
        <v>0</v>
      </c>
      <c r="R1557" s="2"/>
      <c r="S1557" s="7">
        <f>Table2[[#This Row],[N]]+Table2[[#This Row],[Pile 
Deviation 
N (m)]]</f>
        <v>1511706.09</v>
      </c>
      <c r="T1557" s="7">
        <f>Table2[[#This Row],[E]]+Table2[[#This Row],[Pile 
Deviation 
E (m)]]</f>
        <v>693934.13199999998</v>
      </c>
      <c r="W1557" s="7">
        <v>0.24</v>
      </c>
      <c r="X1557" s="2" t="s">
        <v>51</v>
      </c>
      <c r="AA1557" s="9">
        <v>46203</v>
      </c>
    </row>
    <row r="1558" spans="1:27" hidden="1" x14ac:dyDescent="0.65">
      <c r="A1558">
        <v>1552</v>
      </c>
      <c r="B1558" t="s">
        <v>29</v>
      </c>
      <c r="C1558" s="6">
        <v>1511706.0530000001</v>
      </c>
      <c r="D1558" s="6">
        <v>693917.71699999995</v>
      </c>
      <c r="E1558" s="2" t="s">
        <v>35</v>
      </c>
      <c r="F1558" s="1">
        <v>24</v>
      </c>
      <c r="G1558" s="2" t="s">
        <v>50</v>
      </c>
      <c r="J1558"/>
      <c r="K1558" s="19"/>
      <c r="L1558" s="21"/>
      <c r="M1558" s="27"/>
      <c r="N1558" s="19"/>
      <c r="O1558" s="21"/>
      <c r="Q1558" s="7">
        <f>Table2[[#This Row],[Elevation
PILE TOP]]-Table2[[#This Row],[LENGTH(m.)
(Actual)]]</f>
        <v>0</v>
      </c>
      <c r="R1558" s="2"/>
      <c r="S1558" s="7">
        <f>Table2[[#This Row],[N]]+Table2[[#This Row],[Pile 
Deviation 
N (m)]]</f>
        <v>1511706.0530000001</v>
      </c>
      <c r="T1558" s="7">
        <f>Table2[[#This Row],[E]]+Table2[[#This Row],[Pile 
Deviation 
E (m)]]</f>
        <v>693917.71699999995</v>
      </c>
      <c r="W1558" s="7">
        <v>0.24</v>
      </c>
      <c r="X1558" s="2" t="s">
        <v>51</v>
      </c>
    </row>
    <row r="1559" spans="1:27" ht="13.95" hidden="1" customHeight="1" x14ac:dyDescent="0.65">
      <c r="A1559">
        <v>1553</v>
      </c>
      <c r="B1559" t="s">
        <v>29</v>
      </c>
      <c r="C1559" s="6">
        <v>1511705.7609999999</v>
      </c>
      <c r="D1559" s="6">
        <v>694040.65300000005</v>
      </c>
      <c r="E1559" s="2" t="s">
        <v>35</v>
      </c>
      <c r="F1559" s="1">
        <v>24</v>
      </c>
      <c r="G1559" s="2" t="s">
        <v>50</v>
      </c>
      <c r="J1559"/>
      <c r="K1559" s="19"/>
      <c r="L1559" s="21"/>
      <c r="M1559" s="27"/>
      <c r="N1559" s="19"/>
      <c r="O1559" s="21"/>
      <c r="Q1559" s="7">
        <f>Table2[[#This Row],[Elevation
PILE TOP]]-Table2[[#This Row],[LENGTH(m.)
(Actual)]]</f>
        <v>0</v>
      </c>
      <c r="R1559" s="2"/>
      <c r="S1559" s="7">
        <f>Table2[[#This Row],[N]]+Table2[[#This Row],[Pile 
Deviation 
N (m)]]</f>
        <v>1511705.7609999999</v>
      </c>
      <c r="T1559" s="7">
        <f>Table2[[#This Row],[E]]+Table2[[#This Row],[Pile 
Deviation 
E (m)]]</f>
        <v>694040.65300000005</v>
      </c>
      <c r="W1559" s="7">
        <v>0.24</v>
      </c>
      <c r="X1559" s="2" t="s">
        <v>51</v>
      </c>
    </row>
    <row r="1560" spans="1:27" hidden="1" x14ac:dyDescent="0.65">
      <c r="A1560">
        <v>1554</v>
      </c>
      <c r="B1560" t="s">
        <v>29</v>
      </c>
      <c r="C1560" s="6">
        <v>1511705.727</v>
      </c>
      <c r="D1560" s="6">
        <v>694022.80700000003</v>
      </c>
      <c r="E1560" s="2" t="s">
        <v>35</v>
      </c>
      <c r="F1560" s="1">
        <v>24</v>
      </c>
      <c r="G1560" s="2" t="s">
        <v>50</v>
      </c>
      <c r="J1560"/>
      <c r="K1560" s="19"/>
      <c r="L1560" s="21"/>
      <c r="M1560" s="27"/>
      <c r="N1560" s="19"/>
      <c r="O1560" s="21"/>
      <c r="Q1560" s="7">
        <f>Table2[[#This Row],[Elevation
PILE TOP]]-Table2[[#This Row],[LENGTH(m.)
(Actual)]]</f>
        <v>0</v>
      </c>
      <c r="R1560" s="2"/>
      <c r="S1560" s="7">
        <f>Table2[[#This Row],[N]]+Table2[[#This Row],[Pile 
Deviation 
N (m)]]</f>
        <v>1511705.727</v>
      </c>
      <c r="T1560" s="7">
        <f>Table2[[#This Row],[E]]+Table2[[#This Row],[Pile 
Deviation 
E (m)]]</f>
        <v>694022.80700000003</v>
      </c>
      <c r="W1560" s="7">
        <v>0.24</v>
      </c>
      <c r="X1560" s="2" t="s">
        <v>51</v>
      </c>
    </row>
    <row r="1561" spans="1:27" ht="13.95" hidden="1" customHeight="1" x14ac:dyDescent="0.65">
      <c r="A1561">
        <v>1555</v>
      </c>
      <c r="B1561" t="s">
        <v>29</v>
      </c>
      <c r="C1561" s="6">
        <v>1511705.6939999999</v>
      </c>
      <c r="D1561" s="6">
        <v>694004.96</v>
      </c>
      <c r="E1561" s="2" t="s">
        <v>35</v>
      </c>
      <c r="F1561" s="1">
        <v>24</v>
      </c>
      <c r="G1561" s="2" t="s">
        <v>50</v>
      </c>
      <c r="J1561"/>
      <c r="K1561" s="19"/>
      <c r="L1561" s="21"/>
      <c r="M1561" s="27"/>
      <c r="N1561" s="19"/>
      <c r="O1561" s="21"/>
      <c r="Q1561" s="7">
        <f>Table2[[#This Row],[Elevation
PILE TOP]]-Table2[[#This Row],[LENGTH(m.)
(Actual)]]</f>
        <v>0</v>
      </c>
      <c r="R1561" s="2"/>
      <c r="S1561" s="7">
        <f>Table2[[#This Row],[N]]+Table2[[#This Row],[Pile 
Deviation 
N (m)]]</f>
        <v>1511705.6939999999</v>
      </c>
      <c r="T1561" s="7">
        <f>Table2[[#This Row],[E]]+Table2[[#This Row],[Pile 
Deviation 
E (m)]]</f>
        <v>694004.96</v>
      </c>
      <c r="W1561" s="7">
        <v>0.24</v>
      </c>
      <c r="X1561" s="2" t="s">
        <v>51</v>
      </c>
    </row>
    <row r="1562" spans="1:27" hidden="1" x14ac:dyDescent="0.65">
      <c r="A1562">
        <v>1556</v>
      </c>
      <c r="B1562" t="s">
        <v>29</v>
      </c>
      <c r="C1562" s="6">
        <v>1511705.66</v>
      </c>
      <c r="D1562" s="6">
        <v>693987.11300000001</v>
      </c>
      <c r="E1562" s="2" t="s">
        <v>35</v>
      </c>
      <c r="F1562" s="1">
        <v>24</v>
      </c>
      <c r="G1562" s="2" t="s">
        <v>50</v>
      </c>
      <c r="J1562"/>
      <c r="K1562" s="19"/>
      <c r="L1562" s="21"/>
      <c r="M1562" s="27"/>
      <c r="N1562" s="19"/>
      <c r="O1562" s="21"/>
      <c r="Q1562" s="7">
        <f>Table2[[#This Row],[Elevation
PILE TOP]]-Table2[[#This Row],[LENGTH(m.)
(Actual)]]</f>
        <v>0</v>
      </c>
      <c r="R1562" s="2"/>
      <c r="S1562" s="7">
        <f>Table2[[#This Row],[N]]+Table2[[#This Row],[Pile 
Deviation 
N (m)]]</f>
        <v>1511705.66</v>
      </c>
      <c r="T1562" s="7">
        <f>Table2[[#This Row],[E]]+Table2[[#This Row],[Pile 
Deviation 
E (m)]]</f>
        <v>693987.11300000001</v>
      </c>
      <c r="W1562" s="7">
        <v>0.24</v>
      </c>
      <c r="X1562" s="2" t="s">
        <v>51</v>
      </c>
    </row>
    <row r="1563" spans="1:27" ht="13.95" hidden="1" customHeight="1" x14ac:dyDescent="0.65">
      <c r="A1563">
        <v>1557</v>
      </c>
      <c r="B1563" t="s">
        <v>29</v>
      </c>
      <c r="C1563" s="6">
        <v>1511705.5930000001</v>
      </c>
      <c r="D1563" s="6">
        <v>693951.42</v>
      </c>
      <c r="E1563" s="2" t="s">
        <v>35</v>
      </c>
      <c r="F1563" s="1">
        <v>24</v>
      </c>
      <c r="G1563" s="2" t="s">
        <v>50</v>
      </c>
      <c r="J1563"/>
      <c r="K1563" s="19"/>
      <c r="L1563" s="21"/>
      <c r="M1563" s="27"/>
      <c r="N1563" s="19"/>
      <c r="O1563" s="21"/>
      <c r="Q1563" s="7">
        <f>Table2[[#This Row],[Elevation
PILE TOP]]-Table2[[#This Row],[LENGTH(m.)
(Actual)]]</f>
        <v>0</v>
      </c>
      <c r="R1563" s="2"/>
      <c r="S1563" s="7">
        <f>Table2[[#This Row],[N]]+Table2[[#This Row],[Pile 
Deviation 
N (m)]]</f>
        <v>1511705.5930000001</v>
      </c>
      <c r="T1563" s="7">
        <f>Table2[[#This Row],[E]]+Table2[[#This Row],[Pile 
Deviation 
E (m)]]</f>
        <v>693951.42</v>
      </c>
      <c r="W1563" s="7">
        <v>0.24</v>
      </c>
      <c r="X1563" s="2" t="s">
        <v>51</v>
      </c>
    </row>
    <row r="1564" spans="1:27" hidden="1" x14ac:dyDescent="0.65">
      <c r="A1564">
        <v>1558</v>
      </c>
      <c r="B1564" t="s">
        <v>29</v>
      </c>
      <c r="C1564" s="6">
        <v>1511705.5519999999</v>
      </c>
      <c r="D1564" s="6">
        <v>694057.38899999997</v>
      </c>
      <c r="E1564" s="2" t="s">
        <v>35</v>
      </c>
      <c r="F1564" s="1">
        <v>24</v>
      </c>
      <c r="G1564" s="2" t="s">
        <v>50</v>
      </c>
      <c r="J1564"/>
      <c r="K1564" s="19"/>
      <c r="L1564" s="21"/>
      <c r="M1564" s="27"/>
      <c r="N1564" s="19"/>
      <c r="O1564" s="21"/>
      <c r="Q1564" s="7">
        <f>Table2[[#This Row],[Elevation
PILE TOP]]-Table2[[#This Row],[LENGTH(m.)
(Actual)]]</f>
        <v>0</v>
      </c>
      <c r="R1564" s="2"/>
      <c r="S1564" s="7">
        <f>Table2[[#This Row],[N]]+Table2[[#This Row],[Pile 
Deviation 
N (m)]]</f>
        <v>1511705.5519999999</v>
      </c>
      <c r="T1564" s="7">
        <f>Table2[[#This Row],[E]]+Table2[[#This Row],[Pile 
Deviation 
E (m)]]</f>
        <v>694057.38899999997</v>
      </c>
      <c r="W1564" s="7">
        <v>0.24</v>
      </c>
      <c r="X1564" s="2" t="s">
        <v>51</v>
      </c>
    </row>
    <row r="1565" spans="1:27" ht="13.95" hidden="1" customHeight="1" x14ac:dyDescent="0.65">
      <c r="A1565">
        <v>1559</v>
      </c>
      <c r="B1565" t="s">
        <v>29</v>
      </c>
      <c r="C1565" s="6">
        <v>1511705.335</v>
      </c>
      <c r="D1565" s="6">
        <v>693906.67200000002</v>
      </c>
      <c r="E1565" s="2" t="s">
        <v>35</v>
      </c>
      <c r="F1565" s="1">
        <v>24</v>
      </c>
      <c r="G1565" s="2" t="s">
        <v>50</v>
      </c>
      <c r="J1565"/>
      <c r="K1565" s="19"/>
      <c r="L1565" s="21"/>
      <c r="M1565" s="27"/>
      <c r="N1565" s="19"/>
      <c r="O1565" s="21"/>
      <c r="Q1565" s="7">
        <f>Table2[[#This Row],[Elevation
PILE TOP]]-Table2[[#This Row],[LENGTH(m.)
(Actual)]]</f>
        <v>0</v>
      </c>
      <c r="R1565" s="2"/>
      <c r="S1565" s="7">
        <f>Table2[[#This Row],[N]]+Table2[[#This Row],[Pile 
Deviation 
N (m)]]</f>
        <v>1511705.335</v>
      </c>
      <c r="T1565" s="7">
        <f>Table2[[#This Row],[E]]+Table2[[#This Row],[Pile 
Deviation 
E (m)]]</f>
        <v>693906.67200000002</v>
      </c>
      <c r="W1565" s="7">
        <v>0.24</v>
      </c>
      <c r="X1565" s="2" t="s">
        <v>51</v>
      </c>
    </row>
    <row r="1566" spans="1:27" hidden="1" x14ac:dyDescent="0.65">
      <c r="A1566">
        <v>1560</v>
      </c>
      <c r="B1566" t="s">
        <v>29</v>
      </c>
      <c r="C1566" s="6">
        <v>1511705.193</v>
      </c>
      <c r="D1566" s="6">
        <v>694079.85900000005</v>
      </c>
      <c r="E1566" s="2" t="s">
        <v>35</v>
      </c>
      <c r="F1566" s="1">
        <v>24</v>
      </c>
      <c r="G1566" s="2" t="s">
        <v>50</v>
      </c>
      <c r="J1566"/>
      <c r="K1566" s="19"/>
      <c r="L1566" s="21"/>
      <c r="M1566" s="27"/>
      <c r="N1566" s="19"/>
      <c r="O1566" s="21"/>
      <c r="Q1566" s="7">
        <f>Table2[[#This Row],[Elevation
PILE TOP]]-Table2[[#This Row],[LENGTH(m.)
(Actual)]]</f>
        <v>0</v>
      </c>
      <c r="R1566" s="2"/>
      <c r="S1566" s="7">
        <f>Table2[[#This Row],[N]]+Table2[[#This Row],[Pile 
Deviation 
N (m)]]</f>
        <v>1511705.193</v>
      </c>
      <c r="T1566" s="7">
        <f>Table2[[#This Row],[E]]+Table2[[#This Row],[Pile 
Deviation 
E (m)]]</f>
        <v>694079.85900000005</v>
      </c>
      <c r="W1566" s="7">
        <v>0.24</v>
      </c>
      <c r="X1566" s="2" t="s">
        <v>51</v>
      </c>
    </row>
    <row r="1567" spans="1:27" ht="13.95" hidden="1" customHeight="1" x14ac:dyDescent="0.65">
      <c r="A1567">
        <v>1561</v>
      </c>
      <c r="B1567" t="s">
        <v>29</v>
      </c>
      <c r="C1567" s="6">
        <v>1511705.101</v>
      </c>
      <c r="D1567" s="6">
        <v>694055.06900000002</v>
      </c>
      <c r="E1567" s="2" t="s">
        <v>35</v>
      </c>
      <c r="F1567" s="1">
        <v>24</v>
      </c>
      <c r="G1567" s="2" t="s">
        <v>50</v>
      </c>
      <c r="J1567"/>
      <c r="K1567" s="19"/>
      <c r="L1567" s="21"/>
      <c r="M1567" s="27"/>
      <c r="N1567" s="19"/>
      <c r="O1567" s="21"/>
      <c r="Q1567" s="7">
        <f>Table2[[#This Row],[Elevation
PILE TOP]]-Table2[[#This Row],[LENGTH(m.)
(Actual)]]</f>
        <v>0</v>
      </c>
      <c r="R1567" s="2"/>
      <c r="S1567" s="7">
        <f>Table2[[#This Row],[N]]+Table2[[#This Row],[Pile 
Deviation 
N (m)]]</f>
        <v>1511705.101</v>
      </c>
      <c r="T1567" s="7">
        <f>Table2[[#This Row],[E]]+Table2[[#This Row],[Pile 
Deviation 
E (m)]]</f>
        <v>694055.06900000002</v>
      </c>
      <c r="W1567" s="7">
        <v>0.24</v>
      </c>
      <c r="X1567" s="2" t="s">
        <v>51</v>
      </c>
    </row>
    <row r="1568" spans="1:27" hidden="1" x14ac:dyDescent="0.65">
      <c r="A1568">
        <v>1562</v>
      </c>
      <c r="B1568" t="s">
        <v>29</v>
      </c>
      <c r="C1568" s="6">
        <v>1511705.068</v>
      </c>
      <c r="D1568" s="6">
        <v>694037.22199999995</v>
      </c>
      <c r="E1568" s="2" t="s">
        <v>35</v>
      </c>
      <c r="F1568" s="1">
        <v>24</v>
      </c>
      <c r="G1568" s="2" t="s">
        <v>50</v>
      </c>
      <c r="J1568"/>
      <c r="K1568" s="19"/>
      <c r="L1568" s="21"/>
      <c r="M1568" s="27"/>
      <c r="N1568" s="19"/>
      <c r="O1568" s="21"/>
      <c r="Q1568" s="7">
        <f>Table2[[#This Row],[Elevation
PILE TOP]]-Table2[[#This Row],[LENGTH(m.)
(Actual)]]</f>
        <v>0</v>
      </c>
      <c r="R1568" s="2"/>
      <c r="S1568" s="7">
        <f>Table2[[#This Row],[N]]+Table2[[#This Row],[Pile 
Deviation 
N (m)]]</f>
        <v>1511705.068</v>
      </c>
      <c r="T1568" s="7">
        <f>Table2[[#This Row],[E]]+Table2[[#This Row],[Pile 
Deviation 
E (m)]]</f>
        <v>694037.22199999995</v>
      </c>
      <c r="W1568" s="7">
        <v>0.24</v>
      </c>
      <c r="X1568" s="2" t="s">
        <v>51</v>
      </c>
    </row>
    <row r="1569" spans="1:27" ht="13.95" hidden="1" customHeight="1" x14ac:dyDescent="0.65">
      <c r="A1569">
        <v>1563</v>
      </c>
      <c r="B1569" t="s">
        <v>29</v>
      </c>
      <c r="C1569" s="6">
        <v>1511705.034</v>
      </c>
      <c r="D1569" s="6">
        <v>694019.37600000005</v>
      </c>
      <c r="E1569" s="2" t="s">
        <v>35</v>
      </c>
      <c r="F1569" s="1">
        <v>24</v>
      </c>
      <c r="G1569" s="2" t="s">
        <v>50</v>
      </c>
      <c r="J1569"/>
      <c r="K1569" s="19"/>
      <c r="L1569" s="21"/>
      <c r="M1569" s="27"/>
      <c r="N1569" s="19"/>
      <c r="O1569" s="21"/>
      <c r="Q1569" s="7">
        <f>Table2[[#This Row],[Elevation
PILE TOP]]-Table2[[#This Row],[LENGTH(m.)
(Actual)]]</f>
        <v>0</v>
      </c>
      <c r="R1569" s="2"/>
      <c r="S1569" s="7">
        <f>Table2[[#This Row],[N]]+Table2[[#This Row],[Pile 
Deviation 
N (m)]]</f>
        <v>1511705.034</v>
      </c>
      <c r="T1569" s="7">
        <f>Table2[[#This Row],[E]]+Table2[[#This Row],[Pile 
Deviation 
E (m)]]</f>
        <v>694019.37600000005</v>
      </c>
      <c r="W1569" s="7">
        <v>0.24</v>
      </c>
      <c r="X1569" s="2" t="s">
        <v>51</v>
      </c>
    </row>
    <row r="1570" spans="1:27" hidden="1" x14ac:dyDescent="0.65">
      <c r="A1570">
        <v>1564</v>
      </c>
      <c r="B1570" t="s">
        <v>29</v>
      </c>
      <c r="C1570" s="6">
        <v>1511705.0009999999</v>
      </c>
      <c r="D1570" s="6">
        <v>694001.52899999998</v>
      </c>
      <c r="E1570" s="2" t="s">
        <v>35</v>
      </c>
      <c r="F1570" s="1">
        <v>24</v>
      </c>
      <c r="G1570" s="2" t="s">
        <v>50</v>
      </c>
      <c r="J1570"/>
      <c r="K1570" s="19"/>
      <c r="L1570" s="21"/>
      <c r="M1570" s="27"/>
      <c r="N1570" s="19"/>
      <c r="O1570" s="21"/>
      <c r="Q1570" s="7">
        <f>Table2[[#This Row],[Elevation
PILE TOP]]-Table2[[#This Row],[LENGTH(m.)
(Actual)]]</f>
        <v>0</v>
      </c>
      <c r="R1570" s="2"/>
      <c r="S1570" s="7">
        <f>Table2[[#This Row],[N]]+Table2[[#This Row],[Pile 
Deviation 
N (m)]]</f>
        <v>1511705.0009999999</v>
      </c>
      <c r="T1570" s="7">
        <f>Table2[[#This Row],[E]]+Table2[[#This Row],[Pile 
Deviation 
E (m)]]</f>
        <v>694001.52899999998</v>
      </c>
      <c r="W1570" s="7">
        <v>0.24</v>
      </c>
      <c r="X1570" s="2" t="s">
        <v>51</v>
      </c>
    </row>
    <row r="1571" spans="1:27" ht="13.95" hidden="1" customHeight="1" x14ac:dyDescent="0.65">
      <c r="A1571">
        <v>1565</v>
      </c>
      <c r="B1571" t="s">
        <v>29</v>
      </c>
      <c r="C1571" s="6">
        <v>1511704.976</v>
      </c>
      <c r="D1571" s="6">
        <v>693942.098</v>
      </c>
      <c r="E1571" s="2" t="s">
        <v>35</v>
      </c>
      <c r="F1571" s="1">
        <v>24</v>
      </c>
      <c r="G1571" s="2" t="s">
        <v>50</v>
      </c>
      <c r="J1571"/>
      <c r="K1571" s="19"/>
      <c r="L1571" s="21"/>
      <c r="M1571" s="27"/>
      <c r="N1571" s="19"/>
      <c r="O1571" s="21"/>
      <c r="Q1571" s="7">
        <f>Table2[[#This Row],[Elevation
PILE TOP]]-Table2[[#This Row],[LENGTH(m.)
(Actual)]]</f>
        <v>0</v>
      </c>
      <c r="R1571" s="2"/>
      <c r="S1571" s="7">
        <f>Table2[[#This Row],[N]]+Table2[[#This Row],[Pile 
Deviation 
N (m)]]</f>
        <v>1511704.976</v>
      </c>
      <c r="T1571" s="7">
        <f>Table2[[#This Row],[E]]+Table2[[#This Row],[Pile 
Deviation 
E (m)]]</f>
        <v>693942.098</v>
      </c>
      <c r="W1571" s="7">
        <v>0.24</v>
      </c>
      <c r="X1571" s="2" t="s">
        <v>51</v>
      </c>
    </row>
    <row r="1572" spans="1:27" hidden="1" x14ac:dyDescent="0.65">
      <c r="A1572">
        <v>1566</v>
      </c>
      <c r="B1572" t="s">
        <v>29</v>
      </c>
      <c r="C1572" s="6">
        <v>1511704.9669999999</v>
      </c>
      <c r="D1572" s="6">
        <v>693983.68299999996</v>
      </c>
      <c r="E1572" s="2" t="s">
        <v>35</v>
      </c>
      <c r="F1572" s="1">
        <v>24</v>
      </c>
      <c r="G1572" s="2" t="s">
        <v>50</v>
      </c>
      <c r="J1572"/>
      <c r="K1572" s="19"/>
      <c r="L1572" s="21"/>
      <c r="M1572" s="27"/>
      <c r="N1572" s="19"/>
      <c r="O1572" s="21"/>
      <c r="Q1572" s="7">
        <f>Table2[[#This Row],[Elevation
PILE TOP]]-Table2[[#This Row],[LENGTH(m.)
(Actual)]]</f>
        <v>0</v>
      </c>
      <c r="R1572" s="2"/>
      <c r="S1572" s="7">
        <f>Table2[[#This Row],[N]]+Table2[[#This Row],[Pile 
Deviation 
N (m)]]</f>
        <v>1511704.9669999999</v>
      </c>
      <c r="T1572" s="7">
        <f>Table2[[#This Row],[E]]+Table2[[#This Row],[Pile 
Deviation 
E (m)]]</f>
        <v>693983.68299999996</v>
      </c>
      <c r="W1572" s="7">
        <v>0.24</v>
      </c>
      <c r="X1572" s="2" t="s">
        <v>51</v>
      </c>
    </row>
    <row r="1573" spans="1:27" ht="13.95" hidden="1" customHeight="1" x14ac:dyDescent="0.65">
      <c r="A1573">
        <v>1567</v>
      </c>
      <c r="B1573" t="s">
        <v>29</v>
      </c>
      <c r="C1573" s="6">
        <v>1511704.9339999999</v>
      </c>
      <c r="D1573" s="6">
        <v>693965.83600000001</v>
      </c>
      <c r="E1573" s="2" t="s">
        <v>35</v>
      </c>
      <c r="F1573" s="1">
        <v>24</v>
      </c>
      <c r="G1573" s="2" t="s">
        <v>50</v>
      </c>
      <c r="J1573"/>
      <c r="K1573" s="19"/>
      <c r="L1573" s="21"/>
      <c r="M1573" s="27"/>
      <c r="N1573" s="19"/>
      <c r="O1573" s="21"/>
      <c r="Q1573" s="7">
        <f>Table2[[#This Row],[Elevation
PILE TOP]]-Table2[[#This Row],[LENGTH(m.)
(Actual)]]</f>
        <v>0</v>
      </c>
      <c r="R1573" s="2"/>
      <c r="S1573" s="7">
        <f>Table2[[#This Row],[N]]+Table2[[#This Row],[Pile 
Deviation 
N (m)]]</f>
        <v>1511704.9339999999</v>
      </c>
      <c r="T1573" s="7">
        <f>Table2[[#This Row],[E]]+Table2[[#This Row],[Pile 
Deviation 
E (m)]]</f>
        <v>693965.83600000001</v>
      </c>
      <c r="W1573" s="7">
        <v>0.24</v>
      </c>
      <c r="X1573" s="2" t="s">
        <v>51</v>
      </c>
    </row>
    <row r="1574" spans="1:27" x14ac:dyDescent="0.65">
      <c r="A1574">
        <v>1568</v>
      </c>
      <c r="B1574" t="s">
        <v>29</v>
      </c>
      <c r="C1574" s="6">
        <v>1511704.933</v>
      </c>
      <c r="D1574" s="6">
        <v>693937.223</v>
      </c>
      <c r="E1574" s="2" t="s">
        <v>35</v>
      </c>
      <c r="F1574" s="1">
        <v>24</v>
      </c>
      <c r="G1574" s="2" t="s">
        <v>50</v>
      </c>
      <c r="J1574"/>
      <c r="K1574" s="19"/>
      <c r="L1574" s="21"/>
      <c r="M1574" s="27"/>
      <c r="N1574" s="19"/>
      <c r="O1574" s="21"/>
      <c r="Q1574" s="7">
        <f>Table2[[#This Row],[Elevation
PILE TOP]]-Table2[[#This Row],[LENGTH(m.)
(Actual)]]</f>
        <v>0</v>
      </c>
      <c r="R1574" s="2"/>
      <c r="S1574" s="7">
        <f>Table2[[#This Row],[N]]+Table2[[#This Row],[Pile 
Deviation 
N (m)]]</f>
        <v>1511704.933</v>
      </c>
      <c r="T1574" s="7">
        <f>Table2[[#This Row],[E]]+Table2[[#This Row],[Pile 
Deviation 
E (m)]]</f>
        <v>693937.223</v>
      </c>
      <c r="W1574" s="7">
        <v>0.24</v>
      </c>
      <c r="X1574" s="2" t="s">
        <v>51</v>
      </c>
      <c r="AA1574" s="9">
        <v>46203</v>
      </c>
    </row>
    <row r="1575" spans="1:27" ht="13.95" hidden="1" customHeight="1" x14ac:dyDescent="0.65">
      <c r="A1575">
        <v>1569</v>
      </c>
      <c r="B1575" t="s">
        <v>29</v>
      </c>
      <c r="C1575" s="6">
        <v>1511704.919</v>
      </c>
      <c r="D1575" s="6">
        <v>694087.28700000001</v>
      </c>
      <c r="E1575" s="2" t="s">
        <v>35</v>
      </c>
      <c r="F1575" s="1">
        <v>24</v>
      </c>
      <c r="G1575" s="2" t="s">
        <v>50</v>
      </c>
      <c r="J1575"/>
      <c r="K1575" s="19"/>
      <c r="L1575" s="21"/>
      <c r="M1575" s="27"/>
      <c r="N1575" s="19"/>
      <c r="O1575" s="21"/>
      <c r="Q1575" s="7">
        <f>Table2[[#This Row],[Elevation
PILE TOP]]-Table2[[#This Row],[LENGTH(m.)
(Actual)]]</f>
        <v>0</v>
      </c>
      <c r="R1575" s="2"/>
      <c r="S1575" s="7">
        <f>Table2[[#This Row],[N]]+Table2[[#This Row],[Pile 
Deviation 
N (m)]]</f>
        <v>1511704.919</v>
      </c>
      <c r="T1575" s="7">
        <f>Table2[[#This Row],[E]]+Table2[[#This Row],[Pile 
Deviation 
E (m)]]</f>
        <v>694087.28700000001</v>
      </c>
      <c r="W1575" s="7">
        <v>0.24</v>
      </c>
      <c r="X1575" s="2" t="s">
        <v>51</v>
      </c>
    </row>
    <row r="1576" spans="1:27" hidden="1" x14ac:dyDescent="0.65">
      <c r="A1576">
        <v>1570</v>
      </c>
      <c r="B1576" t="s">
        <v>29</v>
      </c>
      <c r="C1576" s="6">
        <v>1511704.9080000001</v>
      </c>
      <c r="D1576" s="6">
        <v>694068.43900000001</v>
      </c>
      <c r="E1576" s="2" t="s">
        <v>35</v>
      </c>
      <c r="F1576" s="1">
        <v>24</v>
      </c>
      <c r="G1576" s="2" t="s">
        <v>50</v>
      </c>
      <c r="J1576"/>
      <c r="K1576" s="19"/>
      <c r="L1576" s="21"/>
      <c r="M1576" s="27"/>
      <c r="N1576" s="19"/>
      <c r="O1576" s="21"/>
      <c r="Q1576" s="7">
        <f>Table2[[#This Row],[Elevation
PILE TOP]]-Table2[[#This Row],[LENGTH(m.)
(Actual)]]</f>
        <v>0</v>
      </c>
      <c r="R1576" s="2"/>
      <c r="S1576" s="7">
        <f>Table2[[#This Row],[N]]+Table2[[#This Row],[Pile 
Deviation 
N (m)]]</f>
        <v>1511704.9080000001</v>
      </c>
      <c r="T1576" s="7">
        <f>Table2[[#This Row],[E]]+Table2[[#This Row],[Pile 
Deviation 
E (m)]]</f>
        <v>694068.43900000001</v>
      </c>
      <c r="W1576" s="7">
        <v>0.24</v>
      </c>
      <c r="X1576" s="2" t="s">
        <v>51</v>
      </c>
    </row>
    <row r="1577" spans="1:27" ht="13.95" hidden="1" customHeight="1" x14ac:dyDescent="0.65">
      <c r="A1577">
        <v>1571</v>
      </c>
      <c r="B1577" t="s">
        <v>29</v>
      </c>
      <c r="C1577" s="6">
        <v>1511704.9010000001</v>
      </c>
      <c r="D1577" s="6">
        <v>693947.99</v>
      </c>
      <c r="E1577" s="2" t="s">
        <v>35</v>
      </c>
      <c r="F1577" s="1">
        <v>24</v>
      </c>
      <c r="G1577" s="2" t="s">
        <v>50</v>
      </c>
      <c r="J1577"/>
      <c r="K1577" s="19"/>
      <c r="L1577" s="21"/>
      <c r="M1577" s="27"/>
      <c r="N1577" s="19"/>
      <c r="O1577" s="21"/>
      <c r="Q1577" s="7">
        <f>Table2[[#This Row],[Elevation
PILE TOP]]-Table2[[#This Row],[LENGTH(m.)
(Actual)]]</f>
        <v>0</v>
      </c>
      <c r="R1577" s="2"/>
      <c r="S1577" s="7">
        <f>Table2[[#This Row],[N]]+Table2[[#This Row],[Pile 
Deviation 
N (m)]]</f>
        <v>1511704.9010000001</v>
      </c>
      <c r="T1577" s="7">
        <f>Table2[[#This Row],[E]]+Table2[[#This Row],[Pile 
Deviation 
E (m)]]</f>
        <v>693947.99</v>
      </c>
      <c r="W1577" s="7">
        <v>0.24</v>
      </c>
      <c r="X1577" s="2" t="s">
        <v>51</v>
      </c>
    </row>
    <row r="1578" spans="1:27" hidden="1" x14ac:dyDescent="0.65">
      <c r="A1578">
        <v>1572</v>
      </c>
      <c r="B1578" t="s">
        <v>29</v>
      </c>
      <c r="C1578" s="6">
        <v>1511704.446</v>
      </c>
      <c r="D1578" s="6">
        <v>693910.05700000003</v>
      </c>
      <c r="E1578" s="2" t="s">
        <v>35</v>
      </c>
      <c r="F1578" s="1">
        <v>24</v>
      </c>
      <c r="G1578" s="2" t="s">
        <v>50</v>
      </c>
      <c r="J1578"/>
      <c r="K1578" s="19"/>
      <c r="L1578" s="21"/>
      <c r="M1578" s="27"/>
      <c r="N1578" s="19"/>
      <c r="O1578" s="21"/>
      <c r="Q1578" s="7">
        <f>Table2[[#This Row],[Elevation
PILE TOP]]-Table2[[#This Row],[LENGTH(m.)
(Actual)]]</f>
        <v>0</v>
      </c>
      <c r="R1578" s="2"/>
      <c r="S1578" s="7">
        <f>Table2[[#This Row],[N]]+Table2[[#This Row],[Pile 
Deviation 
N (m)]]</f>
        <v>1511704.446</v>
      </c>
      <c r="T1578" s="7">
        <f>Table2[[#This Row],[E]]+Table2[[#This Row],[Pile 
Deviation 
E (m)]]</f>
        <v>693910.05700000003</v>
      </c>
      <c r="W1578" s="7">
        <v>0.24</v>
      </c>
      <c r="X1578" s="2" t="s">
        <v>51</v>
      </c>
    </row>
    <row r="1579" spans="1:27" ht="13.95" hidden="1" customHeight="1" x14ac:dyDescent="0.65">
      <c r="A1579">
        <v>1573</v>
      </c>
      <c r="B1579" t="s">
        <v>29</v>
      </c>
      <c r="C1579" s="6">
        <v>1511704.4080000001</v>
      </c>
      <c r="D1579" s="6">
        <v>694051.63800000004</v>
      </c>
      <c r="E1579" s="2" t="s">
        <v>35</v>
      </c>
      <c r="F1579" s="1">
        <v>24</v>
      </c>
      <c r="G1579" s="2" t="s">
        <v>50</v>
      </c>
      <c r="J1579"/>
      <c r="K1579" s="19"/>
      <c r="L1579" s="21"/>
      <c r="M1579" s="27"/>
      <c r="N1579" s="19"/>
      <c r="O1579" s="21"/>
      <c r="Q1579" s="7">
        <f>Table2[[#This Row],[Elevation
PILE TOP]]-Table2[[#This Row],[LENGTH(m.)
(Actual)]]</f>
        <v>0</v>
      </c>
      <c r="R1579" s="2"/>
      <c r="S1579" s="7">
        <f>Table2[[#This Row],[N]]+Table2[[#This Row],[Pile 
Deviation 
N (m)]]</f>
        <v>1511704.4080000001</v>
      </c>
      <c r="T1579" s="7">
        <f>Table2[[#This Row],[E]]+Table2[[#This Row],[Pile 
Deviation 
E (m)]]</f>
        <v>694051.63800000004</v>
      </c>
      <c r="W1579" s="7">
        <v>0.24</v>
      </c>
      <c r="X1579" s="2" t="s">
        <v>51</v>
      </c>
    </row>
    <row r="1580" spans="1:27" hidden="1" x14ac:dyDescent="0.65">
      <c r="A1580">
        <v>1574</v>
      </c>
      <c r="B1580" t="s">
        <v>29</v>
      </c>
      <c r="C1580" s="6">
        <v>1511704.375</v>
      </c>
      <c r="D1580" s="6">
        <v>694033.79200000002</v>
      </c>
      <c r="E1580" s="2" t="s">
        <v>35</v>
      </c>
      <c r="F1580" s="1">
        <v>24</v>
      </c>
      <c r="G1580" s="2" t="s">
        <v>50</v>
      </c>
      <c r="J1580"/>
      <c r="K1580" s="19"/>
      <c r="L1580" s="21"/>
      <c r="M1580" s="27"/>
      <c r="N1580" s="19"/>
      <c r="O1580" s="21"/>
      <c r="Q1580" s="7">
        <f>Table2[[#This Row],[Elevation
PILE TOP]]-Table2[[#This Row],[LENGTH(m.)
(Actual)]]</f>
        <v>0</v>
      </c>
      <c r="R1580" s="2"/>
      <c r="S1580" s="7">
        <f>Table2[[#This Row],[N]]+Table2[[#This Row],[Pile 
Deviation 
N (m)]]</f>
        <v>1511704.375</v>
      </c>
      <c r="T1580" s="7">
        <f>Table2[[#This Row],[E]]+Table2[[#This Row],[Pile 
Deviation 
E (m)]]</f>
        <v>694033.79200000002</v>
      </c>
      <c r="W1580" s="7">
        <v>0.24</v>
      </c>
      <c r="X1580" s="2" t="s">
        <v>51</v>
      </c>
    </row>
    <row r="1581" spans="1:27" ht="13.95" hidden="1" customHeight="1" x14ac:dyDescent="0.65">
      <c r="A1581">
        <v>1575</v>
      </c>
      <c r="B1581" t="s">
        <v>29</v>
      </c>
      <c r="C1581" s="6">
        <v>1511704.341</v>
      </c>
      <c r="D1581" s="6">
        <v>694015.94499999995</v>
      </c>
      <c r="E1581" s="2" t="s">
        <v>35</v>
      </c>
      <c r="F1581" s="1">
        <v>24</v>
      </c>
      <c r="G1581" s="2" t="s">
        <v>50</v>
      </c>
      <c r="J1581"/>
      <c r="K1581" s="19"/>
      <c r="L1581" s="21"/>
      <c r="M1581" s="27"/>
      <c r="N1581" s="19"/>
      <c r="O1581" s="21"/>
      <c r="Q1581" s="7">
        <f>Table2[[#This Row],[Elevation
PILE TOP]]-Table2[[#This Row],[LENGTH(m.)
(Actual)]]</f>
        <v>0</v>
      </c>
      <c r="R1581" s="2"/>
      <c r="S1581" s="7">
        <f>Table2[[#This Row],[N]]+Table2[[#This Row],[Pile 
Deviation 
N (m)]]</f>
        <v>1511704.341</v>
      </c>
      <c r="T1581" s="7">
        <f>Table2[[#This Row],[E]]+Table2[[#This Row],[Pile 
Deviation 
E (m)]]</f>
        <v>694015.94499999995</v>
      </c>
      <c r="W1581" s="7">
        <v>0.24</v>
      </c>
      <c r="X1581" s="2" t="s">
        <v>51</v>
      </c>
    </row>
    <row r="1582" spans="1:27" hidden="1" x14ac:dyDescent="0.65">
      <c r="A1582">
        <v>1576</v>
      </c>
      <c r="B1582" t="s">
        <v>29</v>
      </c>
      <c r="C1582" s="6">
        <v>1511704.308</v>
      </c>
      <c r="D1582" s="6">
        <v>693998.09900000005</v>
      </c>
      <c r="E1582" s="2" t="s">
        <v>35</v>
      </c>
      <c r="F1582" s="1">
        <v>24</v>
      </c>
      <c r="G1582" s="2" t="s">
        <v>50</v>
      </c>
      <c r="J1582"/>
      <c r="K1582" s="19"/>
      <c r="L1582" s="21"/>
      <c r="M1582" s="27"/>
      <c r="N1582" s="19"/>
      <c r="O1582" s="21"/>
      <c r="Q1582" s="7">
        <f>Table2[[#This Row],[Elevation
PILE TOP]]-Table2[[#This Row],[LENGTH(m.)
(Actual)]]</f>
        <v>0</v>
      </c>
      <c r="R1582" s="2"/>
      <c r="S1582" s="7">
        <f>Table2[[#This Row],[N]]+Table2[[#This Row],[Pile 
Deviation 
N (m)]]</f>
        <v>1511704.308</v>
      </c>
      <c r="T1582" s="7">
        <f>Table2[[#This Row],[E]]+Table2[[#This Row],[Pile 
Deviation 
E (m)]]</f>
        <v>693998.09900000005</v>
      </c>
      <c r="W1582" s="7">
        <v>0.24</v>
      </c>
      <c r="X1582" s="2" t="s">
        <v>51</v>
      </c>
    </row>
    <row r="1583" spans="1:27" ht="13.95" hidden="1" customHeight="1" x14ac:dyDescent="0.65">
      <c r="A1583">
        <v>1577</v>
      </c>
      <c r="B1583" t="s">
        <v>29</v>
      </c>
      <c r="C1583" s="6">
        <v>1511704.2749999999</v>
      </c>
      <c r="D1583" s="6">
        <v>693980.25199999998</v>
      </c>
      <c r="E1583" s="2" t="s">
        <v>35</v>
      </c>
      <c r="F1583" s="1">
        <v>24</v>
      </c>
      <c r="G1583" s="2" t="s">
        <v>50</v>
      </c>
      <c r="J1583"/>
      <c r="K1583" s="19"/>
      <c r="L1583" s="21"/>
      <c r="M1583" s="27"/>
      <c r="N1583" s="19"/>
      <c r="O1583" s="21"/>
      <c r="Q1583" s="7">
        <f>Table2[[#This Row],[Elevation
PILE TOP]]-Table2[[#This Row],[LENGTH(m.)
(Actual)]]</f>
        <v>0</v>
      </c>
      <c r="R1583" s="2"/>
      <c r="S1583" s="7">
        <f>Table2[[#This Row],[N]]+Table2[[#This Row],[Pile 
Deviation 
N (m)]]</f>
        <v>1511704.2749999999</v>
      </c>
      <c r="T1583" s="7">
        <f>Table2[[#This Row],[E]]+Table2[[#This Row],[Pile 
Deviation 
E (m)]]</f>
        <v>693980.25199999998</v>
      </c>
      <c r="W1583" s="7">
        <v>0.24</v>
      </c>
      <c r="X1583" s="2" t="s">
        <v>51</v>
      </c>
    </row>
    <row r="1584" spans="1:27" hidden="1" x14ac:dyDescent="0.65">
      <c r="A1584">
        <v>1578</v>
      </c>
      <c r="B1584" t="s">
        <v>29</v>
      </c>
      <c r="C1584" s="6">
        <v>1511704.254</v>
      </c>
      <c r="D1584" s="6">
        <v>694060.64</v>
      </c>
      <c r="E1584" s="2" t="s">
        <v>35</v>
      </c>
      <c r="F1584" s="1">
        <v>24</v>
      </c>
      <c r="G1584" s="2" t="s">
        <v>50</v>
      </c>
      <c r="J1584"/>
      <c r="K1584" s="19"/>
      <c r="L1584" s="21"/>
      <c r="M1584" s="27"/>
      <c r="N1584" s="19"/>
      <c r="O1584" s="21"/>
      <c r="Q1584" s="7">
        <f>Table2[[#This Row],[Elevation
PILE TOP]]-Table2[[#This Row],[LENGTH(m.)
(Actual)]]</f>
        <v>0</v>
      </c>
      <c r="R1584" s="2"/>
      <c r="S1584" s="7">
        <f>Table2[[#This Row],[N]]+Table2[[#This Row],[Pile 
Deviation 
N (m)]]</f>
        <v>1511704.254</v>
      </c>
      <c r="T1584" s="7">
        <f>Table2[[#This Row],[E]]+Table2[[#This Row],[Pile 
Deviation 
E (m)]]</f>
        <v>694060.64</v>
      </c>
      <c r="W1584" s="7">
        <v>0.24</v>
      </c>
      <c r="X1584" s="2" t="s">
        <v>51</v>
      </c>
    </row>
    <row r="1585" spans="1:27" ht="13.95" hidden="1" customHeight="1" x14ac:dyDescent="0.65">
      <c r="A1585">
        <v>1579</v>
      </c>
      <c r="B1585" t="s">
        <v>29</v>
      </c>
      <c r="C1585" s="6">
        <v>1511704.2409999999</v>
      </c>
      <c r="D1585" s="6">
        <v>693962.40500000003</v>
      </c>
      <c r="E1585" s="2" t="s">
        <v>35</v>
      </c>
      <c r="F1585" s="1">
        <v>24</v>
      </c>
      <c r="G1585" s="2" t="s">
        <v>50</v>
      </c>
      <c r="J1585"/>
      <c r="K1585" s="19"/>
      <c r="L1585" s="21"/>
      <c r="M1585" s="27"/>
      <c r="N1585" s="19"/>
      <c r="O1585" s="21"/>
      <c r="Q1585" s="7">
        <f>Table2[[#This Row],[Elevation
PILE TOP]]-Table2[[#This Row],[LENGTH(m.)
(Actual)]]</f>
        <v>0</v>
      </c>
      <c r="R1585" s="2"/>
      <c r="S1585" s="7">
        <f>Table2[[#This Row],[N]]+Table2[[#This Row],[Pile 
Deviation 
N (m)]]</f>
        <v>1511704.2409999999</v>
      </c>
      <c r="T1585" s="7">
        <f>Table2[[#This Row],[E]]+Table2[[#This Row],[Pile 
Deviation 
E (m)]]</f>
        <v>693962.40500000003</v>
      </c>
      <c r="W1585" s="7">
        <v>0.24</v>
      </c>
      <c r="X1585" s="2" t="s">
        <v>51</v>
      </c>
    </row>
    <row r="1586" spans="1:27" hidden="1" x14ac:dyDescent="0.65">
      <c r="A1586">
        <v>1580</v>
      </c>
      <c r="B1586" t="s">
        <v>29</v>
      </c>
      <c r="C1586" s="6">
        <v>1511704.2080000001</v>
      </c>
      <c r="D1586" s="6">
        <v>693944.55900000001</v>
      </c>
      <c r="E1586" s="2" t="s">
        <v>35</v>
      </c>
      <c r="F1586" s="1">
        <v>24</v>
      </c>
      <c r="G1586" s="2" t="s">
        <v>50</v>
      </c>
      <c r="J1586"/>
      <c r="K1586" s="19"/>
      <c r="L1586" s="21"/>
      <c r="M1586" s="27"/>
      <c r="N1586" s="19"/>
      <c r="O1586" s="21"/>
      <c r="Q1586" s="7">
        <f>Table2[[#This Row],[Elevation
PILE TOP]]-Table2[[#This Row],[LENGTH(m.)
(Actual)]]</f>
        <v>0</v>
      </c>
      <c r="R1586" s="2"/>
      <c r="S1586" s="7">
        <f>Table2[[#This Row],[N]]+Table2[[#This Row],[Pile 
Deviation 
N (m)]]</f>
        <v>1511704.2080000001</v>
      </c>
      <c r="T1586" s="7">
        <f>Table2[[#This Row],[E]]+Table2[[#This Row],[Pile 
Deviation 
E (m)]]</f>
        <v>693944.55900000001</v>
      </c>
      <c r="W1586" s="7">
        <v>0.24</v>
      </c>
      <c r="X1586" s="2" t="s">
        <v>51</v>
      </c>
    </row>
    <row r="1587" spans="1:27" ht="13.95" hidden="1" customHeight="1" x14ac:dyDescent="0.65">
      <c r="A1587">
        <v>1581</v>
      </c>
      <c r="B1587" t="s">
        <v>29</v>
      </c>
      <c r="C1587" s="6">
        <v>1511703.895</v>
      </c>
      <c r="D1587" s="6">
        <v>694083.10900000005</v>
      </c>
      <c r="E1587" s="2" t="s">
        <v>35</v>
      </c>
      <c r="F1587" s="1">
        <v>24</v>
      </c>
      <c r="G1587" s="2" t="s">
        <v>50</v>
      </c>
      <c r="J1587"/>
      <c r="K1587" s="19"/>
      <c r="L1587" s="21"/>
      <c r="M1587" s="27"/>
      <c r="N1587" s="19"/>
      <c r="O1587" s="21"/>
      <c r="Q1587" s="7">
        <f>Table2[[#This Row],[Elevation
PILE TOP]]-Table2[[#This Row],[LENGTH(m.)
(Actual)]]</f>
        <v>0</v>
      </c>
      <c r="R1587" s="2"/>
      <c r="S1587" s="7">
        <f>Table2[[#This Row],[N]]+Table2[[#This Row],[Pile 
Deviation 
N (m)]]</f>
        <v>1511703.895</v>
      </c>
      <c r="T1587" s="7">
        <f>Table2[[#This Row],[E]]+Table2[[#This Row],[Pile 
Deviation 
E (m)]]</f>
        <v>694083.10900000005</v>
      </c>
      <c r="W1587" s="7">
        <v>0.24</v>
      </c>
      <c r="X1587" s="2" t="s">
        <v>51</v>
      </c>
    </row>
    <row r="1588" spans="1:27" hidden="1" x14ac:dyDescent="0.65">
      <c r="A1588">
        <v>1582</v>
      </c>
      <c r="B1588" t="s">
        <v>29</v>
      </c>
      <c r="C1588" s="6">
        <v>1511703.716</v>
      </c>
      <c r="D1588" s="6">
        <v>694048.20700000005</v>
      </c>
      <c r="E1588" s="2" t="s">
        <v>35</v>
      </c>
      <c r="F1588" s="1">
        <v>24</v>
      </c>
      <c r="G1588" s="2" t="s">
        <v>50</v>
      </c>
      <c r="J1588"/>
      <c r="K1588" s="19"/>
      <c r="L1588" s="21"/>
      <c r="M1588" s="27"/>
      <c r="N1588" s="19"/>
      <c r="O1588" s="21"/>
      <c r="Q1588" s="7">
        <f>Table2[[#This Row],[Elevation
PILE TOP]]-Table2[[#This Row],[LENGTH(m.)
(Actual)]]</f>
        <v>0</v>
      </c>
      <c r="R1588" s="2"/>
      <c r="S1588" s="7">
        <f>Table2[[#This Row],[N]]+Table2[[#This Row],[Pile 
Deviation 
N (m)]]</f>
        <v>1511703.716</v>
      </c>
      <c r="T1588" s="7">
        <f>Table2[[#This Row],[E]]+Table2[[#This Row],[Pile 
Deviation 
E (m)]]</f>
        <v>694048.20700000005</v>
      </c>
      <c r="W1588" s="7">
        <v>0.24</v>
      </c>
      <c r="X1588" s="2" t="s">
        <v>51</v>
      </c>
    </row>
    <row r="1589" spans="1:27" ht="13.95" customHeight="1" x14ac:dyDescent="0.65">
      <c r="A1589">
        <v>1583</v>
      </c>
      <c r="B1589" t="s">
        <v>29</v>
      </c>
      <c r="C1589" s="6">
        <v>1511703.706</v>
      </c>
      <c r="D1589" s="6">
        <v>693940.5</v>
      </c>
      <c r="E1589" s="2" t="s">
        <v>35</v>
      </c>
      <c r="F1589" s="1">
        <v>24</v>
      </c>
      <c r="G1589" s="2" t="s">
        <v>50</v>
      </c>
      <c r="J1589"/>
      <c r="K1589" s="19"/>
      <c r="L1589" s="21"/>
      <c r="M1589" s="27"/>
      <c r="N1589" s="19"/>
      <c r="O1589" s="21"/>
      <c r="Q1589" s="7">
        <f>Table2[[#This Row],[Elevation
PILE TOP]]-Table2[[#This Row],[LENGTH(m.)
(Actual)]]</f>
        <v>0</v>
      </c>
      <c r="R1589" s="2"/>
      <c r="S1589" s="7">
        <f>Table2[[#This Row],[N]]+Table2[[#This Row],[Pile 
Deviation 
N (m)]]</f>
        <v>1511703.706</v>
      </c>
      <c r="T1589" s="7">
        <f>Table2[[#This Row],[E]]+Table2[[#This Row],[Pile 
Deviation 
E (m)]]</f>
        <v>693940.5</v>
      </c>
      <c r="W1589" s="7">
        <v>0.24</v>
      </c>
      <c r="X1589" s="2" t="s">
        <v>51</v>
      </c>
      <c r="AA1589" s="9">
        <v>46202</v>
      </c>
    </row>
    <row r="1590" spans="1:27" hidden="1" x14ac:dyDescent="0.65">
      <c r="A1590">
        <v>1584</v>
      </c>
      <c r="B1590" t="s">
        <v>29</v>
      </c>
      <c r="C1590" s="6">
        <v>1511703.682</v>
      </c>
      <c r="D1590" s="6">
        <v>694030.36100000003</v>
      </c>
      <c r="E1590" s="2" t="s">
        <v>35</v>
      </c>
      <c r="F1590" s="1">
        <v>24</v>
      </c>
      <c r="G1590" s="2" t="s">
        <v>50</v>
      </c>
      <c r="J1590"/>
      <c r="K1590" s="19"/>
      <c r="L1590" s="21"/>
      <c r="M1590" s="27"/>
      <c r="N1590" s="19"/>
      <c r="O1590" s="21"/>
      <c r="Q1590" s="7">
        <f>Table2[[#This Row],[Elevation
PILE TOP]]-Table2[[#This Row],[LENGTH(m.)
(Actual)]]</f>
        <v>0</v>
      </c>
      <c r="R1590" s="2"/>
      <c r="S1590" s="7">
        <f>Table2[[#This Row],[N]]+Table2[[#This Row],[Pile 
Deviation 
N (m)]]</f>
        <v>1511703.682</v>
      </c>
      <c r="T1590" s="7">
        <f>Table2[[#This Row],[E]]+Table2[[#This Row],[Pile 
Deviation 
E (m)]]</f>
        <v>694030.36100000003</v>
      </c>
      <c r="W1590" s="7">
        <v>0.24</v>
      </c>
      <c r="X1590" s="2" t="s">
        <v>51</v>
      </c>
    </row>
    <row r="1591" spans="1:27" ht="13.95" hidden="1" customHeight="1" x14ac:dyDescent="0.65">
      <c r="A1591">
        <v>1585</v>
      </c>
      <c r="B1591" t="s">
        <v>29</v>
      </c>
      <c r="C1591" s="6">
        <v>1511703.649</v>
      </c>
      <c r="D1591" s="6">
        <v>694012.51399999997</v>
      </c>
      <c r="E1591" s="2" t="s">
        <v>35</v>
      </c>
      <c r="F1591" s="1">
        <v>24</v>
      </c>
      <c r="G1591" s="2" t="s">
        <v>50</v>
      </c>
      <c r="J1591"/>
      <c r="K1591" s="19"/>
      <c r="L1591" s="21"/>
      <c r="M1591" s="27"/>
      <c r="N1591" s="19"/>
      <c r="O1591" s="21"/>
      <c r="Q1591" s="7">
        <f>Table2[[#This Row],[Elevation
PILE TOP]]-Table2[[#This Row],[LENGTH(m.)
(Actual)]]</f>
        <v>0</v>
      </c>
      <c r="R1591" s="2"/>
      <c r="S1591" s="7">
        <f>Table2[[#This Row],[N]]+Table2[[#This Row],[Pile 
Deviation 
N (m)]]</f>
        <v>1511703.649</v>
      </c>
      <c r="T1591" s="7">
        <f>Table2[[#This Row],[E]]+Table2[[#This Row],[Pile 
Deviation 
E (m)]]</f>
        <v>694012.51399999997</v>
      </c>
      <c r="W1591" s="7">
        <v>0.24</v>
      </c>
      <c r="X1591" s="2" t="s">
        <v>51</v>
      </c>
    </row>
    <row r="1592" spans="1:27" hidden="1" x14ac:dyDescent="0.65">
      <c r="A1592">
        <v>1586</v>
      </c>
      <c r="B1592" t="s">
        <v>29</v>
      </c>
      <c r="C1592" s="6">
        <v>1511703.62</v>
      </c>
      <c r="D1592" s="6">
        <v>694090.53700000001</v>
      </c>
      <c r="E1592" s="2" t="s">
        <v>35</v>
      </c>
      <c r="F1592" s="1">
        <v>24</v>
      </c>
      <c r="G1592" s="2" t="s">
        <v>50</v>
      </c>
      <c r="J1592"/>
      <c r="K1592" s="19"/>
      <c r="L1592" s="21"/>
      <c r="M1592" s="27"/>
      <c r="N1592" s="19"/>
      <c r="O1592" s="21"/>
      <c r="Q1592" s="7">
        <f>Table2[[#This Row],[Elevation
PILE TOP]]-Table2[[#This Row],[LENGTH(m.)
(Actual)]]</f>
        <v>0</v>
      </c>
      <c r="R1592" s="2"/>
      <c r="S1592" s="7">
        <f>Table2[[#This Row],[N]]+Table2[[#This Row],[Pile 
Deviation 
N (m)]]</f>
        <v>1511703.62</v>
      </c>
      <c r="T1592" s="7">
        <f>Table2[[#This Row],[E]]+Table2[[#This Row],[Pile 
Deviation 
E (m)]]</f>
        <v>694090.53700000001</v>
      </c>
      <c r="W1592" s="7">
        <v>0.24</v>
      </c>
      <c r="X1592" s="2" t="s">
        <v>51</v>
      </c>
    </row>
    <row r="1593" spans="1:27" ht="13.95" hidden="1" customHeight="1" x14ac:dyDescent="0.65">
      <c r="A1593">
        <v>1587</v>
      </c>
      <c r="B1593" t="s">
        <v>29</v>
      </c>
      <c r="C1593" s="6">
        <v>1511703.615</v>
      </c>
      <c r="D1593" s="6">
        <v>693994.66799999995</v>
      </c>
      <c r="E1593" s="2" t="s">
        <v>35</v>
      </c>
      <c r="F1593" s="1">
        <v>24</v>
      </c>
      <c r="G1593" s="2" t="s">
        <v>50</v>
      </c>
      <c r="J1593"/>
      <c r="K1593" s="19"/>
      <c r="L1593" s="21"/>
      <c r="M1593" s="27"/>
      <c r="N1593" s="19"/>
      <c r="O1593" s="21"/>
      <c r="Q1593" s="7">
        <f>Table2[[#This Row],[Elevation
PILE TOP]]-Table2[[#This Row],[LENGTH(m.)
(Actual)]]</f>
        <v>0</v>
      </c>
      <c r="R1593" s="2"/>
      <c r="S1593" s="7">
        <f>Table2[[#This Row],[N]]+Table2[[#This Row],[Pile 
Deviation 
N (m)]]</f>
        <v>1511703.615</v>
      </c>
      <c r="T1593" s="7">
        <f>Table2[[#This Row],[E]]+Table2[[#This Row],[Pile 
Deviation 
E (m)]]</f>
        <v>693994.66799999995</v>
      </c>
      <c r="W1593" s="7">
        <v>0.24</v>
      </c>
      <c r="X1593" s="2" t="s">
        <v>51</v>
      </c>
    </row>
    <row r="1594" spans="1:27" hidden="1" x14ac:dyDescent="0.65">
      <c r="A1594">
        <v>1588</v>
      </c>
      <c r="B1594" t="s">
        <v>29</v>
      </c>
      <c r="C1594" s="6">
        <v>1511703.61</v>
      </c>
      <c r="D1594" s="6">
        <v>694071.68900000001</v>
      </c>
      <c r="E1594" s="2" t="s">
        <v>35</v>
      </c>
      <c r="F1594" s="1">
        <v>24</v>
      </c>
      <c r="G1594" s="2" t="s">
        <v>50</v>
      </c>
      <c r="J1594"/>
      <c r="K1594" s="19"/>
      <c r="L1594" s="21"/>
      <c r="M1594" s="27"/>
      <c r="N1594" s="19"/>
      <c r="O1594" s="21"/>
      <c r="Q1594" s="7">
        <f>Table2[[#This Row],[Elevation
PILE TOP]]-Table2[[#This Row],[LENGTH(m.)
(Actual)]]</f>
        <v>0</v>
      </c>
      <c r="R1594" s="2"/>
      <c r="S1594" s="7">
        <f>Table2[[#This Row],[N]]+Table2[[#This Row],[Pile 
Deviation 
N (m)]]</f>
        <v>1511703.61</v>
      </c>
      <c r="T1594" s="7">
        <f>Table2[[#This Row],[E]]+Table2[[#This Row],[Pile 
Deviation 
E (m)]]</f>
        <v>694071.68900000001</v>
      </c>
      <c r="W1594" s="7">
        <v>0.24</v>
      </c>
      <c r="X1594" s="2" t="s">
        <v>51</v>
      </c>
    </row>
    <row r="1595" spans="1:27" ht="13.95" hidden="1" customHeight="1" x14ac:dyDescent="0.65">
      <c r="A1595">
        <v>1589</v>
      </c>
      <c r="B1595" t="s">
        <v>29</v>
      </c>
      <c r="C1595" s="6">
        <v>1511703.6</v>
      </c>
      <c r="D1595" s="6">
        <v>694052.84100000001</v>
      </c>
      <c r="E1595" s="2" t="s">
        <v>35</v>
      </c>
      <c r="F1595" s="1">
        <v>24</v>
      </c>
      <c r="G1595" s="2" t="s">
        <v>50</v>
      </c>
      <c r="J1595"/>
      <c r="K1595" s="19"/>
      <c r="L1595" s="21"/>
      <c r="M1595" s="27"/>
      <c r="N1595" s="19"/>
      <c r="O1595" s="21"/>
      <c r="Q1595" s="7">
        <f>Table2[[#This Row],[Elevation
PILE TOP]]-Table2[[#This Row],[LENGTH(m.)
(Actual)]]</f>
        <v>0</v>
      </c>
      <c r="R1595" s="2"/>
      <c r="S1595" s="7">
        <f>Table2[[#This Row],[N]]+Table2[[#This Row],[Pile 
Deviation 
N (m)]]</f>
        <v>1511703.6</v>
      </c>
      <c r="T1595" s="7">
        <f>Table2[[#This Row],[E]]+Table2[[#This Row],[Pile 
Deviation 
E (m)]]</f>
        <v>694052.84100000001</v>
      </c>
      <c r="W1595" s="7">
        <v>0.24</v>
      </c>
      <c r="X1595" s="2" t="s">
        <v>51</v>
      </c>
    </row>
    <row r="1596" spans="1:27" hidden="1" x14ac:dyDescent="0.65">
      <c r="A1596">
        <v>1590</v>
      </c>
      <c r="B1596" t="s">
        <v>29</v>
      </c>
      <c r="C1596" s="6">
        <v>1511703.5819999999</v>
      </c>
      <c r="D1596" s="6">
        <v>693976.821</v>
      </c>
      <c r="E1596" s="2" t="s">
        <v>35</v>
      </c>
      <c r="F1596" s="1">
        <v>24</v>
      </c>
      <c r="G1596" s="2" t="s">
        <v>50</v>
      </c>
      <c r="J1596"/>
      <c r="K1596" s="19"/>
      <c r="L1596" s="21"/>
      <c r="M1596" s="27"/>
      <c r="N1596" s="19"/>
      <c r="O1596" s="21"/>
      <c r="Q1596" s="7">
        <f>Table2[[#This Row],[Elevation
PILE TOP]]-Table2[[#This Row],[LENGTH(m.)
(Actual)]]</f>
        <v>0</v>
      </c>
      <c r="R1596" s="2"/>
      <c r="S1596" s="7">
        <f>Table2[[#This Row],[N]]+Table2[[#This Row],[Pile 
Deviation 
N (m)]]</f>
        <v>1511703.5819999999</v>
      </c>
      <c r="T1596" s="7">
        <f>Table2[[#This Row],[E]]+Table2[[#This Row],[Pile 
Deviation 
E (m)]]</f>
        <v>693976.821</v>
      </c>
      <c r="W1596" s="7">
        <v>0.24</v>
      </c>
      <c r="X1596" s="2" t="s">
        <v>51</v>
      </c>
    </row>
    <row r="1597" spans="1:27" ht="13.95" hidden="1" customHeight="1" x14ac:dyDescent="0.65">
      <c r="A1597">
        <v>1591</v>
      </c>
      <c r="B1597" t="s">
        <v>29</v>
      </c>
      <c r="C1597" s="6">
        <v>1511703.557</v>
      </c>
      <c r="D1597" s="6">
        <v>693913.44200000004</v>
      </c>
      <c r="E1597" s="2" t="s">
        <v>35</v>
      </c>
      <c r="F1597" s="1">
        <v>24</v>
      </c>
      <c r="G1597" s="2" t="s">
        <v>50</v>
      </c>
      <c r="J1597"/>
      <c r="K1597" s="19"/>
      <c r="L1597" s="21"/>
      <c r="M1597" s="27"/>
      <c r="N1597" s="19"/>
      <c r="O1597" s="21"/>
      <c r="Q1597" s="7">
        <f>Table2[[#This Row],[Elevation
PILE TOP]]-Table2[[#This Row],[LENGTH(m.)
(Actual)]]</f>
        <v>0</v>
      </c>
      <c r="R1597" s="2"/>
      <c r="S1597" s="7">
        <f>Table2[[#This Row],[N]]+Table2[[#This Row],[Pile 
Deviation 
N (m)]]</f>
        <v>1511703.557</v>
      </c>
      <c r="T1597" s="7">
        <f>Table2[[#This Row],[E]]+Table2[[#This Row],[Pile 
Deviation 
E (m)]]</f>
        <v>693913.44200000004</v>
      </c>
      <c r="W1597" s="7">
        <v>0.24</v>
      </c>
      <c r="X1597" s="2" t="s">
        <v>51</v>
      </c>
    </row>
    <row r="1598" spans="1:27" hidden="1" x14ac:dyDescent="0.65">
      <c r="A1598">
        <v>1592</v>
      </c>
      <c r="B1598" t="s">
        <v>29</v>
      </c>
      <c r="C1598" s="6">
        <v>1511703.548</v>
      </c>
      <c r="D1598" s="6">
        <v>693958.97499999998</v>
      </c>
      <c r="E1598" s="2" t="s">
        <v>35</v>
      </c>
      <c r="F1598" s="1">
        <v>24</v>
      </c>
      <c r="G1598" s="2" t="s">
        <v>50</v>
      </c>
      <c r="J1598"/>
      <c r="K1598" s="19"/>
      <c r="L1598" s="21"/>
      <c r="M1598" s="27"/>
      <c r="N1598" s="19"/>
      <c r="O1598" s="21"/>
      <c r="Q1598" s="7">
        <f>Table2[[#This Row],[Elevation
PILE TOP]]-Table2[[#This Row],[LENGTH(m.)
(Actual)]]</f>
        <v>0</v>
      </c>
      <c r="R1598" s="2"/>
      <c r="S1598" s="7">
        <f>Table2[[#This Row],[N]]+Table2[[#This Row],[Pile 
Deviation 
N (m)]]</f>
        <v>1511703.548</v>
      </c>
      <c r="T1598" s="7">
        <f>Table2[[#This Row],[E]]+Table2[[#This Row],[Pile 
Deviation 
E (m)]]</f>
        <v>693958.97499999998</v>
      </c>
      <c r="W1598" s="7">
        <v>0.24</v>
      </c>
      <c r="X1598" s="2" t="s">
        <v>51</v>
      </c>
    </row>
    <row r="1599" spans="1:27" ht="13.95" hidden="1" customHeight="1" x14ac:dyDescent="0.65">
      <c r="A1599">
        <v>1593</v>
      </c>
      <c r="B1599" t="s">
        <v>29</v>
      </c>
      <c r="C1599" s="6">
        <v>1511703.023</v>
      </c>
      <c r="D1599" s="6">
        <v>694044.777</v>
      </c>
      <c r="E1599" s="2" t="s">
        <v>35</v>
      </c>
      <c r="F1599" s="1">
        <v>24</v>
      </c>
      <c r="G1599" s="2" t="s">
        <v>50</v>
      </c>
      <c r="J1599"/>
      <c r="K1599" s="19"/>
      <c r="L1599" s="21"/>
      <c r="M1599" s="27"/>
      <c r="N1599" s="19"/>
      <c r="O1599" s="21"/>
      <c r="Q1599" s="7">
        <f>Table2[[#This Row],[Elevation
PILE TOP]]-Table2[[#This Row],[LENGTH(m.)
(Actual)]]</f>
        <v>0</v>
      </c>
      <c r="R1599" s="2"/>
      <c r="S1599" s="7">
        <f>Table2[[#This Row],[N]]+Table2[[#This Row],[Pile 
Deviation 
N (m)]]</f>
        <v>1511703.023</v>
      </c>
      <c r="T1599" s="7">
        <f>Table2[[#This Row],[E]]+Table2[[#This Row],[Pile 
Deviation 
E (m)]]</f>
        <v>694044.777</v>
      </c>
      <c r="W1599" s="7">
        <v>0.24</v>
      </c>
      <c r="X1599" s="2" t="s">
        <v>51</v>
      </c>
    </row>
    <row r="1600" spans="1:27" hidden="1" x14ac:dyDescent="0.65">
      <c r="A1600">
        <v>1594</v>
      </c>
      <c r="B1600" t="s">
        <v>29</v>
      </c>
      <c r="C1600" s="6">
        <v>1511702.9890000001</v>
      </c>
      <c r="D1600" s="6">
        <v>694026.93</v>
      </c>
      <c r="E1600" s="2" t="s">
        <v>35</v>
      </c>
      <c r="F1600" s="1">
        <v>24</v>
      </c>
      <c r="G1600" s="2" t="s">
        <v>50</v>
      </c>
      <c r="J1600"/>
      <c r="K1600" s="19"/>
      <c r="L1600" s="21"/>
      <c r="M1600" s="27"/>
      <c r="N1600" s="19"/>
      <c r="O1600" s="21"/>
      <c r="Q1600" s="7">
        <f>Table2[[#This Row],[Elevation
PILE TOP]]-Table2[[#This Row],[LENGTH(m.)
(Actual)]]</f>
        <v>0</v>
      </c>
      <c r="R1600" s="2"/>
      <c r="S1600" s="7">
        <f>Table2[[#This Row],[N]]+Table2[[#This Row],[Pile 
Deviation 
N (m)]]</f>
        <v>1511702.9890000001</v>
      </c>
      <c r="T1600" s="7">
        <f>Table2[[#This Row],[E]]+Table2[[#This Row],[Pile 
Deviation 
E (m)]]</f>
        <v>694026.93</v>
      </c>
      <c r="W1600" s="7">
        <v>0.24</v>
      </c>
      <c r="X1600" s="2" t="s">
        <v>51</v>
      </c>
    </row>
    <row r="1601" spans="1:27" ht="13.95" hidden="1" customHeight="1" x14ac:dyDescent="0.65">
      <c r="A1601">
        <v>1595</v>
      </c>
      <c r="B1601" t="s">
        <v>29</v>
      </c>
      <c r="C1601" s="6">
        <v>1511702.956</v>
      </c>
      <c r="D1601" s="6">
        <v>694063.89</v>
      </c>
      <c r="E1601" s="2" t="s">
        <v>35</v>
      </c>
      <c r="F1601" s="1">
        <v>24</v>
      </c>
      <c r="G1601" s="2" t="s">
        <v>50</v>
      </c>
      <c r="J1601"/>
      <c r="K1601" s="19"/>
      <c r="L1601" s="21"/>
      <c r="M1601" s="27"/>
      <c r="N1601" s="19"/>
      <c r="O1601" s="21"/>
      <c r="Q1601" s="7">
        <f>Table2[[#This Row],[Elevation
PILE TOP]]-Table2[[#This Row],[LENGTH(m.)
(Actual)]]</f>
        <v>0</v>
      </c>
      <c r="R1601" s="2"/>
      <c r="S1601" s="7">
        <f>Table2[[#This Row],[N]]+Table2[[#This Row],[Pile 
Deviation 
N (m)]]</f>
        <v>1511702.956</v>
      </c>
      <c r="T1601" s="7">
        <f>Table2[[#This Row],[E]]+Table2[[#This Row],[Pile 
Deviation 
E (m)]]</f>
        <v>694063.89</v>
      </c>
      <c r="W1601" s="7">
        <v>0.24</v>
      </c>
      <c r="X1601" s="2" t="s">
        <v>51</v>
      </c>
    </row>
    <row r="1602" spans="1:27" hidden="1" x14ac:dyDescent="0.65">
      <c r="A1602">
        <v>1596</v>
      </c>
      <c r="B1602" t="s">
        <v>29</v>
      </c>
      <c r="C1602" s="6">
        <v>1511702.956</v>
      </c>
      <c r="D1602" s="6">
        <v>694009.08400000003</v>
      </c>
      <c r="E1602" s="2" t="s">
        <v>35</v>
      </c>
      <c r="F1602" s="1">
        <v>24</v>
      </c>
      <c r="G1602" s="2" t="s">
        <v>50</v>
      </c>
      <c r="J1602"/>
      <c r="K1602" s="19"/>
      <c r="L1602" s="21"/>
      <c r="M1602" s="27"/>
      <c r="N1602" s="19"/>
      <c r="O1602" s="21"/>
      <c r="Q1602" s="7">
        <f>Table2[[#This Row],[Elevation
PILE TOP]]-Table2[[#This Row],[LENGTH(m.)
(Actual)]]</f>
        <v>0</v>
      </c>
      <c r="R1602" s="2"/>
      <c r="S1602" s="7">
        <f>Table2[[#This Row],[N]]+Table2[[#This Row],[Pile 
Deviation 
N (m)]]</f>
        <v>1511702.956</v>
      </c>
      <c r="T1602" s="7">
        <f>Table2[[#This Row],[E]]+Table2[[#This Row],[Pile 
Deviation 
E (m)]]</f>
        <v>694009.08400000003</v>
      </c>
      <c r="W1602" s="7">
        <v>0.24</v>
      </c>
      <c r="X1602" s="2" t="s">
        <v>51</v>
      </c>
    </row>
    <row r="1603" spans="1:27" ht="13.95" hidden="1" customHeight="1" x14ac:dyDescent="0.65">
      <c r="A1603">
        <v>1597</v>
      </c>
      <c r="B1603" t="s">
        <v>29</v>
      </c>
      <c r="C1603" s="6">
        <v>1511702.922</v>
      </c>
      <c r="D1603" s="6">
        <v>693991.23699999996</v>
      </c>
      <c r="E1603" s="2" t="s">
        <v>35</v>
      </c>
      <c r="F1603" s="1">
        <v>24</v>
      </c>
      <c r="G1603" s="2" t="s">
        <v>50</v>
      </c>
      <c r="J1603"/>
      <c r="K1603" s="19"/>
      <c r="L1603" s="21"/>
      <c r="M1603" s="27"/>
      <c r="N1603" s="19"/>
      <c r="O1603" s="21"/>
      <c r="Q1603" s="7">
        <f>Table2[[#This Row],[Elevation
PILE TOP]]-Table2[[#This Row],[LENGTH(m.)
(Actual)]]</f>
        <v>0</v>
      </c>
      <c r="R1603" s="2"/>
      <c r="S1603" s="7">
        <f>Table2[[#This Row],[N]]+Table2[[#This Row],[Pile 
Deviation 
N (m)]]</f>
        <v>1511702.922</v>
      </c>
      <c r="T1603" s="7">
        <f>Table2[[#This Row],[E]]+Table2[[#This Row],[Pile 
Deviation 
E (m)]]</f>
        <v>693991.23699999996</v>
      </c>
      <c r="W1603" s="7">
        <v>0.24</v>
      </c>
      <c r="X1603" s="2" t="s">
        <v>51</v>
      </c>
    </row>
    <row r="1604" spans="1:27" hidden="1" x14ac:dyDescent="0.65">
      <c r="A1604">
        <v>1598</v>
      </c>
      <c r="B1604" t="s">
        <v>29</v>
      </c>
      <c r="C1604" s="6">
        <v>1511702.889</v>
      </c>
      <c r="D1604" s="6">
        <v>693973.39099999995</v>
      </c>
      <c r="E1604" s="2" t="s">
        <v>35</v>
      </c>
      <c r="F1604" s="1">
        <v>24</v>
      </c>
      <c r="G1604" s="2" t="s">
        <v>50</v>
      </c>
      <c r="J1604"/>
      <c r="K1604" s="19"/>
      <c r="L1604" s="21"/>
      <c r="M1604" s="27"/>
      <c r="N1604" s="19"/>
      <c r="O1604" s="21"/>
      <c r="Q1604" s="7">
        <f>Table2[[#This Row],[Elevation
PILE TOP]]-Table2[[#This Row],[LENGTH(m.)
(Actual)]]</f>
        <v>0</v>
      </c>
      <c r="R1604" s="2"/>
      <c r="S1604" s="7">
        <f>Table2[[#This Row],[N]]+Table2[[#This Row],[Pile 
Deviation 
N (m)]]</f>
        <v>1511702.889</v>
      </c>
      <c r="T1604" s="7">
        <f>Table2[[#This Row],[E]]+Table2[[#This Row],[Pile 
Deviation 
E (m)]]</f>
        <v>693973.39099999995</v>
      </c>
      <c r="W1604" s="7">
        <v>0.24</v>
      </c>
      <c r="X1604" s="2" t="s">
        <v>51</v>
      </c>
    </row>
    <row r="1605" spans="1:27" ht="13.95" hidden="1" customHeight="1" x14ac:dyDescent="0.65">
      <c r="A1605">
        <v>1599</v>
      </c>
      <c r="B1605" t="s">
        <v>29</v>
      </c>
      <c r="C1605" s="6">
        <v>1511702.855</v>
      </c>
      <c r="D1605" s="6">
        <v>693955.54399999999</v>
      </c>
      <c r="E1605" s="2" t="s">
        <v>35</v>
      </c>
      <c r="F1605" s="1">
        <v>24</v>
      </c>
      <c r="G1605" s="2" t="s">
        <v>50</v>
      </c>
      <c r="J1605"/>
      <c r="K1605" s="19"/>
      <c r="L1605" s="21"/>
      <c r="M1605" s="27"/>
      <c r="N1605" s="19"/>
      <c r="O1605" s="21"/>
      <c r="Q1605" s="7">
        <f>Table2[[#This Row],[Elevation
PILE TOP]]-Table2[[#This Row],[LENGTH(m.)
(Actual)]]</f>
        <v>0</v>
      </c>
      <c r="R1605" s="2"/>
      <c r="S1605" s="7">
        <f>Table2[[#This Row],[N]]+Table2[[#This Row],[Pile 
Deviation 
N (m)]]</f>
        <v>1511702.855</v>
      </c>
      <c r="T1605" s="7">
        <f>Table2[[#This Row],[E]]+Table2[[#This Row],[Pile 
Deviation 
E (m)]]</f>
        <v>693955.54399999999</v>
      </c>
      <c r="W1605" s="7">
        <v>0.24</v>
      </c>
      <c r="X1605" s="2" t="s">
        <v>51</v>
      </c>
    </row>
    <row r="1606" spans="1:27" hidden="1" x14ac:dyDescent="0.65">
      <c r="A1606">
        <v>1600</v>
      </c>
      <c r="B1606" t="s">
        <v>29</v>
      </c>
      <c r="C1606" s="6">
        <v>1511702.8389999999</v>
      </c>
      <c r="D1606" s="6">
        <v>693902.39800000004</v>
      </c>
      <c r="E1606" s="2" t="s">
        <v>35</v>
      </c>
      <c r="F1606" s="1">
        <v>24</v>
      </c>
      <c r="G1606" s="2" t="s">
        <v>50</v>
      </c>
      <c r="J1606"/>
      <c r="K1606" s="19"/>
      <c r="L1606" s="21"/>
      <c r="M1606" s="27"/>
      <c r="N1606" s="19"/>
      <c r="O1606" s="21"/>
      <c r="Q1606" s="7">
        <f>Table2[[#This Row],[Elevation
PILE TOP]]-Table2[[#This Row],[LENGTH(m.)
(Actual)]]</f>
        <v>0</v>
      </c>
      <c r="R1606" s="2"/>
      <c r="S1606" s="7">
        <f>Table2[[#This Row],[N]]+Table2[[#This Row],[Pile 
Deviation 
N (m)]]</f>
        <v>1511702.8389999999</v>
      </c>
      <c r="T1606" s="7">
        <f>Table2[[#This Row],[E]]+Table2[[#This Row],[Pile 
Deviation 
E (m)]]</f>
        <v>693902.39800000004</v>
      </c>
      <c r="W1606" s="7">
        <v>0.24</v>
      </c>
      <c r="X1606" s="2" t="s">
        <v>51</v>
      </c>
    </row>
    <row r="1607" spans="1:27" ht="13.95" customHeight="1" x14ac:dyDescent="0.65">
      <c r="A1607">
        <v>1601</v>
      </c>
      <c r="B1607" t="s">
        <v>29</v>
      </c>
      <c r="C1607" s="6">
        <v>1511702.7039999999</v>
      </c>
      <c r="D1607" s="6">
        <v>693933.24300000002</v>
      </c>
      <c r="E1607" s="2" t="s">
        <v>35</v>
      </c>
      <c r="F1607" s="1">
        <v>24</v>
      </c>
      <c r="G1607" s="2" t="s">
        <v>50</v>
      </c>
      <c r="J1607"/>
      <c r="K1607" s="19"/>
      <c r="L1607" s="21"/>
      <c r="M1607" s="27"/>
      <c r="N1607" s="19"/>
      <c r="O1607" s="21"/>
      <c r="Q1607" s="7">
        <f>Table2[[#This Row],[Elevation
PILE TOP]]-Table2[[#This Row],[LENGTH(m.)
(Actual)]]</f>
        <v>0</v>
      </c>
      <c r="R1607" s="2"/>
      <c r="S1607" s="7">
        <f>Table2[[#This Row],[N]]+Table2[[#This Row],[Pile 
Deviation 
N (m)]]</f>
        <v>1511702.7039999999</v>
      </c>
      <c r="T1607" s="7">
        <f>Table2[[#This Row],[E]]+Table2[[#This Row],[Pile 
Deviation 
E (m)]]</f>
        <v>693933.24300000002</v>
      </c>
      <c r="W1607" s="7">
        <v>0.24</v>
      </c>
      <c r="X1607" s="2" t="s">
        <v>51</v>
      </c>
      <c r="AA1607" s="9">
        <v>46203</v>
      </c>
    </row>
    <row r="1608" spans="1:27" hidden="1" x14ac:dyDescent="0.65">
      <c r="A1608">
        <v>1602</v>
      </c>
      <c r="B1608" t="s">
        <v>29</v>
      </c>
      <c r="C1608" s="6">
        <v>1511702.6680000001</v>
      </c>
      <c r="D1608" s="6">
        <v>693916.82799999998</v>
      </c>
      <c r="E1608" s="2" t="s">
        <v>35</v>
      </c>
      <c r="F1608" s="1">
        <v>24</v>
      </c>
      <c r="G1608" s="2" t="s">
        <v>50</v>
      </c>
      <c r="J1608"/>
      <c r="K1608" s="19"/>
      <c r="L1608" s="21"/>
      <c r="M1608" s="27"/>
      <c r="N1608" s="19"/>
      <c r="O1608" s="21"/>
      <c r="Q1608" s="7">
        <f>Table2[[#This Row],[Elevation
PILE TOP]]-Table2[[#This Row],[LENGTH(m.)
(Actual)]]</f>
        <v>0</v>
      </c>
      <c r="R1608" s="2"/>
      <c r="S1608" s="7">
        <f>Table2[[#This Row],[N]]+Table2[[#This Row],[Pile 
Deviation 
N (m)]]</f>
        <v>1511702.6680000001</v>
      </c>
      <c r="T1608" s="7">
        <f>Table2[[#This Row],[E]]+Table2[[#This Row],[Pile 
Deviation 
E (m)]]</f>
        <v>693916.82799999998</v>
      </c>
      <c r="W1608" s="7">
        <v>0.24</v>
      </c>
      <c r="X1608" s="2" t="s">
        <v>51</v>
      </c>
    </row>
    <row r="1609" spans="1:27" ht="13.95" hidden="1" customHeight="1" x14ac:dyDescent="0.65">
      <c r="A1609">
        <v>1603</v>
      </c>
      <c r="B1609" t="s">
        <v>29</v>
      </c>
      <c r="C1609" s="6">
        <v>1511702.5970000001</v>
      </c>
      <c r="D1609" s="6">
        <v>694086.36</v>
      </c>
      <c r="E1609" s="2" t="s">
        <v>35</v>
      </c>
      <c r="F1609" s="1">
        <v>24</v>
      </c>
      <c r="G1609" s="2" t="s">
        <v>50</v>
      </c>
      <c r="J1609"/>
      <c r="K1609" s="19"/>
      <c r="L1609" s="21"/>
      <c r="M1609" s="27"/>
      <c r="N1609" s="19"/>
      <c r="O1609" s="21"/>
      <c r="Q1609" s="7">
        <f>Table2[[#This Row],[Elevation
PILE TOP]]-Table2[[#This Row],[LENGTH(m.)
(Actual)]]</f>
        <v>0</v>
      </c>
      <c r="R1609" s="2"/>
      <c r="S1609" s="7">
        <f>Table2[[#This Row],[N]]+Table2[[#This Row],[Pile 
Deviation 
N (m)]]</f>
        <v>1511702.5970000001</v>
      </c>
      <c r="T1609" s="7">
        <f>Table2[[#This Row],[E]]+Table2[[#This Row],[Pile 
Deviation 
E (m)]]</f>
        <v>694086.36</v>
      </c>
      <c r="W1609" s="7">
        <v>0.24</v>
      </c>
      <c r="X1609" s="2" t="s">
        <v>51</v>
      </c>
    </row>
    <row r="1610" spans="1:27" x14ac:dyDescent="0.65">
      <c r="A1610">
        <v>1604</v>
      </c>
      <c r="B1610" t="s">
        <v>29</v>
      </c>
      <c r="C1610" s="6">
        <v>1511702.4790000001</v>
      </c>
      <c r="D1610" s="6">
        <v>693943.77800000005</v>
      </c>
      <c r="E1610" s="2" t="s">
        <v>35</v>
      </c>
      <c r="F1610" s="1">
        <v>24</v>
      </c>
      <c r="G1610" s="2" t="s">
        <v>50</v>
      </c>
      <c r="J1610"/>
      <c r="K1610" s="19"/>
      <c r="L1610" s="21"/>
      <c r="M1610" s="27"/>
      <c r="N1610" s="19"/>
      <c r="O1610" s="21"/>
      <c r="Q1610" s="7">
        <f>Table2[[#This Row],[Elevation
PILE TOP]]-Table2[[#This Row],[LENGTH(m.)
(Actual)]]</f>
        <v>0</v>
      </c>
      <c r="R1610" s="2"/>
      <c r="S1610" s="7">
        <f>Table2[[#This Row],[N]]+Table2[[#This Row],[Pile 
Deviation 
N (m)]]</f>
        <v>1511702.4790000001</v>
      </c>
      <c r="T1610" s="7">
        <f>Table2[[#This Row],[E]]+Table2[[#This Row],[Pile 
Deviation 
E (m)]]</f>
        <v>693943.77800000005</v>
      </c>
      <c r="W1610" s="7">
        <v>0.24</v>
      </c>
      <c r="X1610" s="2" t="s">
        <v>51</v>
      </c>
      <c r="AA1610" s="9">
        <v>46202</v>
      </c>
    </row>
    <row r="1611" spans="1:27" ht="13.95" hidden="1" customHeight="1" x14ac:dyDescent="0.65">
      <c r="A1611">
        <v>1605</v>
      </c>
      <c r="B1611" t="s">
        <v>29</v>
      </c>
      <c r="C1611" s="6">
        <v>1511702.33</v>
      </c>
      <c r="D1611" s="6">
        <v>694041.34600000002</v>
      </c>
      <c r="E1611" s="2" t="s">
        <v>35</v>
      </c>
      <c r="F1611" s="1">
        <v>24</v>
      </c>
      <c r="G1611" s="2" t="s">
        <v>50</v>
      </c>
      <c r="J1611"/>
      <c r="K1611" s="19"/>
      <c r="L1611" s="21"/>
      <c r="M1611" s="27"/>
      <c r="N1611" s="19"/>
      <c r="O1611" s="21"/>
      <c r="Q1611" s="7">
        <f>Table2[[#This Row],[Elevation
PILE TOP]]-Table2[[#This Row],[LENGTH(m.)
(Actual)]]</f>
        <v>0</v>
      </c>
      <c r="R1611" s="2"/>
      <c r="S1611" s="7">
        <f>Table2[[#This Row],[N]]+Table2[[#This Row],[Pile 
Deviation 
N (m)]]</f>
        <v>1511702.33</v>
      </c>
      <c r="T1611" s="7">
        <f>Table2[[#This Row],[E]]+Table2[[#This Row],[Pile 
Deviation 
E (m)]]</f>
        <v>694041.34600000002</v>
      </c>
      <c r="W1611" s="7">
        <v>0.24</v>
      </c>
      <c r="X1611" s="2" t="s">
        <v>51</v>
      </c>
    </row>
    <row r="1612" spans="1:27" hidden="1" x14ac:dyDescent="0.65">
      <c r="A1612">
        <v>1606</v>
      </c>
      <c r="B1612" t="s">
        <v>29</v>
      </c>
      <c r="C1612" s="6">
        <v>1511702.3219999999</v>
      </c>
      <c r="D1612" s="6">
        <v>694093.78799999994</v>
      </c>
      <c r="E1612" s="2" t="s">
        <v>35</v>
      </c>
      <c r="F1612" s="1">
        <v>24</v>
      </c>
      <c r="G1612" s="2" t="s">
        <v>50</v>
      </c>
      <c r="J1612"/>
      <c r="K1612" s="19"/>
      <c r="L1612" s="21"/>
      <c r="M1612" s="27"/>
      <c r="N1612" s="19"/>
      <c r="O1612" s="21"/>
      <c r="Q1612" s="7">
        <f>Table2[[#This Row],[Elevation
PILE TOP]]-Table2[[#This Row],[LENGTH(m.)
(Actual)]]</f>
        <v>0</v>
      </c>
      <c r="R1612" s="2"/>
      <c r="S1612" s="7">
        <f>Table2[[#This Row],[N]]+Table2[[#This Row],[Pile 
Deviation 
N (m)]]</f>
        <v>1511702.3219999999</v>
      </c>
      <c r="T1612" s="7">
        <f>Table2[[#This Row],[E]]+Table2[[#This Row],[Pile 
Deviation 
E (m)]]</f>
        <v>694093.78799999994</v>
      </c>
      <c r="W1612" s="7">
        <v>0.24</v>
      </c>
      <c r="X1612" s="2" t="s">
        <v>51</v>
      </c>
    </row>
    <row r="1613" spans="1:27" ht="13.95" hidden="1" customHeight="1" x14ac:dyDescent="0.65">
      <c r="A1613">
        <v>1607</v>
      </c>
      <c r="B1613" t="s">
        <v>29</v>
      </c>
      <c r="C1613" s="6">
        <v>1511702.304</v>
      </c>
      <c r="D1613" s="6">
        <v>693949.23699999996</v>
      </c>
      <c r="E1613" s="2" t="s">
        <v>35</v>
      </c>
      <c r="F1613" s="1">
        <v>24</v>
      </c>
      <c r="G1613" s="2" t="s">
        <v>50</v>
      </c>
      <c r="J1613"/>
      <c r="K1613" s="19"/>
      <c r="L1613" s="21"/>
      <c r="M1613" s="27"/>
      <c r="N1613" s="19"/>
      <c r="O1613" s="21"/>
      <c r="Q1613" s="7">
        <f>Table2[[#This Row],[Elevation
PILE TOP]]-Table2[[#This Row],[LENGTH(m.)
(Actual)]]</f>
        <v>0</v>
      </c>
      <c r="R1613" s="2"/>
      <c r="S1613" s="7">
        <f>Table2[[#This Row],[N]]+Table2[[#This Row],[Pile 
Deviation 
N (m)]]</f>
        <v>1511702.304</v>
      </c>
      <c r="T1613" s="7">
        <f>Table2[[#This Row],[E]]+Table2[[#This Row],[Pile 
Deviation 
E (m)]]</f>
        <v>693949.23699999996</v>
      </c>
      <c r="W1613" s="7">
        <v>0.24</v>
      </c>
      <c r="X1613" s="2" t="s">
        <v>51</v>
      </c>
    </row>
    <row r="1614" spans="1:27" hidden="1" x14ac:dyDescent="0.65">
      <c r="A1614">
        <v>1608</v>
      </c>
      <c r="B1614" t="s">
        <v>29</v>
      </c>
      <c r="C1614" s="6">
        <v>1511702.3019999999</v>
      </c>
      <c r="D1614" s="6">
        <v>694056.09100000001</v>
      </c>
      <c r="E1614" s="2" t="s">
        <v>35</v>
      </c>
      <c r="F1614" s="1">
        <v>24</v>
      </c>
      <c r="G1614" s="2" t="s">
        <v>50</v>
      </c>
      <c r="J1614"/>
      <c r="K1614" s="19"/>
      <c r="L1614" s="21"/>
      <c r="M1614" s="27"/>
      <c r="N1614" s="19"/>
      <c r="O1614" s="21"/>
      <c r="Q1614" s="7">
        <f>Table2[[#This Row],[Elevation
PILE TOP]]-Table2[[#This Row],[LENGTH(m.)
(Actual)]]</f>
        <v>0</v>
      </c>
      <c r="R1614" s="2"/>
      <c r="S1614" s="7">
        <f>Table2[[#This Row],[N]]+Table2[[#This Row],[Pile 
Deviation 
N (m)]]</f>
        <v>1511702.3019999999</v>
      </c>
      <c r="T1614" s="7">
        <f>Table2[[#This Row],[E]]+Table2[[#This Row],[Pile 
Deviation 
E (m)]]</f>
        <v>694056.09100000001</v>
      </c>
      <c r="W1614" s="7">
        <v>0.24</v>
      </c>
      <c r="X1614" s="2" t="s">
        <v>51</v>
      </c>
    </row>
    <row r="1615" spans="1:27" ht="13.95" hidden="1" customHeight="1" x14ac:dyDescent="0.65">
      <c r="A1615">
        <v>1609</v>
      </c>
      <c r="B1615" t="s">
        <v>29</v>
      </c>
      <c r="C1615" s="6">
        <v>1511702.2960000001</v>
      </c>
      <c r="D1615" s="6">
        <v>694023.49899999995</v>
      </c>
      <c r="E1615" s="2" t="s">
        <v>35</v>
      </c>
      <c r="F1615" s="1">
        <v>24</v>
      </c>
      <c r="G1615" s="2" t="s">
        <v>50</v>
      </c>
      <c r="J1615"/>
      <c r="K1615" s="19"/>
      <c r="L1615" s="21"/>
      <c r="M1615" s="27"/>
      <c r="N1615" s="19"/>
      <c r="O1615" s="21"/>
      <c r="Q1615" s="7">
        <f>Table2[[#This Row],[Elevation
PILE TOP]]-Table2[[#This Row],[LENGTH(m.)
(Actual)]]</f>
        <v>0</v>
      </c>
      <c r="R1615" s="2"/>
      <c r="S1615" s="7">
        <f>Table2[[#This Row],[N]]+Table2[[#This Row],[Pile 
Deviation 
N (m)]]</f>
        <v>1511702.2960000001</v>
      </c>
      <c r="T1615" s="7">
        <f>Table2[[#This Row],[E]]+Table2[[#This Row],[Pile 
Deviation 
E (m)]]</f>
        <v>694023.49899999995</v>
      </c>
      <c r="W1615" s="7">
        <v>0.24</v>
      </c>
      <c r="X1615" s="2" t="s">
        <v>51</v>
      </c>
    </row>
    <row r="1616" spans="1:27" hidden="1" x14ac:dyDescent="0.65">
      <c r="A1616">
        <v>1610</v>
      </c>
      <c r="B1616" t="s">
        <v>29</v>
      </c>
      <c r="C1616" s="6">
        <v>1511702.263</v>
      </c>
      <c r="D1616" s="6">
        <v>694005.65300000005</v>
      </c>
      <c r="E1616" s="2" t="s">
        <v>35</v>
      </c>
      <c r="F1616" s="1">
        <v>24</v>
      </c>
      <c r="G1616" s="2" t="s">
        <v>50</v>
      </c>
      <c r="J1616"/>
      <c r="K1616" s="19"/>
      <c r="L1616" s="21"/>
      <c r="M1616" s="27"/>
      <c r="N1616" s="19"/>
      <c r="O1616" s="21"/>
      <c r="Q1616" s="7">
        <f>Table2[[#This Row],[Elevation
PILE TOP]]-Table2[[#This Row],[LENGTH(m.)
(Actual)]]</f>
        <v>0</v>
      </c>
      <c r="R1616" s="2"/>
      <c r="S1616" s="7">
        <f>Table2[[#This Row],[N]]+Table2[[#This Row],[Pile 
Deviation 
N (m)]]</f>
        <v>1511702.263</v>
      </c>
      <c r="T1616" s="7">
        <f>Table2[[#This Row],[E]]+Table2[[#This Row],[Pile 
Deviation 
E (m)]]</f>
        <v>694005.65300000005</v>
      </c>
      <c r="W1616" s="7">
        <v>0.24</v>
      </c>
      <c r="X1616" s="2" t="s">
        <v>51</v>
      </c>
    </row>
    <row r="1617" spans="1:27" ht="13.95" hidden="1" customHeight="1" x14ac:dyDescent="0.65">
      <c r="A1617">
        <v>1611</v>
      </c>
      <c r="B1617" t="s">
        <v>29</v>
      </c>
      <c r="C1617" s="6">
        <v>1511702.23</v>
      </c>
      <c r="D1617" s="6">
        <v>693987.80599999998</v>
      </c>
      <c r="E1617" s="2" t="s">
        <v>35</v>
      </c>
      <c r="F1617" s="1">
        <v>24</v>
      </c>
      <c r="G1617" s="2" t="s">
        <v>50</v>
      </c>
      <c r="J1617"/>
      <c r="K1617" s="19"/>
      <c r="L1617" s="21"/>
      <c r="M1617" s="27"/>
      <c r="N1617" s="19"/>
      <c r="O1617" s="21"/>
      <c r="Q1617" s="7">
        <f>Table2[[#This Row],[Elevation
PILE TOP]]-Table2[[#This Row],[LENGTH(m.)
(Actual)]]</f>
        <v>0</v>
      </c>
      <c r="R1617" s="2"/>
      <c r="S1617" s="7">
        <f>Table2[[#This Row],[N]]+Table2[[#This Row],[Pile 
Deviation 
N (m)]]</f>
        <v>1511702.23</v>
      </c>
      <c r="T1617" s="7">
        <f>Table2[[#This Row],[E]]+Table2[[#This Row],[Pile 
Deviation 
E (m)]]</f>
        <v>693987.80599999998</v>
      </c>
      <c r="W1617" s="7">
        <v>0.24</v>
      </c>
      <c r="X1617" s="2" t="s">
        <v>51</v>
      </c>
    </row>
    <row r="1618" spans="1:27" hidden="1" x14ac:dyDescent="0.65">
      <c r="A1618">
        <v>1612</v>
      </c>
      <c r="B1618" t="s">
        <v>29</v>
      </c>
      <c r="C1618" s="6">
        <v>1511702.196</v>
      </c>
      <c r="D1618" s="6">
        <v>693969.96</v>
      </c>
      <c r="E1618" s="2" t="s">
        <v>35</v>
      </c>
      <c r="F1618" s="1">
        <v>24</v>
      </c>
      <c r="G1618" s="2" t="s">
        <v>50</v>
      </c>
      <c r="J1618"/>
      <c r="K1618" s="19"/>
      <c r="L1618" s="21"/>
      <c r="M1618" s="27"/>
      <c r="N1618" s="19"/>
      <c r="O1618" s="21"/>
      <c r="Q1618" s="7">
        <f>Table2[[#This Row],[Elevation
PILE TOP]]-Table2[[#This Row],[LENGTH(m.)
(Actual)]]</f>
        <v>0</v>
      </c>
      <c r="R1618" s="2"/>
      <c r="S1618" s="7">
        <f>Table2[[#This Row],[N]]+Table2[[#This Row],[Pile 
Deviation 
N (m)]]</f>
        <v>1511702.196</v>
      </c>
      <c r="T1618" s="7">
        <f>Table2[[#This Row],[E]]+Table2[[#This Row],[Pile 
Deviation 
E (m)]]</f>
        <v>693969.96</v>
      </c>
      <c r="W1618" s="7">
        <v>0.24</v>
      </c>
      <c r="X1618" s="2" t="s">
        <v>51</v>
      </c>
    </row>
    <row r="1619" spans="1:27" ht="13.95" hidden="1" customHeight="1" x14ac:dyDescent="0.65">
      <c r="A1619">
        <v>1613</v>
      </c>
      <c r="B1619" t="s">
        <v>29</v>
      </c>
      <c r="C1619" s="6">
        <v>1511702.1629999999</v>
      </c>
      <c r="D1619" s="6">
        <v>693952.11300000001</v>
      </c>
      <c r="E1619" s="2" t="s">
        <v>35</v>
      </c>
      <c r="F1619" s="1">
        <v>24</v>
      </c>
      <c r="G1619" s="2" t="s">
        <v>50</v>
      </c>
      <c r="J1619"/>
      <c r="K1619" s="19"/>
      <c r="L1619" s="21"/>
      <c r="M1619" s="27"/>
      <c r="N1619" s="19"/>
      <c r="O1619" s="21"/>
      <c r="Q1619" s="7">
        <f>Table2[[#This Row],[Elevation
PILE TOP]]-Table2[[#This Row],[LENGTH(m.)
(Actual)]]</f>
        <v>0</v>
      </c>
      <c r="R1619" s="2"/>
      <c r="S1619" s="7">
        <f>Table2[[#This Row],[N]]+Table2[[#This Row],[Pile 
Deviation 
N (m)]]</f>
        <v>1511702.1629999999</v>
      </c>
      <c r="T1619" s="7">
        <f>Table2[[#This Row],[E]]+Table2[[#This Row],[Pile 
Deviation 
E (m)]]</f>
        <v>693952.11300000001</v>
      </c>
      <c r="W1619" s="7">
        <v>0.24</v>
      </c>
      <c r="X1619" s="2" t="s">
        <v>51</v>
      </c>
    </row>
    <row r="1620" spans="1:27" hidden="1" x14ac:dyDescent="0.65">
      <c r="A1620">
        <v>1614</v>
      </c>
      <c r="B1620" t="s">
        <v>29</v>
      </c>
      <c r="C1620" s="6">
        <v>1511701.95</v>
      </c>
      <c r="D1620" s="6">
        <v>693905.78300000005</v>
      </c>
      <c r="E1620" s="2" t="s">
        <v>35</v>
      </c>
      <c r="F1620" s="1">
        <v>24</v>
      </c>
      <c r="G1620" s="2" t="s">
        <v>50</v>
      </c>
      <c r="J1620"/>
      <c r="K1620" s="19"/>
      <c r="L1620" s="21"/>
      <c r="M1620" s="27"/>
      <c r="N1620" s="19"/>
      <c r="O1620" s="21"/>
      <c r="Q1620" s="7">
        <f>Table2[[#This Row],[Elevation
PILE TOP]]-Table2[[#This Row],[LENGTH(m.)
(Actual)]]</f>
        <v>0</v>
      </c>
      <c r="R1620" s="2"/>
      <c r="S1620" s="7">
        <f>Table2[[#This Row],[N]]+Table2[[#This Row],[Pile 
Deviation 
N (m)]]</f>
        <v>1511701.95</v>
      </c>
      <c r="T1620" s="7">
        <f>Table2[[#This Row],[E]]+Table2[[#This Row],[Pile 
Deviation 
E (m)]]</f>
        <v>693905.78300000005</v>
      </c>
      <c r="W1620" s="7">
        <v>0.24</v>
      </c>
      <c r="X1620" s="2" t="s">
        <v>51</v>
      </c>
    </row>
    <row r="1621" spans="1:27" ht="13.95" hidden="1" customHeight="1" x14ac:dyDescent="0.65">
      <c r="A1621">
        <v>1615</v>
      </c>
      <c r="B1621" t="s">
        <v>29</v>
      </c>
      <c r="C1621" s="6">
        <v>1511701.848</v>
      </c>
      <c r="D1621" s="6">
        <v>694074.75399999996</v>
      </c>
      <c r="E1621" s="2" t="s">
        <v>35</v>
      </c>
      <c r="F1621" s="1">
        <v>24</v>
      </c>
      <c r="G1621" s="2" t="s">
        <v>50</v>
      </c>
      <c r="J1621"/>
      <c r="K1621" s="19"/>
      <c r="L1621" s="21"/>
      <c r="M1621" s="27"/>
      <c r="N1621" s="19"/>
      <c r="O1621" s="21"/>
      <c r="Q1621" s="7">
        <f>Table2[[#This Row],[Elevation
PILE TOP]]-Table2[[#This Row],[LENGTH(m.)
(Actual)]]</f>
        <v>0</v>
      </c>
      <c r="R1621" s="2"/>
      <c r="S1621" s="7">
        <f>Table2[[#This Row],[N]]+Table2[[#This Row],[Pile 
Deviation 
N (m)]]</f>
        <v>1511701.848</v>
      </c>
      <c r="T1621" s="7">
        <f>Table2[[#This Row],[E]]+Table2[[#This Row],[Pile 
Deviation 
E (m)]]</f>
        <v>694074.75399999996</v>
      </c>
      <c r="W1621" s="7">
        <v>0.24</v>
      </c>
      <c r="X1621" s="2" t="s">
        <v>51</v>
      </c>
    </row>
    <row r="1622" spans="1:27" hidden="1" x14ac:dyDescent="0.65">
      <c r="A1622">
        <v>1616</v>
      </c>
      <c r="B1622" t="s">
        <v>29</v>
      </c>
      <c r="C1622" s="6">
        <v>1511701.6580000001</v>
      </c>
      <c r="D1622" s="6">
        <v>694067.14099999995</v>
      </c>
      <c r="E1622" s="2" t="s">
        <v>35</v>
      </c>
      <c r="F1622" s="1">
        <v>24</v>
      </c>
      <c r="G1622" s="2" t="s">
        <v>50</v>
      </c>
      <c r="J1622"/>
      <c r="K1622" s="19"/>
      <c r="L1622" s="21"/>
      <c r="M1622" s="27"/>
      <c r="N1622" s="19"/>
      <c r="O1622" s="21"/>
      <c r="Q1622" s="7">
        <f>Table2[[#This Row],[Elevation
PILE TOP]]-Table2[[#This Row],[LENGTH(m.)
(Actual)]]</f>
        <v>0</v>
      </c>
      <c r="R1622" s="2"/>
      <c r="S1622" s="7">
        <f>Table2[[#This Row],[N]]+Table2[[#This Row],[Pile 
Deviation 
N (m)]]</f>
        <v>1511701.6580000001</v>
      </c>
      <c r="T1622" s="7">
        <f>Table2[[#This Row],[E]]+Table2[[#This Row],[Pile 
Deviation 
E (m)]]</f>
        <v>694067.14099999995</v>
      </c>
      <c r="W1622" s="7">
        <v>0.24</v>
      </c>
      <c r="X1622" s="2" t="s">
        <v>51</v>
      </c>
    </row>
    <row r="1623" spans="1:27" ht="13.95" hidden="1" customHeight="1" x14ac:dyDescent="0.65">
      <c r="A1623">
        <v>1617</v>
      </c>
      <c r="B1623" t="s">
        <v>29</v>
      </c>
      <c r="C1623" s="6">
        <v>1511701.6470000001</v>
      </c>
      <c r="D1623" s="6">
        <v>694048.29299999995</v>
      </c>
      <c r="E1623" s="2" t="s">
        <v>35</v>
      </c>
      <c r="F1623" s="1">
        <v>24</v>
      </c>
      <c r="G1623" s="2" t="s">
        <v>50</v>
      </c>
      <c r="J1623"/>
      <c r="K1623" s="19"/>
      <c r="L1623" s="21"/>
      <c r="M1623" s="27"/>
      <c r="N1623" s="19"/>
      <c r="O1623" s="21"/>
      <c r="Q1623" s="7">
        <f>Table2[[#This Row],[Elevation
PILE TOP]]-Table2[[#This Row],[LENGTH(m.)
(Actual)]]</f>
        <v>0</v>
      </c>
      <c r="R1623" s="2"/>
      <c r="S1623" s="7">
        <f>Table2[[#This Row],[N]]+Table2[[#This Row],[Pile 
Deviation 
N (m)]]</f>
        <v>1511701.6470000001</v>
      </c>
      <c r="T1623" s="7">
        <f>Table2[[#This Row],[E]]+Table2[[#This Row],[Pile 
Deviation 
E (m)]]</f>
        <v>694048.29299999995</v>
      </c>
      <c r="W1623" s="7">
        <v>0.24</v>
      </c>
      <c r="X1623" s="2" t="s">
        <v>51</v>
      </c>
    </row>
    <row r="1624" spans="1:27" hidden="1" x14ac:dyDescent="0.65">
      <c r="A1624">
        <v>1618</v>
      </c>
      <c r="B1624" t="s">
        <v>29</v>
      </c>
      <c r="C1624" s="6">
        <v>1511701.6370000001</v>
      </c>
      <c r="D1624" s="6">
        <v>694037.91500000004</v>
      </c>
      <c r="E1624" s="2" t="s">
        <v>35</v>
      </c>
      <c r="F1624" s="1">
        <v>24</v>
      </c>
      <c r="G1624" s="2" t="s">
        <v>50</v>
      </c>
      <c r="J1624"/>
      <c r="K1624" s="19"/>
      <c r="L1624" s="21"/>
      <c r="M1624" s="27"/>
      <c r="N1624" s="19"/>
      <c r="O1624" s="21"/>
      <c r="Q1624" s="7">
        <f>Table2[[#This Row],[Elevation
PILE TOP]]-Table2[[#This Row],[LENGTH(m.)
(Actual)]]</f>
        <v>0</v>
      </c>
      <c r="R1624" s="2"/>
      <c r="S1624" s="7">
        <f>Table2[[#This Row],[N]]+Table2[[#This Row],[Pile 
Deviation 
N (m)]]</f>
        <v>1511701.6370000001</v>
      </c>
      <c r="T1624" s="7">
        <f>Table2[[#This Row],[E]]+Table2[[#This Row],[Pile 
Deviation 
E (m)]]</f>
        <v>694037.91500000004</v>
      </c>
      <c r="W1624" s="7">
        <v>0.24</v>
      </c>
      <c r="X1624" s="2" t="s">
        <v>51</v>
      </c>
    </row>
    <row r="1625" spans="1:27" ht="13.95" hidden="1" customHeight="1" x14ac:dyDescent="0.65">
      <c r="A1625">
        <v>1619</v>
      </c>
      <c r="B1625" t="s">
        <v>29</v>
      </c>
      <c r="C1625" s="6">
        <v>1511701.6040000001</v>
      </c>
      <c r="D1625" s="6">
        <v>694020.06900000002</v>
      </c>
      <c r="E1625" s="2" t="s">
        <v>35</v>
      </c>
      <c r="F1625" s="1">
        <v>24</v>
      </c>
      <c r="G1625" s="2" t="s">
        <v>50</v>
      </c>
      <c r="J1625"/>
      <c r="K1625" s="19"/>
      <c r="L1625" s="21"/>
      <c r="M1625" s="27"/>
      <c r="N1625" s="19"/>
      <c r="O1625" s="21"/>
      <c r="Q1625" s="7">
        <f>Table2[[#This Row],[Elevation
PILE TOP]]-Table2[[#This Row],[LENGTH(m.)
(Actual)]]</f>
        <v>0</v>
      </c>
      <c r="R1625" s="2"/>
      <c r="S1625" s="7">
        <f>Table2[[#This Row],[N]]+Table2[[#This Row],[Pile 
Deviation 
N (m)]]</f>
        <v>1511701.6040000001</v>
      </c>
      <c r="T1625" s="7">
        <f>Table2[[#This Row],[E]]+Table2[[#This Row],[Pile 
Deviation 
E (m)]]</f>
        <v>694020.06900000002</v>
      </c>
      <c r="W1625" s="7">
        <v>0.24</v>
      </c>
      <c r="X1625" s="2" t="s">
        <v>51</v>
      </c>
    </row>
    <row r="1626" spans="1:27" hidden="1" x14ac:dyDescent="0.65">
      <c r="A1626">
        <v>1620</v>
      </c>
      <c r="B1626" t="s">
        <v>29</v>
      </c>
      <c r="C1626" s="6">
        <v>1511701.57</v>
      </c>
      <c r="D1626" s="6">
        <v>694002.22199999995</v>
      </c>
      <c r="E1626" s="2" t="s">
        <v>35</v>
      </c>
      <c r="F1626" s="1">
        <v>24</v>
      </c>
      <c r="G1626" s="2" t="s">
        <v>50</v>
      </c>
      <c r="J1626"/>
      <c r="K1626" s="19"/>
      <c r="L1626" s="21"/>
      <c r="M1626" s="27"/>
      <c r="N1626" s="19"/>
      <c r="O1626" s="21"/>
      <c r="Q1626" s="7">
        <f>Table2[[#This Row],[Elevation
PILE TOP]]-Table2[[#This Row],[LENGTH(m.)
(Actual)]]</f>
        <v>0</v>
      </c>
      <c r="R1626" s="2"/>
      <c r="S1626" s="7">
        <f>Table2[[#This Row],[N]]+Table2[[#This Row],[Pile 
Deviation 
N (m)]]</f>
        <v>1511701.57</v>
      </c>
      <c r="T1626" s="7">
        <f>Table2[[#This Row],[E]]+Table2[[#This Row],[Pile 
Deviation 
E (m)]]</f>
        <v>694002.22199999995</v>
      </c>
      <c r="W1626" s="7">
        <v>0.24</v>
      </c>
      <c r="X1626" s="2" t="s">
        <v>51</v>
      </c>
    </row>
    <row r="1627" spans="1:27" ht="13.95" hidden="1" customHeight="1" x14ac:dyDescent="0.65">
      <c r="A1627">
        <v>1621</v>
      </c>
      <c r="B1627" t="s">
        <v>29</v>
      </c>
      <c r="C1627" s="6">
        <v>1511701.537</v>
      </c>
      <c r="D1627" s="6">
        <v>693984.37600000005</v>
      </c>
      <c r="E1627" s="2" t="s">
        <v>35</v>
      </c>
      <c r="F1627" s="1">
        <v>24</v>
      </c>
      <c r="G1627" s="2" t="s">
        <v>50</v>
      </c>
      <c r="J1627"/>
      <c r="K1627" s="19"/>
      <c r="L1627" s="21"/>
      <c r="M1627" s="27"/>
      <c r="N1627" s="19"/>
      <c r="O1627" s="21"/>
      <c r="Q1627" s="7">
        <f>Table2[[#This Row],[Elevation
PILE TOP]]-Table2[[#This Row],[LENGTH(m.)
(Actual)]]</f>
        <v>0</v>
      </c>
      <c r="R1627" s="2"/>
      <c r="S1627" s="7">
        <f>Table2[[#This Row],[N]]+Table2[[#This Row],[Pile 
Deviation 
N (m)]]</f>
        <v>1511701.537</v>
      </c>
      <c r="T1627" s="7">
        <f>Table2[[#This Row],[E]]+Table2[[#This Row],[Pile 
Deviation 
E (m)]]</f>
        <v>693984.37600000005</v>
      </c>
      <c r="W1627" s="7">
        <v>0.24</v>
      </c>
      <c r="X1627" s="2" t="s">
        <v>51</v>
      </c>
    </row>
    <row r="1628" spans="1:27" hidden="1" x14ac:dyDescent="0.65">
      <c r="A1628">
        <v>1622</v>
      </c>
      <c r="B1628" t="s">
        <v>29</v>
      </c>
      <c r="C1628" s="6">
        <v>1511701.503</v>
      </c>
      <c r="D1628" s="6">
        <v>693966.52899999998</v>
      </c>
      <c r="E1628" s="2" t="s">
        <v>35</v>
      </c>
      <c r="F1628" s="1">
        <v>24</v>
      </c>
      <c r="G1628" s="2" t="s">
        <v>50</v>
      </c>
      <c r="J1628"/>
      <c r="K1628" s="19"/>
      <c r="L1628" s="21"/>
      <c r="M1628" s="27"/>
      <c r="N1628" s="19"/>
      <c r="O1628" s="21"/>
      <c r="Q1628" s="7">
        <f>Table2[[#This Row],[Elevation
PILE TOP]]-Table2[[#This Row],[LENGTH(m.)
(Actual)]]</f>
        <v>0</v>
      </c>
      <c r="R1628" s="2"/>
      <c r="S1628" s="7">
        <f>Table2[[#This Row],[N]]+Table2[[#This Row],[Pile 
Deviation 
N (m)]]</f>
        <v>1511701.503</v>
      </c>
      <c r="T1628" s="7">
        <f>Table2[[#This Row],[E]]+Table2[[#This Row],[Pile 
Deviation 
E (m)]]</f>
        <v>693966.52899999998</v>
      </c>
      <c r="W1628" s="7">
        <v>0.24</v>
      </c>
      <c r="X1628" s="2" t="s">
        <v>51</v>
      </c>
    </row>
    <row r="1629" spans="1:27" ht="13.95" hidden="1" customHeight="1" x14ac:dyDescent="0.65">
      <c r="A1629">
        <v>1623</v>
      </c>
      <c r="B1629" t="s">
        <v>29</v>
      </c>
      <c r="C1629" s="6">
        <v>1511701.2990000001</v>
      </c>
      <c r="D1629" s="6">
        <v>694089.61</v>
      </c>
      <c r="E1629" s="2" t="s">
        <v>35</v>
      </c>
      <c r="F1629" s="1">
        <v>24</v>
      </c>
      <c r="G1629" s="2" t="s">
        <v>50</v>
      </c>
      <c r="J1629"/>
      <c r="K1629" s="19"/>
      <c r="L1629" s="21"/>
      <c r="M1629" s="27"/>
      <c r="N1629" s="19"/>
      <c r="O1629" s="21"/>
      <c r="Q1629" s="7">
        <f>Table2[[#This Row],[Elevation
PILE TOP]]-Table2[[#This Row],[LENGTH(m.)
(Actual)]]</f>
        <v>0</v>
      </c>
      <c r="R1629" s="2"/>
      <c r="S1629" s="7">
        <f>Table2[[#This Row],[N]]+Table2[[#This Row],[Pile 
Deviation 
N (m)]]</f>
        <v>1511701.2990000001</v>
      </c>
      <c r="T1629" s="7">
        <f>Table2[[#This Row],[E]]+Table2[[#This Row],[Pile 
Deviation 
E (m)]]</f>
        <v>694089.61</v>
      </c>
      <c r="W1629" s="7">
        <v>0.24</v>
      </c>
      <c r="X1629" s="2" t="s">
        <v>51</v>
      </c>
    </row>
    <row r="1630" spans="1:27" x14ac:dyDescent="0.65">
      <c r="A1630">
        <v>1624</v>
      </c>
      <c r="B1630" t="s">
        <v>29</v>
      </c>
      <c r="C1630" s="6">
        <v>1511701.2520000001</v>
      </c>
      <c r="D1630" s="6">
        <v>693947.05599999998</v>
      </c>
      <c r="E1630" s="2" t="s">
        <v>35</v>
      </c>
      <c r="F1630" s="1">
        <v>24</v>
      </c>
      <c r="G1630" s="2" t="s">
        <v>50</v>
      </c>
      <c r="J1630"/>
      <c r="K1630" s="19"/>
      <c r="L1630" s="21"/>
      <c r="M1630" s="27"/>
      <c r="N1630" s="19"/>
      <c r="O1630" s="21"/>
      <c r="Q1630" s="7">
        <f>Table2[[#This Row],[Elevation
PILE TOP]]-Table2[[#This Row],[LENGTH(m.)
(Actual)]]</f>
        <v>0</v>
      </c>
      <c r="R1630" s="2"/>
      <c r="S1630" s="7">
        <f>Table2[[#This Row],[N]]+Table2[[#This Row],[Pile 
Deviation 
N (m)]]</f>
        <v>1511701.2520000001</v>
      </c>
      <c r="T1630" s="7">
        <f>Table2[[#This Row],[E]]+Table2[[#This Row],[Pile 
Deviation 
E (m)]]</f>
        <v>693947.05599999998</v>
      </c>
      <c r="W1630" s="7">
        <v>0.24</v>
      </c>
      <c r="X1630" s="2" t="s">
        <v>51</v>
      </c>
      <c r="AA1630" s="9">
        <v>46202</v>
      </c>
    </row>
    <row r="1631" spans="1:27" ht="13.95" hidden="1" customHeight="1" x14ac:dyDescent="0.65">
      <c r="A1631">
        <v>1625</v>
      </c>
      <c r="B1631" t="s">
        <v>29</v>
      </c>
      <c r="C1631" s="6">
        <v>1511701.061</v>
      </c>
      <c r="D1631" s="6">
        <v>693909.16799999995</v>
      </c>
      <c r="E1631" s="2" t="s">
        <v>35</v>
      </c>
      <c r="F1631" s="1">
        <v>24</v>
      </c>
      <c r="G1631" s="2" t="s">
        <v>50</v>
      </c>
      <c r="J1631"/>
      <c r="K1631" s="19"/>
      <c r="L1631" s="21"/>
      <c r="M1631" s="27"/>
      <c r="N1631" s="19"/>
      <c r="O1631" s="21"/>
      <c r="Q1631" s="7">
        <f>Table2[[#This Row],[Elevation
PILE TOP]]-Table2[[#This Row],[LENGTH(m.)
(Actual)]]</f>
        <v>0</v>
      </c>
      <c r="R1631" s="2"/>
      <c r="S1631" s="7">
        <f>Table2[[#This Row],[N]]+Table2[[#This Row],[Pile 
Deviation 
N (m)]]</f>
        <v>1511701.061</v>
      </c>
      <c r="T1631" s="7">
        <f>Table2[[#This Row],[E]]+Table2[[#This Row],[Pile 
Deviation 
E (m)]]</f>
        <v>693909.16799999995</v>
      </c>
      <c r="W1631" s="7">
        <v>0.24</v>
      </c>
      <c r="X1631" s="2" t="s">
        <v>51</v>
      </c>
    </row>
    <row r="1632" spans="1:27" hidden="1" x14ac:dyDescent="0.65">
      <c r="A1632">
        <v>1626</v>
      </c>
      <c r="B1632" t="s">
        <v>29</v>
      </c>
      <c r="C1632" s="6">
        <v>1511701.024</v>
      </c>
      <c r="D1632" s="6">
        <v>694097.03799999994</v>
      </c>
      <c r="E1632" s="2" t="s">
        <v>35</v>
      </c>
      <c r="F1632" s="1">
        <v>24</v>
      </c>
      <c r="G1632" s="2" t="s">
        <v>50</v>
      </c>
      <c r="J1632"/>
      <c r="K1632" s="19"/>
      <c r="L1632" s="21"/>
      <c r="M1632" s="27"/>
      <c r="N1632" s="19"/>
      <c r="O1632" s="21"/>
      <c r="Q1632" s="7">
        <f>Table2[[#This Row],[Elevation
PILE TOP]]-Table2[[#This Row],[LENGTH(m.)
(Actual)]]</f>
        <v>0</v>
      </c>
      <c r="R1632" s="2"/>
      <c r="S1632" s="7">
        <f>Table2[[#This Row],[N]]+Table2[[#This Row],[Pile 
Deviation 
N (m)]]</f>
        <v>1511701.024</v>
      </c>
      <c r="T1632" s="7">
        <f>Table2[[#This Row],[E]]+Table2[[#This Row],[Pile 
Deviation 
E (m)]]</f>
        <v>694097.03799999994</v>
      </c>
      <c r="W1632" s="7">
        <v>0.24</v>
      </c>
      <c r="X1632" s="2" t="s">
        <v>51</v>
      </c>
    </row>
    <row r="1633" spans="1:24" ht="13.95" hidden="1" customHeight="1" x14ac:dyDescent="0.65">
      <c r="A1633">
        <v>1627</v>
      </c>
      <c r="B1633" t="s">
        <v>29</v>
      </c>
      <c r="C1633" s="6">
        <v>1511701.003</v>
      </c>
      <c r="D1633" s="6">
        <v>694059.34199999995</v>
      </c>
      <c r="E1633" s="2" t="s">
        <v>35</v>
      </c>
      <c r="F1633" s="1">
        <v>24</v>
      </c>
      <c r="G1633" s="2" t="s">
        <v>50</v>
      </c>
      <c r="J1633"/>
      <c r="K1633" s="19"/>
      <c r="L1633" s="21"/>
      <c r="M1633" s="27"/>
      <c r="N1633" s="19"/>
      <c r="O1633" s="21"/>
      <c r="Q1633" s="7">
        <f>Table2[[#This Row],[Elevation
PILE TOP]]-Table2[[#This Row],[LENGTH(m.)
(Actual)]]</f>
        <v>0</v>
      </c>
      <c r="R1633" s="2"/>
      <c r="S1633" s="7">
        <f>Table2[[#This Row],[N]]+Table2[[#This Row],[Pile 
Deviation 
N (m)]]</f>
        <v>1511701.003</v>
      </c>
      <c r="T1633" s="7">
        <f>Table2[[#This Row],[E]]+Table2[[#This Row],[Pile 
Deviation 
E (m)]]</f>
        <v>694059.34199999995</v>
      </c>
      <c r="W1633" s="7">
        <v>0.24</v>
      </c>
      <c r="X1633" s="2" t="s">
        <v>51</v>
      </c>
    </row>
    <row r="1634" spans="1:24" hidden="1" x14ac:dyDescent="0.65">
      <c r="A1634">
        <v>1628</v>
      </c>
      <c r="B1634" t="s">
        <v>29</v>
      </c>
      <c r="C1634" s="6">
        <v>1511700.993</v>
      </c>
      <c r="D1634" s="6">
        <v>694040.49399999995</v>
      </c>
      <c r="E1634" s="2" t="s">
        <v>35</v>
      </c>
      <c r="F1634" s="1">
        <v>24</v>
      </c>
      <c r="G1634" s="2" t="s">
        <v>50</v>
      </c>
      <c r="J1634"/>
      <c r="K1634" s="19"/>
      <c r="L1634" s="21"/>
      <c r="M1634" s="27"/>
      <c r="N1634" s="19"/>
      <c r="O1634" s="21"/>
      <c r="Q1634" s="7">
        <f>Table2[[#This Row],[Elevation
PILE TOP]]-Table2[[#This Row],[LENGTH(m.)
(Actual)]]</f>
        <v>0</v>
      </c>
      <c r="R1634" s="2"/>
      <c r="S1634" s="7">
        <f>Table2[[#This Row],[N]]+Table2[[#This Row],[Pile 
Deviation 
N (m)]]</f>
        <v>1511700.993</v>
      </c>
      <c r="T1634" s="7">
        <f>Table2[[#This Row],[E]]+Table2[[#This Row],[Pile 
Deviation 
E (m)]]</f>
        <v>694040.49399999995</v>
      </c>
      <c r="W1634" s="7">
        <v>0.24</v>
      </c>
      <c r="X1634" s="2" t="s">
        <v>51</v>
      </c>
    </row>
    <row r="1635" spans="1:24" ht="13.95" hidden="1" customHeight="1" x14ac:dyDescent="0.65">
      <c r="A1635">
        <v>1629</v>
      </c>
      <c r="B1635" t="s">
        <v>29</v>
      </c>
      <c r="C1635" s="6">
        <v>1511700.9439999999</v>
      </c>
      <c r="D1635" s="6">
        <v>694034.48400000005</v>
      </c>
      <c r="E1635" s="2" t="s">
        <v>35</v>
      </c>
      <c r="F1635" s="1">
        <v>24</v>
      </c>
      <c r="G1635" s="2" t="s">
        <v>50</v>
      </c>
      <c r="J1635"/>
      <c r="K1635" s="19"/>
      <c r="L1635" s="21"/>
      <c r="M1635" s="27"/>
      <c r="N1635" s="19"/>
      <c r="O1635" s="21"/>
      <c r="Q1635" s="7">
        <f>Table2[[#This Row],[Elevation
PILE TOP]]-Table2[[#This Row],[LENGTH(m.)
(Actual)]]</f>
        <v>0</v>
      </c>
      <c r="R1635" s="2"/>
      <c r="S1635" s="7">
        <f>Table2[[#This Row],[N]]+Table2[[#This Row],[Pile 
Deviation 
N (m)]]</f>
        <v>1511700.9439999999</v>
      </c>
      <c r="T1635" s="7">
        <f>Table2[[#This Row],[E]]+Table2[[#This Row],[Pile 
Deviation 
E (m)]]</f>
        <v>694034.48400000005</v>
      </c>
      <c r="W1635" s="7">
        <v>0.24</v>
      </c>
      <c r="X1635" s="2" t="s">
        <v>51</v>
      </c>
    </row>
    <row r="1636" spans="1:24" hidden="1" x14ac:dyDescent="0.65">
      <c r="A1636">
        <v>1630</v>
      </c>
      <c r="B1636" t="s">
        <v>29</v>
      </c>
      <c r="C1636" s="6">
        <v>1511700.9110000001</v>
      </c>
      <c r="D1636" s="6">
        <v>694016.63800000004</v>
      </c>
      <c r="E1636" s="2" t="s">
        <v>35</v>
      </c>
      <c r="F1636" s="1">
        <v>24</v>
      </c>
      <c r="G1636" s="2" t="s">
        <v>50</v>
      </c>
      <c r="J1636"/>
      <c r="K1636" s="19"/>
      <c r="L1636" s="21"/>
      <c r="M1636" s="27"/>
      <c r="N1636" s="19"/>
      <c r="O1636" s="21"/>
      <c r="Q1636" s="7">
        <f>Table2[[#This Row],[Elevation
PILE TOP]]-Table2[[#This Row],[LENGTH(m.)
(Actual)]]</f>
        <v>0</v>
      </c>
      <c r="R1636" s="2"/>
      <c r="S1636" s="7">
        <f>Table2[[#This Row],[N]]+Table2[[#This Row],[Pile 
Deviation 
N (m)]]</f>
        <v>1511700.9110000001</v>
      </c>
      <c r="T1636" s="7">
        <f>Table2[[#This Row],[E]]+Table2[[#This Row],[Pile 
Deviation 
E (m)]]</f>
        <v>694016.63800000004</v>
      </c>
      <c r="W1636" s="7">
        <v>0.24</v>
      </c>
      <c r="X1636" s="2" t="s">
        <v>51</v>
      </c>
    </row>
    <row r="1637" spans="1:24" ht="13.95" hidden="1" customHeight="1" x14ac:dyDescent="0.65">
      <c r="A1637">
        <v>1631</v>
      </c>
      <c r="B1637" t="s">
        <v>29</v>
      </c>
      <c r="C1637" s="6">
        <v>1511700.8770000001</v>
      </c>
      <c r="D1637" s="6">
        <v>693998.79099999997</v>
      </c>
      <c r="E1637" s="2" t="s">
        <v>35</v>
      </c>
      <c r="F1637" s="1">
        <v>24</v>
      </c>
      <c r="G1637" s="2" t="s">
        <v>50</v>
      </c>
      <c r="J1637"/>
      <c r="K1637" s="19"/>
      <c r="L1637" s="21"/>
      <c r="M1637" s="27"/>
      <c r="N1637" s="19"/>
      <c r="O1637" s="21"/>
      <c r="Q1637" s="7">
        <f>Table2[[#This Row],[Elevation
PILE TOP]]-Table2[[#This Row],[LENGTH(m.)
(Actual)]]</f>
        <v>0</v>
      </c>
      <c r="R1637" s="2"/>
      <c r="S1637" s="7">
        <f>Table2[[#This Row],[N]]+Table2[[#This Row],[Pile 
Deviation 
N (m)]]</f>
        <v>1511700.8770000001</v>
      </c>
      <c r="T1637" s="7">
        <f>Table2[[#This Row],[E]]+Table2[[#This Row],[Pile 
Deviation 
E (m)]]</f>
        <v>693998.79099999997</v>
      </c>
      <c r="W1637" s="7">
        <v>0.24</v>
      </c>
      <c r="X1637" s="2" t="s">
        <v>51</v>
      </c>
    </row>
    <row r="1638" spans="1:24" hidden="1" x14ac:dyDescent="0.65">
      <c r="A1638">
        <v>1632</v>
      </c>
      <c r="B1638" t="s">
        <v>29</v>
      </c>
      <c r="C1638" s="6">
        <v>1511700.844</v>
      </c>
      <c r="D1638" s="6">
        <v>693980.94499999995</v>
      </c>
      <c r="E1638" s="2" t="s">
        <v>35</v>
      </c>
      <c r="F1638" s="1">
        <v>24</v>
      </c>
      <c r="G1638" s="2" t="s">
        <v>50</v>
      </c>
      <c r="J1638"/>
      <c r="K1638" s="19"/>
      <c r="L1638" s="21"/>
      <c r="M1638" s="27"/>
      <c r="N1638" s="19"/>
      <c r="O1638" s="21"/>
      <c r="Q1638" s="7">
        <f>Table2[[#This Row],[Elevation
PILE TOP]]-Table2[[#This Row],[LENGTH(m.)
(Actual)]]</f>
        <v>0</v>
      </c>
      <c r="R1638" s="2"/>
      <c r="S1638" s="7">
        <f>Table2[[#This Row],[N]]+Table2[[#This Row],[Pile 
Deviation 
N (m)]]</f>
        <v>1511700.844</v>
      </c>
      <c r="T1638" s="7">
        <f>Table2[[#This Row],[E]]+Table2[[#This Row],[Pile 
Deviation 
E (m)]]</f>
        <v>693980.94499999995</v>
      </c>
      <c r="W1638" s="7">
        <v>0.24</v>
      </c>
      <c r="X1638" s="2" t="s">
        <v>51</v>
      </c>
    </row>
    <row r="1639" spans="1:24" ht="13.95" hidden="1" customHeight="1" x14ac:dyDescent="0.65">
      <c r="A1639">
        <v>1633</v>
      </c>
      <c r="B1639" t="s">
        <v>29</v>
      </c>
      <c r="C1639" s="6">
        <v>1511700.81</v>
      </c>
      <c r="D1639" s="6">
        <v>693963.098</v>
      </c>
      <c r="E1639" s="2" t="s">
        <v>35</v>
      </c>
      <c r="F1639" s="1">
        <v>24</v>
      </c>
      <c r="G1639" s="2" t="s">
        <v>50</v>
      </c>
      <c r="J1639"/>
      <c r="K1639" s="19"/>
      <c r="L1639" s="21"/>
      <c r="M1639" s="27"/>
      <c r="N1639" s="19"/>
      <c r="O1639" s="21"/>
      <c r="Q1639" s="7">
        <f>Table2[[#This Row],[Elevation
PILE TOP]]-Table2[[#This Row],[LENGTH(m.)
(Actual)]]</f>
        <v>0</v>
      </c>
      <c r="R1639" s="2"/>
      <c r="S1639" s="7">
        <f>Table2[[#This Row],[N]]+Table2[[#This Row],[Pile 
Deviation 
N (m)]]</f>
        <v>1511700.81</v>
      </c>
      <c r="T1639" s="7">
        <f>Table2[[#This Row],[E]]+Table2[[#This Row],[Pile 
Deviation 
E (m)]]</f>
        <v>693963.098</v>
      </c>
      <c r="W1639" s="7">
        <v>0.24</v>
      </c>
      <c r="X1639" s="2" t="s">
        <v>51</v>
      </c>
    </row>
    <row r="1640" spans="1:24" hidden="1" x14ac:dyDescent="0.65">
      <c r="A1640">
        <v>1634</v>
      </c>
      <c r="B1640" t="s">
        <v>29</v>
      </c>
      <c r="C1640" s="6">
        <v>1511700.55</v>
      </c>
      <c r="D1640" s="6">
        <v>694078.00399999996</v>
      </c>
      <c r="E1640" s="2" t="s">
        <v>35</v>
      </c>
      <c r="F1640" s="1">
        <v>24</v>
      </c>
      <c r="G1640" s="2" t="s">
        <v>50</v>
      </c>
      <c r="J1640"/>
      <c r="K1640" s="19"/>
      <c r="L1640" s="21"/>
      <c r="M1640" s="27"/>
      <c r="N1640" s="19"/>
      <c r="O1640" s="21"/>
      <c r="Q1640" s="7">
        <f>Table2[[#This Row],[Elevation
PILE TOP]]-Table2[[#This Row],[LENGTH(m.)
(Actual)]]</f>
        <v>0</v>
      </c>
      <c r="R1640" s="2"/>
      <c r="S1640" s="7">
        <f>Table2[[#This Row],[N]]+Table2[[#This Row],[Pile 
Deviation 
N (m)]]</f>
        <v>1511700.55</v>
      </c>
      <c r="T1640" s="7">
        <f>Table2[[#This Row],[E]]+Table2[[#This Row],[Pile 
Deviation 
E (m)]]</f>
        <v>694078.00399999996</v>
      </c>
      <c r="W1640" s="7">
        <v>0.24</v>
      </c>
      <c r="X1640" s="2" t="s">
        <v>51</v>
      </c>
    </row>
    <row r="1641" spans="1:24" ht="13.95" hidden="1" customHeight="1" x14ac:dyDescent="0.65">
      <c r="A1641">
        <v>1635</v>
      </c>
      <c r="B1641" t="s">
        <v>29</v>
      </c>
      <c r="C1641" s="6">
        <v>1511700.36</v>
      </c>
      <c r="D1641" s="6">
        <v>694070.39099999995</v>
      </c>
      <c r="E1641" s="2" t="s">
        <v>35</v>
      </c>
      <c r="F1641" s="1">
        <v>24</v>
      </c>
      <c r="G1641" s="2" t="s">
        <v>50</v>
      </c>
      <c r="J1641"/>
      <c r="K1641" s="19"/>
      <c r="L1641" s="21"/>
      <c r="M1641" s="27"/>
      <c r="N1641" s="19"/>
      <c r="O1641" s="21"/>
      <c r="Q1641" s="7">
        <f>Table2[[#This Row],[Elevation
PILE TOP]]-Table2[[#This Row],[LENGTH(m.)
(Actual)]]</f>
        <v>0</v>
      </c>
      <c r="R1641" s="2"/>
      <c r="S1641" s="7">
        <f>Table2[[#This Row],[N]]+Table2[[#This Row],[Pile 
Deviation 
N (m)]]</f>
        <v>1511700.36</v>
      </c>
      <c r="T1641" s="7">
        <f>Table2[[#This Row],[E]]+Table2[[#This Row],[Pile 
Deviation 
E (m)]]</f>
        <v>694070.39099999995</v>
      </c>
      <c r="W1641" s="7">
        <v>0.24</v>
      </c>
      <c r="X1641" s="2" t="s">
        <v>51</v>
      </c>
    </row>
    <row r="1642" spans="1:24" hidden="1" x14ac:dyDescent="0.65">
      <c r="A1642">
        <v>1636</v>
      </c>
      <c r="B1642" t="s">
        <v>29</v>
      </c>
      <c r="C1642" s="6">
        <v>1511700.3489999999</v>
      </c>
      <c r="D1642" s="6">
        <v>694051.54299999995</v>
      </c>
      <c r="E1642" s="2" t="s">
        <v>35</v>
      </c>
      <c r="F1642" s="1">
        <v>24</v>
      </c>
      <c r="G1642" s="2" t="s">
        <v>50</v>
      </c>
      <c r="J1642"/>
      <c r="K1642" s="19"/>
      <c r="L1642" s="21"/>
      <c r="M1642" s="27"/>
      <c r="N1642" s="19"/>
      <c r="O1642" s="21"/>
      <c r="Q1642" s="7">
        <f>Table2[[#This Row],[Elevation
PILE TOP]]-Table2[[#This Row],[LENGTH(m.)
(Actual)]]</f>
        <v>0</v>
      </c>
      <c r="R1642" s="2"/>
      <c r="S1642" s="7">
        <f>Table2[[#This Row],[N]]+Table2[[#This Row],[Pile 
Deviation 
N (m)]]</f>
        <v>1511700.3489999999</v>
      </c>
      <c r="T1642" s="7">
        <f>Table2[[#This Row],[E]]+Table2[[#This Row],[Pile 
Deviation 
E (m)]]</f>
        <v>694051.54299999995</v>
      </c>
      <c r="W1642" s="7">
        <v>0.24</v>
      </c>
      <c r="X1642" s="2" t="s">
        <v>51</v>
      </c>
    </row>
    <row r="1643" spans="1:24" ht="13.95" hidden="1" customHeight="1" x14ac:dyDescent="0.65">
      <c r="A1643">
        <v>1637</v>
      </c>
      <c r="B1643" t="s">
        <v>29</v>
      </c>
      <c r="C1643" s="6">
        <v>1511700.3389999999</v>
      </c>
      <c r="D1643" s="6">
        <v>694032.69499999995</v>
      </c>
      <c r="E1643" s="2" t="s">
        <v>35</v>
      </c>
      <c r="F1643" s="1">
        <v>24</v>
      </c>
      <c r="G1643" s="2" t="s">
        <v>50</v>
      </c>
      <c r="J1643"/>
      <c r="K1643" s="19"/>
      <c r="L1643" s="21"/>
      <c r="M1643" s="27"/>
      <c r="N1643" s="19"/>
      <c r="O1643" s="21"/>
      <c r="Q1643" s="7">
        <f>Table2[[#This Row],[Elevation
PILE TOP]]-Table2[[#This Row],[LENGTH(m.)
(Actual)]]</f>
        <v>0</v>
      </c>
      <c r="R1643" s="2"/>
      <c r="S1643" s="7">
        <f>Table2[[#This Row],[N]]+Table2[[#This Row],[Pile 
Deviation 
N (m)]]</f>
        <v>1511700.3389999999</v>
      </c>
      <c r="T1643" s="7">
        <f>Table2[[#This Row],[E]]+Table2[[#This Row],[Pile 
Deviation 
E (m)]]</f>
        <v>694032.69499999995</v>
      </c>
      <c r="W1643" s="7">
        <v>0.24</v>
      </c>
      <c r="X1643" s="2" t="s">
        <v>51</v>
      </c>
    </row>
    <row r="1644" spans="1:24" hidden="1" x14ac:dyDescent="0.65">
      <c r="A1644">
        <v>1638</v>
      </c>
      <c r="B1644" t="s">
        <v>29</v>
      </c>
      <c r="C1644" s="6">
        <v>1511700.2509999999</v>
      </c>
      <c r="D1644" s="6">
        <v>694031.054</v>
      </c>
      <c r="E1644" s="2" t="s">
        <v>35</v>
      </c>
      <c r="F1644" s="1">
        <v>24</v>
      </c>
      <c r="G1644" s="2" t="s">
        <v>50</v>
      </c>
      <c r="J1644"/>
      <c r="K1644" s="19"/>
      <c r="L1644" s="21"/>
      <c r="M1644" s="27"/>
      <c r="N1644" s="19"/>
      <c r="O1644" s="21"/>
      <c r="Q1644" s="7">
        <f>Table2[[#This Row],[Elevation
PILE TOP]]-Table2[[#This Row],[LENGTH(m.)
(Actual)]]</f>
        <v>0</v>
      </c>
      <c r="R1644" s="2"/>
      <c r="S1644" s="7">
        <f>Table2[[#This Row],[N]]+Table2[[#This Row],[Pile 
Deviation 
N (m)]]</f>
        <v>1511700.2509999999</v>
      </c>
      <c r="T1644" s="7">
        <f>Table2[[#This Row],[E]]+Table2[[#This Row],[Pile 
Deviation 
E (m)]]</f>
        <v>694031.054</v>
      </c>
      <c r="W1644" s="7">
        <v>0.24</v>
      </c>
      <c r="X1644" s="2" t="s">
        <v>51</v>
      </c>
    </row>
    <row r="1645" spans="1:24" ht="13.95" hidden="1" customHeight="1" x14ac:dyDescent="0.65">
      <c r="A1645">
        <v>1639</v>
      </c>
      <c r="B1645" t="s">
        <v>29</v>
      </c>
      <c r="C1645" s="6">
        <v>1511700.2180000001</v>
      </c>
      <c r="D1645" s="6">
        <v>694013.20700000005</v>
      </c>
      <c r="E1645" s="2" t="s">
        <v>35</v>
      </c>
      <c r="F1645" s="1">
        <v>24</v>
      </c>
      <c r="G1645" s="2" t="s">
        <v>50</v>
      </c>
      <c r="J1645"/>
      <c r="K1645" s="19"/>
      <c r="L1645" s="21"/>
      <c r="M1645" s="27"/>
      <c r="N1645" s="19"/>
      <c r="O1645" s="21"/>
      <c r="Q1645" s="7">
        <f>Table2[[#This Row],[Elevation
PILE TOP]]-Table2[[#This Row],[LENGTH(m.)
(Actual)]]</f>
        <v>0</v>
      </c>
      <c r="R1645" s="2"/>
      <c r="S1645" s="7">
        <f>Table2[[#This Row],[N]]+Table2[[#This Row],[Pile 
Deviation 
N (m)]]</f>
        <v>1511700.2180000001</v>
      </c>
      <c r="T1645" s="7">
        <f>Table2[[#This Row],[E]]+Table2[[#This Row],[Pile 
Deviation 
E (m)]]</f>
        <v>694013.20700000005</v>
      </c>
      <c r="W1645" s="7">
        <v>0.24</v>
      </c>
      <c r="X1645" s="2" t="s">
        <v>51</v>
      </c>
    </row>
    <row r="1646" spans="1:24" hidden="1" x14ac:dyDescent="0.65">
      <c r="A1646">
        <v>1640</v>
      </c>
      <c r="B1646" t="s">
        <v>29</v>
      </c>
      <c r="C1646" s="6">
        <v>1511700.1839999999</v>
      </c>
      <c r="D1646" s="6">
        <v>693995.36100000003</v>
      </c>
      <c r="E1646" s="2" t="s">
        <v>35</v>
      </c>
      <c r="F1646" s="1">
        <v>24</v>
      </c>
      <c r="G1646" s="2" t="s">
        <v>50</v>
      </c>
      <c r="J1646"/>
      <c r="K1646" s="19"/>
      <c r="L1646" s="21"/>
      <c r="M1646" s="27"/>
      <c r="N1646" s="19"/>
      <c r="O1646" s="21"/>
      <c r="Q1646" s="7">
        <f>Table2[[#This Row],[Elevation
PILE TOP]]-Table2[[#This Row],[LENGTH(m.)
(Actual)]]</f>
        <v>0</v>
      </c>
      <c r="R1646" s="2"/>
      <c r="S1646" s="7">
        <f>Table2[[#This Row],[N]]+Table2[[#This Row],[Pile 
Deviation 
N (m)]]</f>
        <v>1511700.1839999999</v>
      </c>
      <c r="T1646" s="7">
        <f>Table2[[#This Row],[E]]+Table2[[#This Row],[Pile 
Deviation 
E (m)]]</f>
        <v>693995.36100000003</v>
      </c>
      <c r="W1646" s="7">
        <v>0.24</v>
      </c>
      <c r="X1646" s="2" t="s">
        <v>51</v>
      </c>
    </row>
    <row r="1647" spans="1:24" ht="13.95" hidden="1" customHeight="1" x14ac:dyDescent="0.65">
      <c r="A1647">
        <v>1641</v>
      </c>
      <c r="B1647" t="s">
        <v>29</v>
      </c>
      <c r="C1647" s="6">
        <v>1511700.172</v>
      </c>
      <c r="D1647" s="6">
        <v>693912.55299999996</v>
      </c>
      <c r="E1647" s="2" t="s">
        <v>35</v>
      </c>
      <c r="F1647" s="1">
        <v>24</v>
      </c>
      <c r="G1647" s="2" t="s">
        <v>50</v>
      </c>
      <c r="J1647"/>
      <c r="K1647" s="19"/>
      <c r="L1647" s="21"/>
      <c r="M1647" s="27"/>
      <c r="N1647" s="19"/>
      <c r="O1647" s="21"/>
      <c r="Q1647" s="7">
        <f>Table2[[#This Row],[Elevation
PILE TOP]]-Table2[[#This Row],[LENGTH(m.)
(Actual)]]</f>
        <v>0</v>
      </c>
      <c r="R1647" s="2"/>
      <c r="S1647" s="7">
        <f>Table2[[#This Row],[N]]+Table2[[#This Row],[Pile 
Deviation 
N (m)]]</f>
        <v>1511700.172</v>
      </c>
      <c r="T1647" s="7">
        <f>Table2[[#This Row],[E]]+Table2[[#This Row],[Pile 
Deviation 
E (m)]]</f>
        <v>693912.55299999996</v>
      </c>
      <c r="W1647" s="7">
        <v>0.24</v>
      </c>
      <c r="X1647" s="2" t="s">
        <v>51</v>
      </c>
    </row>
    <row r="1648" spans="1:24" hidden="1" x14ac:dyDescent="0.65">
      <c r="A1648">
        <v>1642</v>
      </c>
      <c r="B1648" t="s">
        <v>29</v>
      </c>
      <c r="C1648" s="6">
        <v>1511700.1510000001</v>
      </c>
      <c r="D1648" s="6">
        <v>693977.51399999997</v>
      </c>
      <c r="E1648" s="2" t="s">
        <v>35</v>
      </c>
      <c r="F1648" s="1">
        <v>24</v>
      </c>
      <c r="G1648" s="2" t="s">
        <v>50</v>
      </c>
      <c r="J1648"/>
      <c r="K1648" s="19"/>
      <c r="L1648" s="21"/>
      <c r="M1648" s="27"/>
      <c r="N1648" s="19"/>
      <c r="O1648" s="21"/>
      <c r="Q1648" s="7">
        <f>Table2[[#This Row],[Elevation
PILE TOP]]-Table2[[#This Row],[LENGTH(m.)
(Actual)]]</f>
        <v>0</v>
      </c>
      <c r="R1648" s="2"/>
      <c r="S1648" s="7">
        <f>Table2[[#This Row],[N]]+Table2[[#This Row],[Pile 
Deviation 
N (m)]]</f>
        <v>1511700.1510000001</v>
      </c>
      <c r="T1648" s="7">
        <f>Table2[[#This Row],[E]]+Table2[[#This Row],[Pile 
Deviation 
E (m)]]</f>
        <v>693977.51399999997</v>
      </c>
      <c r="W1648" s="7">
        <v>0.24</v>
      </c>
      <c r="X1648" s="2" t="s">
        <v>51</v>
      </c>
    </row>
    <row r="1649" spans="1:27" ht="13.95" hidden="1" customHeight="1" x14ac:dyDescent="0.65">
      <c r="A1649">
        <v>1643</v>
      </c>
      <c r="B1649" t="s">
        <v>29</v>
      </c>
      <c r="C1649" s="6">
        <v>1511700.118</v>
      </c>
      <c r="D1649" s="6">
        <v>693959.66799999995</v>
      </c>
      <c r="E1649" s="2" t="s">
        <v>35</v>
      </c>
      <c r="F1649" s="1">
        <v>24</v>
      </c>
      <c r="G1649" s="2" t="s">
        <v>50</v>
      </c>
      <c r="J1649"/>
      <c r="K1649" s="19"/>
      <c r="L1649" s="21"/>
      <c r="M1649" s="27"/>
      <c r="N1649" s="19"/>
      <c r="O1649" s="21"/>
      <c r="Q1649" s="7">
        <f>Table2[[#This Row],[Elevation
PILE TOP]]-Table2[[#This Row],[LENGTH(m.)
(Actual)]]</f>
        <v>0</v>
      </c>
      <c r="R1649" s="2"/>
      <c r="S1649" s="7">
        <f>Table2[[#This Row],[N]]+Table2[[#This Row],[Pile 
Deviation 
N (m)]]</f>
        <v>1511700.118</v>
      </c>
      <c r="T1649" s="7">
        <f>Table2[[#This Row],[E]]+Table2[[#This Row],[Pile 
Deviation 
E (m)]]</f>
        <v>693959.66799999995</v>
      </c>
      <c r="W1649" s="7">
        <v>0.24</v>
      </c>
      <c r="X1649" s="2" t="s">
        <v>51</v>
      </c>
    </row>
    <row r="1650" spans="1:27" x14ac:dyDescent="0.65">
      <c r="A1650">
        <v>1644</v>
      </c>
      <c r="B1650" t="s">
        <v>29</v>
      </c>
      <c r="C1650" s="6">
        <v>1511700.0249999999</v>
      </c>
      <c r="D1650" s="6">
        <v>693950.33400000003</v>
      </c>
      <c r="E1650" s="2" t="s">
        <v>35</v>
      </c>
      <c r="F1650" s="1">
        <v>24</v>
      </c>
      <c r="G1650" s="2" t="s">
        <v>50</v>
      </c>
      <c r="J1650"/>
      <c r="K1650" s="19"/>
      <c r="L1650" s="21"/>
      <c r="M1650" s="27"/>
      <c r="N1650" s="19"/>
      <c r="O1650" s="21"/>
      <c r="Q1650" s="7">
        <f>Table2[[#This Row],[Elevation
PILE TOP]]-Table2[[#This Row],[LENGTH(m.)
(Actual)]]</f>
        <v>0</v>
      </c>
      <c r="R1650" s="2"/>
      <c r="S1650" s="7">
        <f>Table2[[#This Row],[N]]+Table2[[#This Row],[Pile 
Deviation 
N (m)]]</f>
        <v>1511700.0249999999</v>
      </c>
      <c r="T1650" s="7">
        <f>Table2[[#This Row],[E]]+Table2[[#This Row],[Pile 
Deviation 
E (m)]]</f>
        <v>693950.33400000003</v>
      </c>
      <c r="W1650" s="7">
        <v>0.24</v>
      </c>
      <c r="X1650" s="2" t="s">
        <v>51</v>
      </c>
      <c r="AA1650" s="9">
        <v>46202</v>
      </c>
    </row>
    <row r="1651" spans="1:27" ht="13.95" hidden="1" customHeight="1" x14ac:dyDescent="0.65">
      <c r="A1651">
        <v>1645</v>
      </c>
      <c r="B1651" t="s">
        <v>29</v>
      </c>
      <c r="C1651" s="6">
        <v>1511699.726</v>
      </c>
      <c r="D1651" s="6">
        <v>694100.28799999994</v>
      </c>
      <c r="E1651" s="2" t="s">
        <v>35</v>
      </c>
      <c r="F1651" s="1">
        <v>24</v>
      </c>
      <c r="G1651" s="2" t="s">
        <v>50</v>
      </c>
      <c r="J1651"/>
      <c r="K1651" s="19"/>
      <c r="L1651" s="21"/>
      <c r="M1651" s="27"/>
      <c r="N1651" s="19"/>
      <c r="O1651" s="21"/>
      <c r="Q1651" s="7">
        <f>Table2[[#This Row],[Elevation
PILE TOP]]-Table2[[#This Row],[LENGTH(m.)
(Actual)]]</f>
        <v>0</v>
      </c>
      <c r="R1651" s="2"/>
      <c r="S1651" s="7">
        <f>Table2[[#This Row],[N]]+Table2[[#This Row],[Pile 
Deviation 
N (m)]]</f>
        <v>1511699.726</v>
      </c>
      <c r="T1651" s="7">
        <f>Table2[[#This Row],[E]]+Table2[[#This Row],[Pile 
Deviation 
E (m)]]</f>
        <v>694100.28799999994</v>
      </c>
      <c r="W1651" s="7">
        <v>0.24</v>
      </c>
      <c r="X1651" s="2" t="s">
        <v>51</v>
      </c>
    </row>
    <row r="1652" spans="1:27" hidden="1" x14ac:dyDescent="0.65">
      <c r="A1652">
        <v>1646</v>
      </c>
      <c r="B1652" t="s">
        <v>29</v>
      </c>
      <c r="C1652" s="6">
        <v>1511699.7050000001</v>
      </c>
      <c r="D1652" s="6">
        <v>694062.59199999995</v>
      </c>
      <c r="E1652" s="2" t="s">
        <v>35</v>
      </c>
      <c r="F1652" s="1">
        <v>24</v>
      </c>
      <c r="G1652" s="2" t="s">
        <v>50</v>
      </c>
      <c r="J1652"/>
      <c r="K1652" s="19"/>
      <c r="L1652" s="21"/>
      <c r="M1652" s="27"/>
      <c r="N1652" s="19"/>
      <c r="O1652" s="21"/>
      <c r="Q1652" s="7">
        <f>Table2[[#This Row],[Elevation
PILE TOP]]-Table2[[#This Row],[LENGTH(m.)
(Actual)]]</f>
        <v>0</v>
      </c>
      <c r="R1652" s="2"/>
      <c r="S1652" s="7">
        <f>Table2[[#This Row],[N]]+Table2[[#This Row],[Pile 
Deviation 
N (m)]]</f>
        <v>1511699.7050000001</v>
      </c>
      <c r="T1652" s="7">
        <f>Table2[[#This Row],[E]]+Table2[[#This Row],[Pile 
Deviation 
E (m)]]</f>
        <v>694062.59199999995</v>
      </c>
      <c r="W1652" s="7">
        <v>0.24</v>
      </c>
      <c r="X1652" s="2" t="s">
        <v>51</v>
      </c>
    </row>
    <row r="1653" spans="1:27" ht="13.95" hidden="1" customHeight="1" x14ac:dyDescent="0.65">
      <c r="A1653">
        <v>1647</v>
      </c>
      <c r="B1653" t="s">
        <v>29</v>
      </c>
      <c r="C1653" s="6">
        <v>1511699.6950000001</v>
      </c>
      <c r="D1653" s="6">
        <v>694043.74399999995</v>
      </c>
      <c r="E1653" s="2" t="s">
        <v>35</v>
      </c>
      <c r="F1653" s="1">
        <v>24</v>
      </c>
      <c r="G1653" s="2" t="s">
        <v>50</v>
      </c>
      <c r="J1653"/>
      <c r="K1653" s="19"/>
      <c r="L1653" s="21"/>
      <c r="M1653" s="27"/>
      <c r="N1653" s="19"/>
      <c r="O1653" s="21"/>
      <c r="Q1653" s="7">
        <f>Table2[[#This Row],[Elevation
PILE TOP]]-Table2[[#This Row],[LENGTH(m.)
(Actual)]]</f>
        <v>0</v>
      </c>
      <c r="R1653" s="2"/>
      <c r="S1653" s="7">
        <f>Table2[[#This Row],[N]]+Table2[[#This Row],[Pile 
Deviation 
N (m)]]</f>
        <v>1511699.6950000001</v>
      </c>
      <c r="T1653" s="7">
        <f>Table2[[#This Row],[E]]+Table2[[#This Row],[Pile 
Deviation 
E (m)]]</f>
        <v>694043.74399999995</v>
      </c>
      <c r="W1653" s="7">
        <v>0.24</v>
      </c>
      <c r="X1653" s="2" t="s">
        <v>51</v>
      </c>
    </row>
    <row r="1654" spans="1:27" hidden="1" x14ac:dyDescent="0.65">
      <c r="A1654">
        <v>1648</v>
      </c>
      <c r="B1654" t="s">
        <v>29</v>
      </c>
      <c r="C1654" s="6">
        <v>1511699.632</v>
      </c>
      <c r="D1654" s="6">
        <v>693956.375</v>
      </c>
      <c r="E1654" s="2" t="s">
        <v>35</v>
      </c>
      <c r="F1654" s="1">
        <v>24</v>
      </c>
      <c r="G1654" s="2" t="s">
        <v>50</v>
      </c>
      <c r="J1654"/>
      <c r="K1654" s="19"/>
      <c r="L1654" s="21"/>
      <c r="M1654" s="27"/>
      <c r="N1654" s="19"/>
      <c r="O1654" s="21"/>
      <c r="Q1654" s="7">
        <f>Table2[[#This Row],[Elevation
PILE TOP]]-Table2[[#This Row],[LENGTH(m.)
(Actual)]]</f>
        <v>0</v>
      </c>
      <c r="R1654" s="2"/>
      <c r="S1654" s="7">
        <f>Table2[[#This Row],[N]]+Table2[[#This Row],[Pile 
Deviation 
N (m)]]</f>
        <v>1511699.632</v>
      </c>
      <c r="T1654" s="7">
        <f>Table2[[#This Row],[E]]+Table2[[#This Row],[Pile 
Deviation 
E (m)]]</f>
        <v>693956.375</v>
      </c>
      <c r="W1654" s="7">
        <v>0.24</v>
      </c>
      <c r="X1654" s="2" t="s">
        <v>51</v>
      </c>
    </row>
    <row r="1655" spans="1:27" ht="13.95" hidden="1" customHeight="1" x14ac:dyDescent="0.65">
      <c r="A1655">
        <v>1649</v>
      </c>
      <c r="B1655" t="s">
        <v>29</v>
      </c>
      <c r="C1655" s="6">
        <v>1511699.558</v>
      </c>
      <c r="D1655" s="6">
        <v>694027.62300000002</v>
      </c>
      <c r="E1655" s="2" t="s">
        <v>35</v>
      </c>
      <c r="F1655" s="1">
        <v>24</v>
      </c>
      <c r="G1655" s="2" t="s">
        <v>50</v>
      </c>
      <c r="J1655"/>
      <c r="K1655" s="19"/>
      <c r="L1655" s="21"/>
      <c r="M1655" s="27"/>
      <c r="N1655" s="19"/>
      <c r="O1655" s="21"/>
      <c r="Q1655" s="7">
        <f>Table2[[#This Row],[Elevation
PILE TOP]]-Table2[[#This Row],[LENGTH(m.)
(Actual)]]</f>
        <v>0</v>
      </c>
      <c r="R1655" s="2"/>
      <c r="S1655" s="7">
        <f>Table2[[#This Row],[N]]+Table2[[#This Row],[Pile 
Deviation 
N (m)]]</f>
        <v>1511699.558</v>
      </c>
      <c r="T1655" s="7">
        <f>Table2[[#This Row],[E]]+Table2[[#This Row],[Pile 
Deviation 
E (m)]]</f>
        <v>694027.62300000002</v>
      </c>
      <c r="W1655" s="7">
        <v>0.24</v>
      </c>
      <c r="X1655" s="2" t="s">
        <v>51</v>
      </c>
    </row>
    <row r="1656" spans="1:27" hidden="1" x14ac:dyDescent="0.65">
      <c r="A1656">
        <v>1650</v>
      </c>
      <c r="B1656" t="s">
        <v>29</v>
      </c>
      <c r="C1656" s="6">
        <v>1511699.5249999999</v>
      </c>
      <c r="D1656" s="6">
        <v>694009.77599999995</v>
      </c>
      <c r="E1656" s="2" t="s">
        <v>35</v>
      </c>
      <c r="F1656" s="1">
        <v>24</v>
      </c>
      <c r="G1656" s="2" t="s">
        <v>50</v>
      </c>
      <c r="J1656"/>
      <c r="K1656" s="19"/>
      <c r="L1656" s="21"/>
      <c r="M1656" s="27"/>
      <c r="N1656" s="19"/>
      <c r="O1656" s="21"/>
      <c r="Q1656" s="7">
        <f>Table2[[#This Row],[Elevation
PILE TOP]]-Table2[[#This Row],[LENGTH(m.)
(Actual)]]</f>
        <v>0</v>
      </c>
      <c r="R1656" s="2"/>
      <c r="S1656" s="7">
        <f>Table2[[#This Row],[N]]+Table2[[#This Row],[Pile 
Deviation 
N (m)]]</f>
        <v>1511699.5249999999</v>
      </c>
      <c r="T1656" s="7">
        <f>Table2[[#This Row],[E]]+Table2[[#This Row],[Pile 
Deviation 
E (m)]]</f>
        <v>694009.77599999995</v>
      </c>
      <c r="W1656" s="7">
        <v>0.24</v>
      </c>
      <c r="X1656" s="2" t="s">
        <v>51</v>
      </c>
    </row>
    <row r="1657" spans="1:27" ht="13.95" hidden="1" customHeight="1" x14ac:dyDescent="0.65">
      <c r="A1657">
        <v>1651</v>
      </c>
      <c r="B1657" t="s">
        <v>29</v>
      </c>
      <c r="C1657" s="6">
        <v>1511699.4920000001</v>
      </c>
      <c r="D1657" s="6">
        <v>693991.93</v>
      </c>
      <c r="E1657" s="2" t="s">
        <v>35</v>
      </c>
      <c r="F1657" s="1">
        <v>24</v>
      </c>
      <c r="G1657" s="2" t="s">
        <v>50</v>
      </c>
      <c r="J1657"/>
      <c r="K1657" s="19"/>
      <c r="L1657" s="21"/>
      <c r="M1657" s="27"/>
      <c r="N1657" s="19"/>
      <c r="O1657" s="21"/>
      <c r="Q1657" s="7">
        <f>Table2[[#This Row],[Elevation
PILE TOP]]-Table2[[#This Row],[LENGTH(m.)
(Actual)]]</f>
        <v>0</v>
      </c>
      <c r="R1657" s="2"/>
      <c r="S1657" s="7">
        <f>Table2[[#This Row],[N]]+Table2[[#This Row],[Pile 
Deviation 
N (m)]]</f>
        <v>1511699.4920000001</v>
      </c>
      <c r="T1657" s="7">
        <f>Table2[[#This Row],[E]]+Table2[[#This Row],[Pile 
Deviation 
E (m)]]</f>
        <v>693991.93</v>
      </c>
      <c r="W1657" s="7">
        <v>0.24</v>
      </c>
      <c r="X1657" s="2" t="s">
        <v>51</v>
      </c>
    </row>
    <row r="1658" spans="1:27" hidden="1" x14ac:dyDescent="0.65">
      <c r="A1658">
        <v>1652</v>
      </c>
      <c r="B1658" t="s">
        <v>29</v>
      </c>
      <c r="C1658" s="6">
        <v>1511699.4580000001</v>
      </c>
      <c r="D1658" s="6">
        <v>693974.08299999998</v>
      </c>
      <c r="E1658" s="2" t="s">
        <v>35</v>
      </c>
      <c r="F1658" s="1">
        <v>24</v>
      </c>
      <c r="G1658" s="2" t="s">
        <v>50</v>
      </c>
      <c r="J1658"/>
      <c r="K1658" s="19"/>
      <c r="L1658" s="21"/>
      <c r="M1658" s="27"/>
      <c r="N1658" s="19"/>
      <c r="O1658" s="21"/>
      <c r="Q1658" s="7">
        <f>Table2[[#This Row],[Elevation
PILE TOP]]-Table2[[#This Row],[LENGTH(m.)
(Actual)]]</f>
        <v>0</v>
      </c>
      <c r="R1658" s="2"/>
      <c r="S1658" s="7">
        <f>Table2[[#This Row],[N]]+Table2[[#This Row],[Pile 
Deviation 
N (m)]]</f>
        <v>1511699.4580000001</v>
      </c>
      <c r="T1658" s="7">
        <f>Table2[[#This Row],[E]]+Table2[[#This Row],[Pile 
Deviation 
E (m)]]</f>
        <v>693974.08299999998</v>
      </c>
      <c r="W1658" s="7">
        <v>0.24</v>
      </c>
      <c r="X1658" s="2" t="s">
        <v>51</v>
      </c>
    </row>
    <row r="1659" spans="1:27" ht="13.95" hidden="1" customHeight="1" x14ac:dyDescent="0.65">
      <c r="A1659">
        <v>1653</v>
      </c>
      <c r="B1659" t="s">
        <v>29</v>
      </c>
      <c r="C1659" s="6">
        <v>1511699.4539999999</v>
      </c>
      <c r="D1659" s="6">
        <v>693901.50899999996</v>
      </c>
      <c r="E1659" s="2" t="s">
        <v>35</v>
      </c>
      <c r="F1659" s="1">
        <v>24</v>
      </c>
      <c r="G1659" s="2" t="s">
        <v>50</v>
      </c>
      <c r="J1659"/>
      <c r="K1659" s="19"/>
      <c r="L1659" s="21"/>
      <c r="M1659" s="27"/>
      <c r="N1659" s="19"/>
      <c r="O1659" s="21"/>
      <c r="Q1659" s="7">
        <f>Table2[[#This Row],[Elevation
PILE TOP]]-Table2[[#This Row],[LENGTH(m.)
(Actual)]]</f>
        <v>0</v>
      </c>
      <c r="R1659" s="2"/>
      <c r="S1659" s="7">
        <f>Table2[[#This Row],[N]]+Table2[[#This Row],[Pile 
Deviation 
N (m)]]</f>
        <v>1511699.4539999999</v>
      </c>
      <c r="T1659" s="7">
        <f>Table2[[#This Row],[E]]+Table2[[#This Row],[Pile 
Deviation 
E (m)]]</f>
        <v>693901.50899999996</v>
      </c>
      <c r="W1659" s="7">
        <v>0.24</v>
      </c>
      <c r="X1659" s="2" t="s">
        <v>51</v>
      </c>
    </row>
    <row r="1660" spans="1:27" x14ac:dyDescent="0.65">
      <c r="A1660">
        <v>1654</v>
      </c>
      <c r="B1660" t="s">
        <v>29</v>
      </c>
      <c r="C1660" s="6">
        <v>1511699.3189999999</v>
      </c>
      <c r="D1660" s="6">
        <v>693932.35400000005</v>
      </c>
      <c r="E1660" s="2" t="s">
        <v>35</v>
      </c>
      <c r="F1660" s="1">
        <v>24</v>
      </c>
      <c r="G1660" s="2" t="s">
        <v>50</v>
      </c>
      <c r="J1660"/>
      <c r="K1660" s="19"/>
      <c r="L1660" s="21"/>
      <c r="M1660" s="27"/>
      <c r="N1660" s="19"/>
      <c r="O1660" s="21"/>
      <c r="Q1660" s="7">
        <f>Table2[[#This Row],[Elevation
PILE TOP]]-Table2[[#This Row],[LENGTH(m.)
(Actual)]]</f>
        <v>0</v>
      </c>
      <c r="R1660" s="2"/>
      <c r="S1660" s="7">
        <f>Table2[[#This Row],[N]]+Table2[[#This Row],[Pile 
Deviation 
N (m)]]</f>
        <v>1511699.3189999999</v>
      </c>
      <c r="T1660" s="7">
        <f>Table2[[#This Row],[E]]+Table2[[#This Row],[Pile 
Deviation 
E (m)]]</f>
        <v>693932.35400000005</v>
      </c>
      <c r="W1660" s="7">
        <v>0.24</v>
      </c>
      <c r="X1660" s="2" t="s">
        <v>51</v>
      </c>
      <c r="AA1660" s="9">
        <v>46203</v>
      </c>
    </row>
    <row r="1661" spans="1:27" ht="13.95" hidden="1" customHeight="1" x14ac:dyDescent="0.65">
      <c r="A1661">
        <v>1655</v>
      </c>
      <c r="B1661" t="s">
        <v>29</v>
      </c>
      <c r="C1661" s="6">
        <v>1511699.2830000001</v>
      </c>
      <c r="D1661" s="6">
        <v>693915.93799999997</v>
      </c>
      <c r="E1661" s="2" t="s">
        <v>35</v>
      </c>
      <c r="F1661" s="1">
        <v>24</v>
      </c>
      <c r="G1661" s="2" t="s">
        <v>50</v>
      </c>
      <c r="J1661"/>
      <c r="K1661" s="19"/>
      <c r="L1661" s="21"/>
      <c r="M1661" s="27"/>
      <c r="N1661" s="19"/>
      <c r="O1661" s="21"/>
      <c r="Q1661" s="7">
        <f>Table2[[#This Row],[Elevation
PILE TOP]]-Table2[[#This Row],[LENGTH(m.)
(Actual)]]</f>
        <v>0</v>
      </c>
      <c r="R1661" s="2"/>
      <c r="S1661" s="7">
        <f>Table2[[#This Row],[N]]+Table2[[#This Row],[Pile 
Deviation 
N (m)]]</f>
        <v>1511699.2830000001</v>
      </c>
      <c r="T1661" s="7">
        <f>Table2[[#This Row],[E]]+Table2[[#This Row],[Pile 
Deviation 
E (m)]]</f>
        <v>693915.93799999997</v>
      </c>
      <c r="W1661" s="7">
        <v>0.24</v>
      </c>
      <c r="X1661" s="2" t="s">
        <v>51</v>
      </c>
    </row>
    <row r="1662" spans="1:27" hidden="1" x14ac:dyDescent="0.65">
      <c r="A1662">
        <v>1656</v>
      </c>
      <c r="B1662" t="s">
        <v>29</v>
      </c>
      <c r="C1662" s="6">
        <v>1511699.2509999999</v>
      </c>
      <c r="D1662" s="6">
        <v>694081.255</v>
      </c>
      <c r="E1662" s="2" t="s">
        <v>35</v>
      </c>
      <c r="F1662" s="1">
        <v>24</v>
      </c>
      <c r="G1662" s="2" t="s">
        <v>50</v>
      </c>
      <c r="J1662"/>
      <c r="K1662" s="19"/>
      <c r="L1662" s="21"/>
      <c r="M1662" s="27"/>
      <c r="N1662" s="19"/>
      <c r="O1662" s="21"/>
      <c r="Q1662" s="7">
        <f>Table2[[#This Row],[Elevation
PILE TOP]]-Table2[[#This Row],[LENGTH(m.)
(Actual)]]</f>
        <v>0</v>
      </c>
      <c r="R1662" s="2"/>
      <c r="S1662" s="7">
        <f>Table2[[#This Row],[N]]+Table2[[#This Row],[Pile 
Deviation 
N (m)]]</f>
        <v>1511699.2509999999</v>
      </c>
      <c r="T1662" s="7">
        <f>Table2[[#This Row],[E]]+Table2[[#This Row],[Pile 
Deviation 
E (m)]]</f>
        <v>694081.255</v>
      </c>
      <c r="W1662" s="7">
        <v>0.24</v>
      </c>
      <c r="X1662" s="2" t="s">
        <v>51</v>
      </c>
    </row>
    <row r="1663" spans="1:27" ht="13.95" hidden="1" customHeight="1" x14ac:dyDescent="0.65">
      <c r="A1663">
        <v>1657</v>
      </c>
      <c r="B1663" t="s">
        <v>29</v>
      </c>
      <c r="C1663" s="6">
        <v>1511699.0719999999</v>
      </c>
      <c r="D1663" s="6">
        <v>694092.48899999994</v>
      </c>
      <c r="E1663" s="2" t="s">
        <v>35</v>
      </c>
      <c r="F1663" s="1">
        <v>24</v>
      </c>
      <c r="G1663" s="2" t="s">
        <v>50</v>
      </c>
      <c r="J1663"/>
      <c r="K1663" s="19"/>
      <c r="L1663" s="21"/>
      <c r="M1663" s="27"/>
      <c r="N1663" s="19"/>
      <c r="O1663" s="21"/>
      <c r="Q1663" s="7">
        <f>Table2[[#This Row],[Elevation
PILE TOP]]-Table2[[#This Row],[LENGTH(m.)
(Actual)]]</f>
        <v>0</v>
      </c>
      <c r="R1663" s="2"/>
      <c r="S1663" s="7">
        <f>Table2[[#This Row],[N]]+Table2[[#This Row],[Pile 
Deviation 
N (m)]]</f>
        <v>1511699.0719999999</v>
      </c>
      <c r="T1663" s="7">
        <f>Table2[[#This Row],[E]]+Table2[[#This Row],[Pile 
Deviation 
E (m)]]</f>
        <v>694092.48899999994</v>
      </c>
      <c r="W1663" s="7">
        <v>0.24</v>
      </c>
      <c r="X1663" s="2" t="s">
        <v>51</v>
      </c>
    </row>
    <row r="1664" spans="1:27" hidden="1" x14ac:dyDescent="0.65">
      <c r="A1664">
        <v>1658</v>
      </c>
      <c r="B1664" t="s">
        <v>29</v>
      </c>
      <c r="C1664" s="6">
        <v>1511699.0619999999</v>
      </c>
      <c r="D1664" s="6">
        <v>694073.64099999995</v>
      </c>
      <c r="E1664" s="2" t="s">
        <v>35</v>
      </c>
      <c r="F1664" s="1">
        <v>24</v>
      </c>
      <c r="G1664" s="2" t="s">
        <v>50</v>
      </c>
      <c r="J1664"/>
      <c r="K1664" s="19"/>
      <c r="L1664" s="21"/>
      <c r="M1664" s="27"/>
      <c r="N1664" s="19"/>
      <c r="O1664" s="21"/>
      <c r="Q1664" s="7">
        <f>Table2[[#This Row],[Elevation
PILE TOP]]-Table2[[#This Row],[LENGTH(m.)
(Actual)]]</f>
        <v>0</v>
      </c>
      <c r="R1664" s="2"/>
      <c r="S1664" s="7">
        <f>Table2[[#This Row],[N]]+Table2[[#This Row],[Pile 
Deviation 
N (m)]]</f>
        <v>1511699.0619999999</v>
      </c>
      <c r="T1664" s="7">
        <f>Table2[[#This Row],[E]]+Table2[[#This Row],[Pile 
Deviation 
E (m)]]</f>
        <v>694073.64099999995</v>
      </c>
      <c r="W1664" s="7">
        <v>0.24</v>
      </c>
      <c r="X1664" s="2" t="s">
        <v>51</v>
      </c>
    </row>
    <row r="1665" spans="1:27" ht="13.95" hidden="1" customHeight="1" x14ac:dyDescent="0.65">
      <c r="A1665">
        <v>1659</v>
      </c>
      <c r="B1665" t="s">
        <v>29</v>
      </c>
      <c r="C1665" s="6">
        <v>1511699.051</v>
      </c>
      <c r="D1665" s="6">
        <v>694054.79299999995</v>
      </c>
      <c r="E1665" s="2" t="s">
        <v>35</v>
      </c>
      <c r="F1665" s="1">
        <v>24</v>
      </c>
      <c r="G1665" s="2" t="s">
        <v>50</v>
      </c>
      <c r="J1665"/>
      <c r="K1665" s="19"/>
      <c r="L1665" s="21"/>
      <c r="M1665" s="27"/>
      <c r="N1665" s="19"/>
      <c r="O1665" s="21"/>
      <c r="Q1665" s="7">
        <f>Table2[[#This Row],[Elevation
PILE TOP]]-Table2[[#This Row],[LENGTH(m.)
(Actual)]]</f>
        <v>0</v>
      </c>
      <c r="R1665" s="2"/>
      <c r="S1665" s="7">
        <f>Table2[[#This Row],[N]]+Table2[[#This Row],[Pile 
Deviation 
N (m)]]</f>
        <v>1511699.051</v>
      </c>
      <c r="T1665" s="7">
        <f>Table2[[#This Row],[E]]+Table2[[#This Row],[Pile 
Deviation 
E (m)]]</f>
        <v>694054.79299999995</v>
      </c>
      <c r="W1665" s="7">
        <v>0.24</v>
      </c>
      <c r="X1665" s="2" t="s">
        <v>51</v>
      </c>
    </row>
    <row r="1666" spans="1:27" hidden="1" x14ac:dyDescent="0.65">
      <c r="A1666">
        <v>1660</v>
      </c>
      <c r="B1666" t="s">
        <v>29</v>
      </c>
      <c r="C1666" s="6">
        <v>1511699.041</v>
      </c>
      <c r="D1666" s="6">
        <v>694035.94499999995</v>
      </c>
      <c r="E1666" s="2" t="s">
        <v>35</v>
      </c>
      <c r="F1666" s="1">
        <v>24</v>
      </c>
      <c r="G1666" s="2" t="s">
        <v>50</v>
      </c>
      <c r="J1666"/>
      <c r="K1666" s="19"/>
      <c r="L1666" s="21"/>
      <c r="M1666" s="27"/>
      <c r="N1666" s="19"/>
      <c r="O1666" s="21"/>
      <c r="Q1666" s="7">
        <f>Table2[[#This Row],[Elevation
PILE TOP]]-Table2[[#This Row],[LENGTH(m.)
(Actual)]]</f>
        <v>0</v>
      </c>
      <c r="R1666" s="2"/>
      <c r="S1666" s="7">
        <f>Table2[[#This Row],[N]]+Table2[[#This Row],[Pile 
Deviation 
N (m)]]</f>
        <v>1511699.041</v>
      </c>
      <c r="T1666" s="7">
        <f>Table2[[#This Row],[E]]+Table2[[#This Row],[Pile 
Deviation 
E (m)]]</f>
        <v>694035.94499999995</v>
      </c>
      <c r="W1666" s="7">
        <v>0.24</v>
      </c>
      <c r="X1666" s="2" t="s">
        <v>51</v>
      </c>
    </row>
    <row r="1667" spans="1:27" ht="13.95" hidden="1" customHeight="1" x14ac:dyDescent="0.65">
      <c r="A1667">
        <v>1661</v>
      </c>
      <c r="B1667" t="s">
        <v>29</v>
      </c>
      <c r="C1667" s="6">
        <v>1511698.9469999999</v>
      </c>
      <c r="D1667" s="6">
        <v>693840.05799999996</v>
      </c>
      <c r="E1667" s="2" t="s">
        <v>35</v>
      </c>
      <c r="F1667" s="1">
        <v>24</v>
      </c>
      <c r="G1667" s="2" t="s">
        <v>50</v>
      </c>
      <c r="J1667"/>
      <c r="K1667" s="19"/>
      <c r="L1667" s="21"/>
      <c r="M1667" s="27"/>
      <c r="N1667" s="19"/>
      <c r="O1667" s="21"/>
      <c r="Q1667" s="7">
        <f>Table2[[#This Row],[Elevation
PILE TOP]]-Table2[[#This Row],[LENGTH(m.)
(Actual)]]</f>
        <v>0</v>
      </c>
      <c r="R1667" s="2"/>
      <c r="S1667" s="7">
        <f>Table2[[#This Row],[N]]+Table2[[#This Row],[Pile 
Deviation 
N (m)]]</f>
        <v>1511698.9469999999</v>
      </c>
      <c r="T1667" s="7">
        <f>Table2[[#This Row],[E]]+Table2[[#This Row],[Pile 
Deviation 
E (m)]]</f>
        <v>693840.05799999996</v>
      </c>
      <c r="W1667" s="7">
        <v>0.24</v>
      </c>
      <c r="X1667" s="2" t="s">
        <v>51</v>
      </c>
      <c r="AA1667" s="9">
        <v>46211</v>
      </c>
    </row>
    <row r="1668" spans="1:27" hidden="1" x14ac:dyDescent="0.65">
      <c r="A1668">
        <v>1662</v>
      </c>
      <c r="B1668" t="s">
        <v>29</v>
      </c>
      <c r="C1668" s="6">
        <v>1511698.8659999999</v>
      </c>
      <c r="D1668" s="6">
        <v>694024.19200000004</v>
      </c>
      <c r="E1668" s="2" t="s">
        <v>35</v>
      </c>
      <c r="F1668" s="1">
        <v>24</v>
      </c>
      <c r="G1668" s="2" t="s">
        <v>50</v>
      </c>
      <c r="J1668"/>
      <c r="K1668" s="19"/>
      <c r="L1668" s="21"/>
      <c r="M1668" s="27"/>
      <c r="N1668" s="19"/>
      <c r="O1668" s="21"/>
      <c r="Q1668" s="7">
        <f>Table2[[#This Row],[Elevation
PILE TOP]]-Table2[[#This Row],[LENGTH(m.)
(Actual)]]</f>
        <v>0</v>
      </c>
      <c r="R1668" s="2"/>
      <c r="S1668" s="7">
        <f>Table2[[#This Row],[N]]+Table2[[#This Row],[Pile 
Deviation 
N (m)]]</f>
        <v>1511698.8659999999</v>
      </c>
      <c r="T1668" s="7">
        <f>Table2[[#This Row],[E]]+Table2[[#This Row],[Pile 
Deviation 
E (m)]]</f>
        <v>694024.19200000004</v>
      </c>
      <c r="W1668" s="7">
        <v>0.24</v>
      </c>
      <c r="X1668" s="2" t="s">
        <v>51</v>
      </c>
    </row>
    <row r="1669" spans="1:27" ht="13.95" hidden="1" customHeight="1" x14ac:dyDescent="0.65">
      <c r="A1669">
        <v>1663</v>
      </c>
      <c r="B1669" t="s">
        <v>29</v>
      </c>
      <c r="C1669" s="6">
        <v>1511698.8319999999</v>
      </c>
      <c r="D1669" s="6">
        <v>694006.34600000002</v>
      </c>
      <c r="E1669" s="2" t="s">
        <v>35</v>
      </c>
      <c r="F1669" s="1">
        <v>24</v>
      </c>
      <c r="G1669" s="2" t="s">
        <v>50</v>
      </c>
      <c r="J1669"/>
      <c r="K1669" s="19"/>
      <c r="L1669" s="21"/>
      <c r="M1669" s="27"/>
      <c r="N1669" s="19"/>
      <c r="O1669" s="21"/>
      <c r="Q1669" s="7">
        <f>Table2[[#This Row],[Elevation
PILE TOP]]-Table2[[#This Row],[LENGTH(m.)
(Actual)]]</f>
        <v>0</v>
      </c>
      <c r="R1669" s="2"/>
      <c r="S1669" s="7">
        <f>Table2[[#This Row],[N]]+Table2[[#This Row],[Pile 
Deviation 
N (m)]]</f>
        <v>1511698.8319999999</v>
      </c>
      <c r="T1669" s="7">
        <f>Table2[[#This Row],[E]]+Table2[[#This Row],[Pile 
Deviation 
E (m)]]</f>
        <v>694006.34600000002</v>
      </c>
      <c r="W1669" s="7">
        <v>0.24</v>
      </c>
      <c r="X1669" s="2" t="s">
        <v>51</v>
      </c>
    </row>
    <row r="1670" spans="1:27" hidden="1" x14ac:dyDescent="0.65">
      <c r="A1670">
        <v>1664</v>
      </c>
      <c r="B1670" t="s">
        <v>29</v>
      </c>
      <c r="C1670" s="6">
        <v>1511698.7990000001</v>
      </c>
      <c r="D1670" s="6">
        <v>693988.49899999995</v>
      </c>
      <c r="E1670" s="2" t="s">
        <v>35</v>
      </c>
      <c r="F1670" s="1">
        <v>24</v>
      </c>
      <c r="G1670" s="2" t="s">
        <v>50</v>
      </c>
      <c r="J1670"/>
      <c r="K1670" s="19"/>
      <c r="L1670" s="21"/>
      <c r="M1670" s="27"/>
      <c r="N1670" s="19"/>
      <c r="O1670" s="21"/>
      <c r="Q1670" s="7">
        <f>Table2[[#This Row],[Elevation
PILE TOP]]-Table2[[#This Row],[LENGTH(m.)
(Actual)]]</f>
        <v>0</v>
      </c>
      <c r="R1670" s="2"/>
      <c r="S1670" s="7">
        <f>Table2[[#This Row],[N]]+Table2[[#This Row],[Pile 
Deviation 
N (m)]]</f>
        <v>1511698.7990000001</v>
      </c>
      <c r="T1670" s="7">
        <f>Table2[[#This Row],[E]]+Table2[[#This Row],[Pile 
Deviation 
E (m)]]</f>
        <v>693988.49899999995</v>
      </c>
      <c r="W1670" s="7">
        <v>0.24</v>
      </c>
      <c r="X1670" s="2" t="s">
        <v>51</v>
      </c>
    </row>
    <row r="1671" spans="1:27" ht="13.95" customHeight="1" x14ac:dyDescent="0.65">
      <c r="A1671">
        <v>1665</v>
      </c>
      <c r="B1671" t="s">
        <v>29</v>
      </c>
      <c r="C1671" s="6">
        <v>1511698.798</v>
      </c>
      <c r="D1671" s="6">
        <v>693953.61199999996</v>
      </c>
      <c r="E1671" s="2" t="s">
        <v>35</v>
      </c>
      <c r="F1671" s="1">
        <v>24</v>
      </c>
      <c r="G1671" s="2" t="s">
        <v>50</v>
      </c>
      <c r="J1671"/>
      <c r="K1671" s="19"/>
      <c r="L1671" s="21"/>
      <c r="M1671" s="27"/>
      <c r="N1671" s="19"/>
      <c r="O1671" s="21"/>
      <c r="Q1671" s="7">
        <f>Table2[[#This Row],[Elevation
PILE TOP]]-Table2[[#This Row],[LENGTH(m.)
(Actual)]]</f>
        <v>0</v>
      </c>
      <c r="R1671" s="2"/>
      <c r="S1671" s="7">
        <f>Table2[[#This Row],[N]]+Table2[[#This Row],[Pile 
Deviation 
N (m)]]</f>
        <v>1511698.798</v>
      </c>
      <c r="T1671" s="7">
        <f>Table2[[#This Row],[E]]+Table2[[#This Row],[Pile 
Deviation 
E (m)]]</f>
        <v>693953.61199999996</v>
      </c>
      <c r="W1671" s="7">
        <v>0.24</v>
      </c>
      <c r="X1671" s="2" t="s">
        <v>51</v>
      </c>
      <c r="AA1671" s="9">
        <v>46202</v>
      </c>
    </row>
    <row r="1672" spans="1:27" hidden="1" x14ac:dyDescent="0.65">
      <c r="A1672">
        <v>1666</v>
      </c>
      <c r="B1672" t="s">
        <v>29</v>
      </c>
      <c r="C1672" s="6">
        <v>1511698.7649999999</v>
      </c>
      <c r="D1672" s="6">
        <v>693970.65300000005</v>
      </c>
      <c r="E1672" s="2" t="s">
        <v>35</v>
      </c>
      <c r="F1672" s="1">
        <v>24</v>
      </c>
      <c r="G1672" s="2" t="s">
        <v>50</v>
      </c>
      <c r="J1672"/>
      <c r="K1672" s="19"/>
      <c r="L1672" s="21"/>
      <c r="M1672" s="27"/>
      <c r="N1672" s="19"/>
      <c r="O1672" s="21"/>
      <c r="Q1672" s="7">
        <f>Table2[[#This Row],[Elevation
PILE TOP]]-Table2[[#This Row],[LENGTH(m.)
(Actual)]]</f>
        <v>0</v>
      </c>
      <c r="R1672" s="2"/>
      <c r="S1672" s="7">
        <f>Table2[[#This Row],[N]]+Table2[[#This Row],[Pile 
Deviation 
N (m)]]</f>
        <v>1511698.7649999999</v>
      </c>
      <c r="T1672" s="7">
        <f>Table2[[#This Row],[E]]+Table2[[#This Row],[Pile 
Deviation 
E (m)]]</f>
        <v>693970.65300000005</v>
      </c>
      <c r="W1672" s="7">
        <v>0.24</v>
      </c>
      <c r="X1672" s="2" t="s">
        <v>51</v>
      </c>
    </row>
    <row r="1673" spans="1:27" ht="13.95" hidden="1" customHeight="1" x14ac:dyDescent="0.65">
      <c r="A1673">
        <v>1667</v>
      </c>
      <c r="B1673" t="s">
        <v>29</v>
      </c>
      <c r="C1673" s="6">
        <v>1511698.5649999999</v>
      </c>
      <c r="D1673" s="6">
        <v>693904.89399999997</v>
      </c>
      <c r="E1673" s="2" t="s">
        <v>35</v>
      </c>
      <c r="F1673" s="1">
        <v>24</v>
      </c>
      <c r="G1673" s="2" t="s">
        <v>50</v>
      </c>
      <c r="J1673"/>
      <c r="K1673" s="19"/>
      <c r="L1673" s="21"/>
      <c r="M1673" s="27"/>
      <c r="N1673" s="19"/>
      <c r="O1673" s="21"/>
      <c r="Q1673" s="7">
        <f>Table2[[#This Row],[Elevation
PILE TOP]]-Table2[[#This Row],[LENGTH(m.)
(Actual)]]</f>
        <v>0</v>
      </c>
      <c r="R1673" s="2"/>
      <c r="S1673" s="7">
        <f>Table2[[#This Row],[N]]+Table2[[#This Row],[Pile 
Deviation 
N (m)]]</f>
        <v>1511698.5649999999</v>
      </c>
      <c r="T1673" s="7">
        <f>Table2[[#This Row],[E]]+Table2[[#This Row],[Pile 
Deviation 
E (m)]]</f>
        <v>693904.89399999997</v>
      </c>
      <c r="W1673" s="7">
        <v>0.24</v>
      </c>
      <c r="X1673" s="2" t="s">
        <v>51</v>
      </c>
    </row>
    <row r="1674" spans="1:27" hidden="1" x14ac:dyDescent="0.65">
      <c r="A1674">
        <v>1668</v>
      </c>
      <c r="B1674" t="s">
        <v>29</v>
      </c>
      <c r="C1674" s="6">
        <v>1511698.4280000001</v>
      </c>
      <c r="D1674" s="6">
        <v>694103.53899999999</v>
      </c>
      <c r="E1674" s="2" t="s">
        <v>35</v>
      </c>
      <c r="F1674" s="1">
        <v>24</v>
      </c>
      <c r="G1674" s="2" t="s">
        <v>50</v>
      </c>
      <c r="J1674"/>
      <c r="K1674" s="19"/>
      <c r="L1674" s="21"/>
      <c r="M1674" s="27"/>
      <c r="N1674" s="19"/>
      <c r="O1674" s="21"/>
      <c r="Q1674" s="7">
        <f>Table2[[#This Row],[Elevation
PILE TOP]]-Table2[[#This Row],[LENGTH(m.)
(Actual)]]</f>
        <v>0</v>
      </c>
      <c r="R1674" s="2"/>
      <c r="S1674" s="7">
        <f>Table2[[#This Row],[N]]+Table2[[#This Row],[Pile 
Deviation 
N (m)]]</f>
        <v>1511698.4280000001</v>
      </c>
      <c r="T1674" s="7">
        <f>Table2[[#This Row],[E]]+Table2[[#This Row],[Pile 
Deviation 
E (m)]]</f>
        <v>694103.53899999999</v>
      </c>
      <c r="W1674" s="7">
        <v>0.24</v>
      </c>
      <c r="X1674" s="2" t="s">
        <v>51</v>
      </c>
    </row>
    <row r="1675" spans="1:27" ht="13.95" hidden="1" customHeight="1" x14ac:dyDescent="0.65">
      <c r="A1675">
        <v>1669</v>
      </c>
      <c r="B1675" t="s">
        <v>29</v>
      </c>
      <c r="C1675" s="6">
        <v>1511698.4069999999</v>
      </c>
      <c r="D1675" s="6">
        <v>694065.84299999999</v>
      </c>
      <c r="E1675" s="2" t="s">
        <v>35</v>
      </c>
      <c r="F1675" s="1">
        <v>24</v>
      </c>
      <c r="G1675" s="2" t="s">
        <v>50</v>
      </c>
      <c r="J1675"/>
      <c r="K1675" s="19"/>
      <c r="L1675" s="21"/>
      <c r="M1675" s="27"/>
      <c r="N1675" s="19"/>
      <c r="O1675" s="21"/>
      <c r="Q1675" s="7">
        <f>Table2[[#This Row],[Elevation
PILE TOP]]-Table2[[#This Row],[LENGTH(m.)
(Actual)]]</f>
        <v>0</v>
      </c>
      <c r="R1675" s="2"/>
      <c r="S1675" s="7">
        <f>Table2[[#This Row],[N]]+Table2[[#This Row],[Pile 
Deviation 
N (m)]]</f>
        <v>1511698.4069999999</v>
      </c>
      <c r="T1675" s="7">
        <f>Table2[[#This Row],[E]]+Table2[[#This Row],[Pile 
Deviation 
E (m)]]</f>
        <v>694065.84299999999</v>
      </c>
      <c r="W1675" s="7">
        <v>0.24</v>
      </c>
      <c r="X1675" s="2" t="s">
        <v>51</v>
      </c>
    </row>
    <row r="1676" spans="1:27" hidden="1" x14ac:dyDescent="0.65">
      <c r="A1676">
        <v>1670</v>
      </c>
      <c r="B1676" t="s">
        <v>29</v>
      </c>
      <c r="C1676" s="6">
        <v>1511698.3970000001</v>
      </c>
      <c r="D1676" s="6">
        <v>694046.99399999995</v>
      </c>
      <c r="E1676" s="2" t="s">
        <v>35</v>
      </c>
      <c r="F1676" s="1">
        <v>24</v>
      </c>
      <c r="G1676" s="2" t="s">
        <v>50</v>
      </c>
      <c r="J1676"/>
      <c r="K1676" s="19"/>
      <c r="L1676" s="21"/>
      <c r="M1676" s="27"/>
      <c r="N1676" s="19"/>
      <c r="O1676" s="21"/>
      <c r="Q1676" s="7">
        <f>Table2[[#This Row],[Elevation
PILE TOP]]-Table2[[#This Row],[LENGTH(m.)
(Actual)]]</f>
        <v>0</v>
      </c>
      <c r="R1676" s="2"/>
      <c r="S1676" s="7">
        <f>Table2[[#This Row],[N]]+Table2[[#This Row],[Pile 
Deviation 
N (m)]]</f>
        <v>1511698.3970000001</v>
      </c>
      <c r="T1676" s="7">
        <f>Table2[[#This Row],[E]]+Table2[[#This Row],[Pile 
Deviation 
E (m)]]</f>
        <v>694046.99399999995</v>
      </c>
      <c r="W1676" s="7">
        <v>0.24</v>
      </c>
      <c r="X1676" s="2" t="s">
        <v>51</v>
      </c>
    </row>
    <row r="1677" spans="1:27" ht="13.95" hidden="1" customHeight="1" x14ac:dyDescent="0.65">
      <c r="A1677">
        <v>1671</v>
      </c>
      <c r="B1677" t="s">
        <v>29</v>
      </c>
      <c r="C1677" s="6">
        <v>1511698.173</v>
      </c>
      <c r="D1677" s="6">
        <v>694020.76100000006</v>
      </c>
      <c r="E1677" s="2" t="s">
        <v>35</v>
      </c>
      <c r="F1677" s="1">
        <v>24</v>
      </c>
      <c r="G1677" s="2" t="s">
        <v>50</v>
      </c>
      <c r="J1677"/>
      <c r="K1677" s="19"/>
      <c r="L1677" s="21"/>
      <c r="M1677" s="27"/>
      <c r="N1677" s="19"/>
      <c r="O1677" s="21"/>
      <c r="Q1677" s="7">
        <f>Table2[[#This Row],[Elevation
PILE TOP]]-Table2[[#This Row],[LENGTH(m.)
(Actual)]]</f>
        <v>0</v>
      </c>
      <c r="R1677" s="2"/>
      <c r="S1677" s="7">
        <f>Table2[[#This Row],[N]]+Table2[[#This Row],[Pile 
Deviation 
N (m)]]</f>
        <v>1511698.173</v>
      </c>
      <c r="T1677" s="7">
        <f>Table2[[#This Row],[E]]+Table2[[#This Row],[Pile 
Deviation 
E (m)]]</f>
        <v>694020.76100000006</v>
      </c>
      <c r="W1677" s="7">
        <v>0.24</v>
      </c>
      <c r="X1677" s="2" t="s">
        <v>51</v>
      </c>
    </row>
    <row r="1678" spans="1:27" hidden="1" x14ac:dyDescent="0.65">
      <c r="A1678">
        <v>1672</v>
      </c>
      <c r="B1678" t="s">
        <v>29</v>
      </c>
      <c r="C1678" s="6">
        <v>1511698.139</v>
      </c>
      <c r="D1678" s="6">
        <v>694002.91500000004</v>
      </c>
      <c r="E1678" s="2" t="s">
        <v>35</v>
      </c>
      <c r="F1678" s="1">
        <v>24</v>
      </c>
      <c r="G1678" s="2" t="s">
        <v>50</v>
      </c>
      <c r="J1678"/>
      <c r="K1678" s="19"/>
      <c r="L1678" s="21"/>
      <c r="M1678" s="27"/>
      <c r="N1678" s="19"/>
      <c r="O1678" s="21"/>
      <c r="Q1678" s="7">
        <f>Table2[[#This Row],[Elevation
PILE TOP]]-Table2[[#This Row],[LENGTH(m.)
(Actual)]]</f>
        <v>0</v>
      </c>
      <c r="R1678" s="2"/>
      <c r="S1678" s="7">
        <f>Table2[[#This Row],[N]]+Table2[[#This Row],[Pile 
Deviation 
N (m)]]</f>
        <v>1511698.139</v>
      </c>
      <c r="T1678" s="7">
        <f>Table2[[#This Row],[E]]+Table2[[#This Row],[Pile 
Deviation 
E (m)]]</f>
        <v>694002.91500000004</v>
      </c>
      <c r="W1678" s="7">
        <v>0.24</v>
      </c>
      <c r="X1678" s="2" t="s">
        <v>51</v>
      </c>
    </row>
    <row r="1679" spans="1:27" ht="13.95" hidden="1" customHeight="1" x14ac:dyDescent="0.65">
      <c r="A1679">
        <v>1673</v>
      </c>
      <c r="B1679" t="s">
        <v>29</v>
      </c>
      <c r="C1679" s="6">
        <v>1511698.1059999999</v>
      </c>
      <c r="D1679" s="6">
        <v>693985.06799999997</v>
      </c>
      <c r="E1679" s="2" t="s">
        <v>35</v>
      </c>
      <c r="F1679" s="1">
        <v>24</v>
      </c>
      <c r="G1679" s="2" t="s">
        <v>50</v>
      </c>
      <c r="J1679"/>
      <c r="K1679" s="19"/>
      <c r="L1679" s="21"/>
      <c r="M1679" s="27"/>
      <c r="N1679" s="19"/>
      <c r="O1679" s="21"/>
      <c r="Q1679" s="7">
        <f>Table2[[#This Row],[Elevation
PILE TOP]]-Table2[[#This Row],[LENGTH(m.)
(Actual)]]</f>
        <v>0</v>
      </c>
      <c r="R1679" s="2"/>
      <c r="S1679" s="7">
        <f>Table2[[#This Row],[N]]+Table2[[#This Row],[Pile 
Deviation 
N (m)]]</f>
        <v>1511698.1059999999</v>
      </c>
      <c r="T1679" s="7">
        <f>Table2[[#This Row],[E]]+Table2[[#This Row],[Pile 
Deviation 
E (m)]]</f>
        <v>693985.06799999997</v>
      </c>
      <c r="W1679" s="7">
        <v>0.24</v>
      </c>
      <c r="X1679" s="2" t="s">
        <v>51</v>
      </c>
    </row>
    <row r="1680" spans="1:27" hidden="1" x14ac:dyDescent="0.65">
      <c r="A1680">
        <v>1674</v>
      </c>
      <c r="B1680" t="s">
        <v>29</v>
      </c>
      <c r="C1680" s="6">
        <v>1511698.08</v>
      </c>
      <c r="D1680" s="6">
        <v>694025.41700000002</v>
      </c>
      <c r="E1680" s="2" t="s">
        <v>35</v>
      </c>
      <c r="F1680" s="1">
        <v>24</v>
      </c>
      <c r="G1680" s="2" t="s">
        <v>50</v>
      </c>
      <c r="J1680"/>
      <c r="K1680" s="19"/>
      <c r="L1680" s="21"/>
      <c r="M1680" s="27"/>
      <c r="N1680" s="19"/>
      <c r="O1680" s="21"/>
      <c r="Q1680" s="7">
        <f>Table2[[#This Row],[Elevation
PILE TOP]]-Table2[[#This Row],[LENGTH(m.)
(Actual)]]</f>
        <v>0</v>
      </c>
      <c r="R1680" s="2"/>
      <c r="S1680" s="7">
        <f>Table2[[#This Row],[N]]+Table2[[#This Row],[Pile 
Deviation 
N (m)]]</f>
        <v>1511698.08</v>
      </c>
      <c r="T1680" s="7">
        <f>Table2[[#This Row],[E]]+Table2[[#This Row],[Pile 
Deviation 
E (m)]]</f>
        <v>694025.41700000002</v>
      </c>
      <c r="W1680" s="7">
        <v>0.24</v>
      </c>
      <c r="X1680" s="2" t="s">
        <v>51</v>
      </c>
    </row>
    <row r="1681" spans="1:27" ht="13.95" hidden="1" customHeight="1" x14ac:dyDescent="0.65">
      <c r="A1681">
        <v>1675</v>
      </c>
      <c r="B1681" t="s">
        <v>29</v>
      </c>
      <c r="C1681" s="6">
        <v>1511698.0719999999</v>
      </c>
      <c r="D1681" s="6">
        <v>693967.22199999995</v>
      </c>
      <c r="E1681" s="2" t="s">
        <v>35</v>
      </c>
      <c r="F1681" s="1">
        <v>24</v>
      </c>
      <c r="G1681" s="2" t="s">
        <v>50</v>
      </c>
      <c r="J1681"/>
      <c r="K1681" s="19"/>
      <c r="L1681" s="21"/>
      <c r="M1681" s="27"/>
      <c r="N1681" s="19"/>
      <c r="O1681" s="21"/>
      <c r="Q1681" s="7">
        <f>Table2[[#This Row],[Elevation
PILE TOP]]-Table2[[#This Row],[LENGTH(m.)
(Actual)]]</f>
        <v>0</v>
      </c>
      <c r="R1681" s="2"/>
      <c r="S1681" s="7">
        <f>Table2[[#This Row],[N]]+Table2[[#This Row],[Pile 
Deviation 
N (m)]]</f>
        <v>1511698.0719999999</v>
      </c>
      <c r="T1681" s="7">
        <f>Table2[[#This Row],[E]]+Table2[[#This Row],[Pile 
Deviation 
E (m)]]</f>
        <v>693967.22199999995</v>
      </c>
      <c r="W1681" s="7">
        <v>0.24</v>
      </c>
      <c r="X1681" s="2" t="s">
        <v>51</v>
      </c>
    </row>
    <row r="1682" spans="1:27" hidden="1" x14ac:dyDescent="0.65">
      <c r="A1682">
        <v>1676</v>
      </c>
      <c r="B1682" t="s">
        <v>29</v>
      </c>
      <c r="C1682" s="6">
        <v>1511697.953</v>
      </c>
      <c r="D1682" s="6">
        <v>694084.505</v>
      </c>
      <c r="E1682" s="2" t="s">
        <v>35</v>
      </c>
      <c r="F1682" s="1">
        <v>24</v>
      </c>
      <c r="G1682" s="2" t="s">
        <v>50</v>
      </c>
      <c r="J1682"/>
      <c r="K1682" s="19"/>
      <c r="L1682" s="21"/>
      <c r="M1682" s="27"/>
      <c r="N1682" s="19"/>
      <c r="O1682" s="21"/>
      <c r="Q1682" s="7">
        <f>Table2[[#This Row],[Elevation
PILE TOP]]-Table2[[#This Row],[LENGTH(m.)
(Actual)]]</f>
        <v>0</v>
      </c>
      <c r="R1682" s="2"/>
      <c r="S1682" s="7">
        <f>Table2[[#This Row],[N]]+Table2[[#This Row],[Pile 
Deviation 
N (m)]]</f>
        <v>1511697.953</v>
      </c>
      <c r="T1682" s="7">
        <f>Table2[[#This Row],[E]]+Table2[[#This Row],[Pile 
Deviation 
E (m)]]</f>
        <v>694084.505</v>
      </c>
      <c r="W1682" s="7">
        <v>0.24</v>
      </c>
      <c r="X1682" s="2" t="s">
        <v>51</v>
      </c>
    </row>
    <row r="1683" spans="1:27" ht="13.95" hidden="1" customHeight="1" x14ac:dyDescent="0.65">
      <c r="A1683">
        <v>1677</v>
      </c>
      <c r="B1683" t="s">
        <v>29</v>
      </c>
      <c r="C1683" s="6">
        <v>1511697.851</v>
      </c>
      <c r="D1683" s="6">
        <v>693961.13300000003</v>
      </c>
      <c r="E1683" s="2" t="s">
        <v>35</v>
      </c>
      <c r="F1683" s="1">
        <v>24</v>
      </c>
      <c r="G1683" s="2" t="s">
        <v>50</v>
      </c>
      <c r="J1683"/>
      <c r="K1683" s="19"/>
      <c r="L1683" s="21"/>
      <c r="M1683" s="27"/>
      <c r="N1683" s="19"/>
      <c r="O1683" s="21"/>
      <c r="Q1683" s="7">
        <f>Table2[[#This Row],[Elevation
PILE TOP]]-Table2[[#This Row],[LENGTH(m.)
(Actual)]]</f>
        <v>0</v>
      </c>
      <c r="R1683" s="2"/>
      <c r="S1683" s="7">
        <f>Table2[[#This Row],[N]]+Table2[[#This Row],[Pile 
Deviation 
N (m)]]</f>
        <v>1511697.851</v>
      </c>
      <c r="T1683" s="7">
        <f>Table2[[#This Row],[E]]+Table2[[#This Row],[Pile 
Deviation 
E (m)]]</f>
        <v>693961.13300000003</v>
      </c>
      <c r="W1683" s="7">
        <v>0.24</v>
      </c>
      <c r="X1683" s="2" t="s">
        <v>51</v>
      </c>
    </row>
    <row r="1684" spans="1:27" hidden="1" x14ac:dyDescent="0.65">
      <c r="A1684">
        <v>1678</v>
      </c>
      <c r="B1684" t="s">
        <v>29</v>
      </c>
      <c r="C1684" s="6">
        <v>1511697.85</v>
      </c>
      <c r="D1684" s="6">
        <v>694031.73800000001</v>
      </c>
      <c r="E1684" s="2" t="s">
        <v>35</v>
      </c>
      <c r="F1684" s="1">
        <v>24</v>
      </c>
      <c r="G1684" s="2" t="s">
        <v>50</v>
      </c>
      <c r="J1684"/>
      <c r="K1684" s="19"/>
      <c r="L1684" s="21"/>
      <c r="M1684" s="27"/>
      <c r="N1684" s="19"/>
      <c r="O1684" s="21"/>
      <c r="Q1684" s="7">
        <f>Table2[[#This Row],[Elevation
PILE TOP]]-Table2[[#This Row],[LENGTH(m.)
(Actual)]]</f>
        <v>0</v>
      </c>
      <c r="R1684" s="2"/>
      <c r="S1684" s="7">
        <f>Table2[[#This Row],[N]]+Table2[[#This Row],[Pile 
Deviation 
N (m)]]</f>
        <v>1511697.85</v>
      </c>
      <c r="T1684" s="7">
        <f>Table2[[#This Row],[E]]+Table2[[#This Row],[Pile 
Deviation 
E (m)]]</f>
        <v>694031.73800000001</v>
      </c>
      <c r="W1684" s="7">
        <v>0.24</v>
      </c>
      <c r="X1684" s="2" t="s">
        <v>51</v>
      </c>
    </row>
    <row r="1685" spans="1:27" ht="13.95" hidden="1" customHeight="1" x14ac:dyDescent="0.65">
      <c r="A1685">
        <v>1679</v>
      </c>
      <c r="B1685" t="s">
        <v>29</v>
      </c>
      <c r="C1685" s="6">
        <v>1511697.774</v>
      </c>
      <c r="D1685" s="6">
        <v>694095.74</v>
      </c>
      <c r="E1685" s="2" t="s">
        <v>35</v>
      </c>
      <c r="F1685" s="1">
        <v>24</v>
      </c>
      <c r="G1685" s="2" t="s">
        <v>50</v>
      </c>
      <c r="J1685"/>
      <c r="K1685" s="19"/>
      <c r="L1685" s="21"/>
      <c r="M1685" s="27"/>
      <c r="N1685" s="19"/>
      <c r="O1685" s="21"/>
      <c r="Q1685" s="7">
        <f>Table2[[#This Row],[Elevation
PILE TOP]]-Table2[[#This Row],[LENGTH(m.)
(Actual)]]</f>
        <v>0</v>
      </c>
      <c r="R1685" s="2"/>
      <c r="S1685" s="7">
        <f>Table2[[#This Row],[N]]+Table2[[#This Row],[Pile 
Deviation 
N (m)]]</f>
        <v>1511697.774</v>
      </c>
      <c r="T1685" s="7">
        <f>Table2[[#This Row],[E]]+Table2[[#This Row],[Pile 
Deviation 
E (m)]]</f>
        <v>694095.74</v>
      </c>
      <c r="W1685" s="7">
        <v>0.24</v>
      </c>
      <c r="X1685" s="2" t="s">
        <v>51</v>
      </c>
    </row>
    <row r="1686" spans="1:27" hidden="1" x14ac:dyDescent="0.65">
      <c r="A1686">
        <v>1680</v>
      </c>
      <c r="B1686" t="s">
        <v>29</v>
      </c>
      <c r="C1686" s="6">
        <v>1511697.7709999999</v>
      </c>
      <c r="D1686" s="6">
        <v>693843.35400000005</v>
      </c>
      <c r="E1686" s="2" t="s">
        <v>35</v>
      </c>
      <c r="F1686" s="1">
        <v>24</v>
      </c>
      <c r="G1686" s="2" t="s">
        <v>50</v>
      </c>
      <c r="J1686"/>
      <c r="K1686" s="19"/>
      <c r="L1686" s="21"/>
      <c r="M1686" s="27"/>
      <c r="N1686" s="19"/>
      <c r="O1686" s="21"/>
      <c r="Q1686" s="7">
        <f>Table2[[#This Row],[Elevation
PILE TOP]]-Table2[[#This Row],[LENGTH(m.)
(Actual)]]</f>
        <v>0</v>
      </c>
      <c r="R1686" s="2"/>
      <c r="S1686" s="7">
        <f>Table2[[#This Row],[N]]+Table2[[#This Row],[Pile 
Deviation 
N (m)]]</f>
        <v>1511697.7709999999</v>
      </c>
      <c r="T1686" s="7">
        <f>Table2[[#This Row],[E]]+Table2[[#This Row],[Pile 
Deviation 
E (m)]]</f>
        <v>693843.35400000005</v>
      </c>
      <c r="W1686" s="7">
        <v>0.24</v>
      </c>
      <c r="X1686" s="2" t="s">
        <v>51</v>
      </c>
      <c r="AA1686" s="9">
        <v>46211</v>
      </c>
    </row>
    <row r="1687" spans="1:27" ht="13.95" hidden="1" customHeight="1" x14ac:dyDescent="0.65">
      <c r="A1687">
        <v>1681</v>
      </c>
      <c r="B1687" t="s">
        <v>29</v>
      </c>
      <c r="C1687" s="6">
        <v>1511697.764</v>
      </c>
      <c r="D1687" s="6">
        <v>694076.89199999999</v>
      </c>
      <c r="E1687" s="2" t="s">
        <v>35</v>
      </c>
      <c r="F1687" s="1">
        <v>24</v>
      </c>
      <c r="G1687" s="2" t="s">
        <v>50</v>
      </c>
      <c r="J1687"/>
      <c r="K1687" s="19"/>
      <c r="L1687" s="21"/>
      <c r="M1687" s="27"/>
      <c r="N1687" s="19"/>
      <c r="O1687" s="21"/>
      <c r="Q1687" s="7">
        <f>Table2[[#This Row],[Elevation
PILE TOP]]-Table2[[#This Row],[LENGTH(m.)
(Actual)]]</f>
        <v>0</v>
      </c>
      <c r="R1687" s="2"/>
      <c r="S1687" s="7">
        <f>Table2[[#This Row],[N]]+Table2[[#This Row],[Pile 
Deviation 
N (m)]]</f>
        <v>1511697.764</v>
      </c>
      <c r="T1687" s="7">
        <f>Table2[[#This Row],[E]]+Table2[[#This Row],[Pile 
Deviation 
E (m)]]</f>
        <v>694076.89199999999</v>
      </c>
      <c r="W1687" s="7">
        <v>0.24</v>
      </c>
      <c r="X1687" s="2" t="s">
        <v>51</v>
      </c>
    </row>
    <row r="1688" spans="1:27" hidden="1" x14ac:dyDescent="0.65">
      <c r="A1688">
        <v>1682</v>
      </c>
      <c r="B1688" t="s">
        <v>29</v>
      </c>
      <c r="C1688" s="6">
        <v>1511697.753</v>
      </c>
      <c r="D1688" s="6">
        <v>694058.04399999999</v>
      </c>
      <c r="E1688" s="2" t="s">
        <v>35</v>
      </c>
      <c r="F1688" s="1">
        <v>24</v>
      </c>
      <c r="G1688" s="2" t="s">
        <v>50</v>
      </c>
      <c r="J1688"/>
      <c r="K1688" s="19"/>
      <c r="L1688" s="21"/>
      <c r="M1688" s="27"/>
      <c r="N1688" s="19"/>
      <c r="O1688" s="21"/>
      <c r="Q1688" s="7">
        <f>Table2[[#This Row],[Elevation
PILE TOP]]-Table2[[#This Row],[LENGTH(m.)
(Actual)]]</f>
        <v>0</v>
      </c>
      <c r="R1688" s="2"/>
      <c r="S1688" s="7">
        <f>Table2[[#This Row],[N]]+Table2[[#This Row],[Pile 
Deviation 
N (m)]]</f>
        <v>1511697.753</v>
      </c>
      <c r="T1688" s="7">
        <f>Table2[[#This Row],[E]]+Table2[[#This Row],[Pile 
Deviation 
E (m)]]</f>
        <v>694058.04399999999</v>
      </c>
      <c r="W1688" s="7">
        <v>0.24</v>
      </c>
      <c r="X1688" s="2" t="s">
        <v>51</v>
      </c>
    </row>
    <row r="1689" spans="1:27" ht="13.95" hidden="1" customHeight="1" x14ac:dyDescent="0.65">
      <c r="A1689">
        <v>1683</v>
      </c>
      <c r="B1689" t="s">
        <v>29</v>
      </c>
      <c r="C1689" s="6">
        <v>1511697.743</v>
      </c>
      <c r="D1689" s="6">
        <v>694039.196</v>
      </c>
      <c r="E1689" s="2" t="s">
        <v>35</v>
      </c>
      <c r="F1689" s="1">
        <v>24</v>
      </c>
      <c r="G1689" s="2" t="s">
        <v>50</v>
      </c>
      <c r="J1689"/>
      <c r="K1689" s="19"/>
      <c r="L1689" s="21"/>
      <c r="M1689" s="27"/>
      <c r="N1689" s="19"/>
      <c r="O1689" s="21"/>
      <c r="Q1689" s="7">
        <f>Table2[[#This Row],[Elevation
PILE TOP]]-Table2[[#This Row],[LENGTH(m.)
(Actual)]]</f>
        <v>0</v>
      </c>
      <c r="R1689" s="2"/>
      <c r="S1689" s="7">
        <f>Table2[[#This Row],[N]]+Table2[[#This Row],[Pile 
Deviation 
N (m)]]</f>
        <v>1511697.743</v>
      </c>
      <c r="T1689" s="7">
        <f>Table2[[#This Row],[E]]+Table2[[#This Row],[Pile 
Deviation 
E (m)]]</f>
        <v>694039.196</v>
      </c>
      <c r="W1689" s="7">
        <v>0.24</v>
      </c>
      <c r="X1689" s="2" t="s">
        <v>51</v>
      </c>
    </row>
    <row r="1690" spans="1:27" hidden="1" x14ac:dyDescent="0.65">
      <c r="A1690">
        <v>1684</v>
      </c>
      <c r="B1690" t="s">
        <v>29</v>
      </c>
      <c r="C1690" s="6">
        <v>1511697.676</v>
      </c>
      <c r="D1690" s="6">
        <v>693908.27899999998</v>
      </c>
      <c r="E1690" s="2" t="s">
        <v>35</v>
      </c>
      <c r="F1690" s="1">
        <v>24</v>
      </c>
      <c r="G1690" s="2" t="s">
        <v>50</v>
      </c>
      <c r="J1690"/>
      <c r="K1690" s="19"/>
      <c r="L1690" s="21"/>
      <c r="M1690" s="27"/>
      <c r="N1690" s="19"/>
      <c r="O1690" s="21"/>
      <c r="Q1690" s="7">
        <f>Table2[[#This Row],[Elevation
PILE TOP]]-Table2[[#This Row],[LENGTH(m.)
(Actual)]]</f>
        <v>0</v>
      </c>
      <c r="R1690" s="2"/>
      <c r="S1690" s="7">
        <f>Table2[[#This Row],[N]]+Table2[[#This Row],[Pile 
Deviation 
N (m)]]</f>
        <v>1511697.676</v>
      </c>
      <c r="T1690" s="7">
        <f>Table2[[#This Row],[E]]+Table2[[#This Row],[Pile 
Deviation 
E (m)]]</f>
        <v>693908.27899999998</v>
      </c>
      <c r="W1690" s="7">
        <v>0.24</v>
      </c>
      <c r="X1690" s="2" t="s">
        <v>51</v>
      </c>
    </row>
    <row r="1691" spans="1:27" ht="13.95" customHeight="1" x14ac:dyDescent="0.65">
      <c r="A1691">
        <v>1685</v>
      </c>
      <c r="B1691" t="s">
        <v>29</v>
      </c>
      <c r="C1691" s="6">
        <v>1511697.571</v>
      </c>
      <c r="D1691" s="6">
        <v>693956.89</v>
      </c>
      <c r="E1691" s="2" t="s">
        <v>35</v>
      </c>
      <c r="F1691" s="1">
        <v>24</v>
      </c>
      <c r="G1691" s="2" t="s">
        <v>50</v>
      </c>
      <c r="J1691"/>
      <c r="K1691" s="19"/>
      <c r="L1691" s="21"/>
      <c r="M1691" s="27"/>
      <c r="N1691" s="19"/>
      <c r="O1691" s="21"/>
      <c r="Q1691" s="7">
        <f>Table2[[#This Row],[Elevation
PILE TOP]]-Table2[[#This Row],[LENGTH(m.)
(Actual)]]</f>
        <v>0</v>
      </c>
      <c r="R1691" s="2"/>
      <c r="S1691" s="7">
        <f>Table2[[#This Row],[N]]+Table2[[#This Row],[Pile 
Deviation 
N (m)]]</f>
        <v>1511697.571</v>
      </c>
      <c r="T1691" s="7">
        <f>Table2[[#This Row],[E]]+Table2[[#This Row],[Pile 
Deviation 
E (m)]]</f>
        <v>693956.89</v>
      </c>
      <c r="W1691" s="7">
        <v>0.24</v>
      </c>
      <c r="X1691" s="2" t="s">
        <v>51</v>
      </c>
      <c r="AA1691" s="9">
        <v>46202</v>
      </c>
    </row>
    <row r="1692" spans="1:27" hidden="1" x14ac:dyDescent="0.65">
      <c r="A1692">
        <v>1686</v>
      </c>
      <c r="B1692" t="s">
        <v>29</v>
      </c>
      <c r="C1692" s="6">
        <v>1511697.48</v>
      </c>
      <c r="D1692" s="6">
        <v>694017.33100000001</v>
      </c>
      <c r="E1692" s="2" t="s">
        <v>35</v>
      </c>
      <c r="F1692" s="1">
        <v>24</v>
      </c>
      <c r="G1692" s="2" t="s">
        <v>50</v>
      </c>
      <c r="J1692"/>
      <c r="K1692" s="19"/>
      <c r="L1692" s="21"/>
      <c r="M1692" s="27"/>
      <c r="N1692" s="19"/>
      <c r="O1692" s="21"/>
      <c r="Q1692" s="7">
        <f>Table2[[#This Row],[Elevation
PILE TOP]]-Table2[[#This Row],[LENGTH(m.)
(Actual)]]</f>
        <v>0</v>
      </c>
      <c r="R1692" s="2"/>
      <c r="S1692" s="7">
        <f>Table2[[#This Row],[N]]+Table2[[#This Row],[Pile 
Deviation 
N (m)]]</f>
        <v>1511697.48</v>
      </c>
      <c r="T1692" s="7">
        <f>Table2[[#This Row],[E]]+Table2[[#This Row],[Pile 
Deviation 
E (m)]]</f>
        <v>694017.33100000001</v>
      </c>
      <c r="W1692" s="7">
        <v>0.24</v>
      </c>
      <c r="X1692" s="2" t="s">
        <v>51</v>
      </c>
    </row>
    <row r="1693" spans="1:27" ht="13.95" hidden="1" customHeight="1" x14ac:dyDescent="0.65">
      <c r="A1693">
        <v>1687</v>
      </c>
      <c r="B1693" t="s">
        <v>29</v>
      </c>
      <c r="C1693" s="6">
        <v>1511697.4469999999</v>
      </c>
      <c r="D1693" s="6">
        <v>693999.48400000005</v>
      </c>
      <c r="E1693" s="2" t="s">
        <v>35</v>
      </c>
      <c r="F1693" s="1">
        <v>24</v>
      </c>
      <c r="G1693" s="2" t="s">
        <v>50</v>
      </c>
      <c r="J1693"/>
      <c r="K1693" s="19"/>
      <c r="L1693" s="21"/>
      <c r="M1693" s="27"/>
      <c r="N1693" s="19"/>
      <c r="O1693" s="21"/>
      <c r="Q1693" s="7">
        <f>Table2[[#This Row],[Elevation
PILE TOP]]-Table2[[#This Row],[LENGTH(m.)
(Actual)]]</f>
        <v>0</v>
      </c>
      <c r="R1693" s="2"/>
      <c r="S1693" s="7">
        <f>Table2[[#This Row],[N]]+Table2[[#This Row],[Pile 
Deviation 
N (m)]]</f>
        <v>1511697.4469999999</v>
      </c>
      <c r="T1693" s="7">
        <f>Table2[[#This Row],[E]]+Table2[[#This Row],[Pile 
Deviation 
E (m)]]</f>
        <v>693999.48400000005</v>
      </c>
      <c r="W1693" s="7">
        <v>0.24</v>
      </c>
      <c r="X1693" s="2" t="s">
        <v>51</v>
      </c>
    </row>
    <row r="1694" spans="1:27" hidden="1" x14ac:dyDescent="0.65">
      <c r="A1694">
        <v>1688</v>
      </c>
      <c r="B1694" t="s">
        <v>29</v>
      </c>
      <c r="C1694" s="6">
        <v>1511697.4129999999</v>
      </c>
      <c r="D1694" s="6">
        <v>693981.63800000004</v>
      </c>
      <c r="E1694" s="2" t="s">
        <v>35</v>
      </c>
      <c r="F1694" s="1">
        <v>24</v>
      </c>
      <c r="G1694" s="2" t="s">
        <v>50</v>
      </c>
      <c r="J1694"/>
      <c r="K1694" s="19"/>
      <c r="L1694" s="21"/>
      <c r="M1694" s="27"/>
      <c r="N1694" s="19"/>
      <c r="O1694" s="21"/>
      <c r="Q1694" s="7">
        <f>Table2[[#This Row],[Elevation
PILE TOP]]-Table2[[#This Row],[LENGTH(m.)
(Actual)]]</f>
        <v>0</v>
      </c>
      <c r="R1694" s="2"/>
      <c r="S1694" s="7">
        <f>Table2[[#This Row],[N]]+Table2[[#This Row],[Pile 
Deviation 
N (m)]]</f>
        <v>1511697.4129999999</v>
      </c>
      <c r="T1694" s="7">
        <f>Table2[[#This Row],[E]]+Table2[[#This Row],[Pile 
Deviation 
E (m)]]</f>
        <v>693981.63800000004</v>
      </c>
      <c r="W1694" s="7">
        <v>0.24</v>
      </c>
      <c r="X1694" s="2" t="s">
        <v>51</v>
      </c>
    </row>
    <row r="1695" spans="1:27" ht="13.95" hidden="1" customHeight="1" x14ac:dyDescent="0.65">
      <c r="A1695">
        <v>1689</v>
      </c>
      <c r="B1695" t="s">
        <v>29</v>
      </c>
      <c r="C1695" s="6">
        <v>1511697.38</v>
      </c>
      <c r="D1695" s="6">
        <v>693963.79099999997</v>
      </c>
      <c r="E1695" s="2" t="s">
        <v>35</v>
      </c>
      <c r="F1695" s="1">
        <v>24</v>
      </c>
      <c r="G1695" s="2" t="s">
        <v>50</v>
      </c>
      <c r="J1695"/>
      <c r="K1695" s="19"/>
      <c r="L1695" s="21"/>
      <c r="M1695" s="27"/>
      <c r="N1695" s="19"/>
      <c r="O1695" s="21"/>
      <c r="Q1695" s="7">
        <f>Table2[[#This Row],[Elevation
PILE TOP]]-Table2[[#This Row],[LENGTH(m.)
(Actual)]]</f>
        <v>0</v>
      </c>
      <c r="R1695" s="2"/>
      <c r="S1695" s="7">
        <f>Table2[[#This Row],[N]]+Table2[[#This Row],[Pile 
Deviation 
N (m)]]</f>
        <v>1511697.38</v>
      </c>
      <c r="T1695" s="7">
        <f>Table2[[#This Row],[E]]+Table2[[#This Row],[Pile 
Deviation 
E (m)]]</f>
        <v>693963.79099999997</v>
      </c>
      <c r="W1695" s="7">
        <v>0.24</v>
      </c>
      <c r="X1695" s="2" t="s">
        <v>51</v>
      </c>
    </row>
    <row r="1696" spans="1:27" hidden="1" x14ac:dyDescent="0.65">
      <c r="A1696">
        <v>1690</v>
      </c>
      <c r="B1696" t="s">
        <v>29</v>
      </c>
      <c r="C1696" s="6">
        <v>1511697.2039999999</v>
      </c>
      <c r="D1696" s="6">
        <v>694027.75899999996</v>
      </c>
      <c r="E1696" s="2" t="s">
        <v>35</v>
      </c>
      <c r="F1696" s="1">
        <v>24</v>
      </c>
      <c r="G1696" s="2" t="s">
        <v>50</v>
      </c>
      <c r="J1696"/>
      <c r="K1696" s="19"/>
      <c r="L1696" s="21"/>
      <c r="M1696" s="27"/>
      <c r="N1696" s="19"/>
      <c r="O1696" s="21"/>
      <c r="Q1696" s="7">
        <f>Table2[[#This Row],[Elevation
PILE TOP]]-Table2[[#This Row],[LENGTH(m.)
(Actual)]]</f>
        <v>0</v>
      </c>
      <c r="R1696" s="2"/>
      <c r="S1696" s="7">
        <f>Table2[[#This Row],[N]]+Table2[[#This Row],[Pile 
Deviation 
N (m)]]</f>
        <v>1511697.2039999999</v>
      </c>
      <c r="T1696" s="7">
        <f>Table2[[#This Row],[E]]+Table2[[#This Row],[Pile 
Deviation 
E (m)]]</f>
        <v>694027.75899999996</v>
      </c>
      <c r="W1696" s="7">
        <v>0.24</v>
      </c>
      <c r="X1696" s="2" t="s">
        <v>51</v>
      </c>
    </row>
    <row r="1697" spans="1:27" ht="13.95" hidden="1" customHeight="1" x14ac:dyDescent="0.65">
      <c r="A1697">
        <v>1691</v>
      </c>
      <c r="B1697" t="s">
        <v>29</v>
      </c>
      <c r="C1697" s="6">
        <v>1511697.13</v>
      </c>
      <c r="D1697" s="6">
        <v>694106.78899999999</v>
      </c>
      <c r="E1697" s="2" t="s">
        <v>35</v>
      </c>
      <c r="F1697" s="1">
        <v>24</v>
      </c>
      <c r="G1697" s="2" t="s">
        <v>50</v>
      </c>
      <c r="J1697"/>
      <c r="K1697" s="19"/>
      <c r="L1697" s="21"/>
      <c r="M1697" s="27"/>
      <c r="N1697" s="19"/>
      <c r="O1697" s="21"/>
      <c r="Q1697" s="7">
        <f>Table2[[#This Row],[Elevation
PILE TOP]]-Table2[[#This Row],[LENGTH(m.)
(Actual)]]</f>
        <v>0</v>
      </c>
      <c r="R1697" s="2"/>
      <c r="S1697" s="7">
        <f>Table2[[#This Row],[N]]+Table2[[#This Row],[Pile 
Deviation 
N (m)]]</f>
        <v>1511697.13</v>
      </c>
      <c r="T1697" s="7">
        <f>Table2[[#This Row],[E]]+Table2[[#This Row],[Pile 
Deviation 
E (m)]]</f>
        <v>694106.78899999999</v>
      </c>
      <c r="W1697" s="7">
        <v>0.24</v>
      </c>
      <c r="X1697" s="2" t="s">
        <v>51</v>
      </c>
    </row>
    <row r="1698" spans="1:27" hidden="1" x14ac:dyDescent="0.65">
      <c r="A1698">
        <v>1692</v>
      </c>
      <c r="B1698" t="s">
        <v>29</v>
      </c>
      <c r="C1698" s="6">
        <v>1511697.1089999999</v>
      </c>
      <c r="D1698" s="6">
        <v>694069.09299999999</v>
      </c>
      <c r="E1698" s="2" t="s">
        <v>35</v>
      </c>
      <c r="F1698" s="1">
        <v>24</v>
      </c>
      <c r="G1698" s="2" t="s">
        <v>50</v>
      </c>
      <c r="J1698"/>
      <c r="K1698" s="19"/>
      <c r="L1698" s="21"/>
      <c r="M1698" s="27"/>
      <c r="N1698" s="19"/>
      <c r="O1698" s="21"/>
      <c r="Q1698" s="7">
        <f>Table2[[#This Row],[Elevation
PILE TOP]]-Table2[[#This Row],[LENGTH(m.)
(Actual)]]</f>
        <v>0</v>
      </c>
      <c r="R1698" s="2"/>
      <c r="S1698" s="7">
        <f>Table2[[#This Row],[N]]+Table2[[#This Row],[Pile 
Deviation 
N (m)]]</f>
        <v>1511697.1089999999</v>
      </c>
      <c r="T1698" s="7">
        <f>Table2[[#This Row],[E]]+Table2[[#This Row],[Pile 
Deviation 
E (m)]]</f>
        <v>694069.09299999999</v>
      </c>
      <c r="W1698" s="7">
        <v>0.24</v>
      </c>
      <c r="X1698" s="2" t="s">
        <v>51</v>
      </c>
    </row>
    <row r="1699" spans="1:27" ht="13.95" hidden="1" customHeight="1" x14ac:dyDescent="0.65">
      <c r="A1699">
        <v>1693</v>
      </c>
      <c r="B1699" t="s">
        <v>29</v>
      </c>
      <c r="C1699" s="6">
        <v>1511697.0989999999</v>
      </c>
      <c r="D1699" s="6">
        <v>694050.245</v>
      </c>
      <c r="E1699" s="2" t="s">
        <v>35</v>
      </c>
      <c r="F1699" s="1">
        <v>24</v>
      </c>
      <c r="G1699" s="2" t="s">
        <v>50</v>
      </c>
      <c r="J1699"/>
      <c r="K1699" s="19"/>
      <c r="L1699" s="21"/>
      <c r="M1699" s="27"/>
      <c r="N1699" s="19"/>
      <c r="O1699" s="21"/>
      <c r="Q1699" s="7">
        <f>Table2[[#This Row],[Elevation
PILE TOP]]-Table2[[#This Row],[LENGTH(m.)
(Actual)]]</f>
        <v>0</v>
      </c>
      <c r="R1699" s="2"/>
      <c r="S1699" s="7">
        <f>Table2[[#This Row],[N]]+Table2[[#This Row],[Pile 
Deviation 
N (m)]]</f>
        <v>1511697.0989999999</v>
      </c>
      <c r="T1699" s="7">
        <f>Table2[[#This Row],[E]]+Table2[[#This Row],[Pile 
Deviation 
E (m)]]</f>
        <v>694050.245</v>
      </c>
      <c r="W1699" s="7">
        <v>0.24</v>
      </c>
      <c r="X1699" s="2" t="s">
        <v>51</v>
      </c>
    </row>
    <row r="1700" spans="1:27" hidden="1" x14ac:dyDescent="0.65">
      <c r="A1700">
        <v>1694</v>
      </c>
      <c r="B1700" t="s">
        <v>29</v>
      </c>
      <c r="C1700" s="6">
        <v>1511696.787</v>
      </c>
      <c r="D1700" s="6">
        <v>694013.9</v>
      </c>
      <c r="E1700" s="2" t="s">
        <v>35</v>
      </c>
      <c r="F1700" s="1">
        <v>24</v>
      </c>
      <c r="G1700" s="2" t="s">
        <v>50</v>
      </c>
      <c r="J1700"/>
      <c r="K1700" s="19"/>
      <c r="L1700" s="21"/>
      <c r="M1700" s="27"/>
      <c r="N1700" s="19"/>
      <c r="O1700" s="21"/>
      <c r="Q1700" s="7">
        <f>Table2[[#This Row],[Elevation
PILE TOP]]-Table2[[#This Row],[LENGTH(m.)
(Actual)]]</f>
        <v>0</v>
      </c>
      <c r="R1700" s="2"/>
      <c r="S1700" s="7">
        <f>Table2[[#This Row],[N]]+Table2[[#This Row],[Pile 
Deviation 
N (m)]]</f>
        <v>1511696.787</v>
      </c>
      <c r="T1700" s="7">
        <f>Table2[[#This Row],[E]]+Table2[[#This Row],[Pile 
Deviation 
E (m)]]</f>
        <v>694013.9</v>
      </c>
      <c r="W1700" s="7">
        <v>0.24</v>
      </c>
      <c r="X1700" s="2" t="s">
        <v>51</v>
      </c>
    </row>
    <row r="1701" spans="1:27" ht="13.95" hidden="1" customHeight="1" x14ac:dyDescent="0.65">
      <c r="A1701">
        <v>1695</v>
      </c>
      <c r="B1701" t="s">
        <v>29</v>
      </c>
      <c r="C1701" s="6">
        <v>1511696.787</v>
      </c>
      <c r="D1701" s="6">
        <v>693911.66399999999</v>
      </c>
      <c r="E1701" s="2" t="s">
        <v>35</v>
      </c>
      <c r="F1701" s="1">
        <v>24</v>
      </c>
      <c r="G1701" s="2" t="s">
        <v>50</v>
      </c>
      <c r="J1701"/>
      <c r="K1701" s="19"/>
      <c r="L1701" s="21"/>
      <c r="M1701" s="27"/>
      <c r="N1701" s="19"/>
      <c r="O1701" s="21"/>
      <c r="Q1701" s="7">
        <f>Table2[[#This Row],[Elevation
PILE TOP]]-Table2[[#This Row],[LENGTH(m.)
(Actual)]]</f>
        <v>0</v>
      </c>
      <c r="R1701" s="2"/>
      <c r="S1701" s="7">
        <f>Table2[[#This Row],[N]]+Table2[[#This Row],[Pile 
Deviation 
N (m)]]</f>
        <v>1511696.787</v>
      </c>
      <c r="T1701" s="7">
        <f>Table2[[#This Row],[E]]+Table2[[#This Row],[Pile 
Deviation 
E (m)]]</f>
        <v>693911.66399999999</v>
      </c>
      <c r="W1701" s="7">
        <v>0.24</v>
      </c>
      <c r="X1701" s="2" t="s">
        <v>51</v>
      </c>
    </row>
    <row r="1702" spans="1:27" hidden="1" x14ac:dyDescent="0.65">
      <c r="A1702">
        <v>1696</v>
      </c>
      <c r="B1702" t="s">
        <v>29</v>
      </c>
      <c r="C1702" s="6">
        <v>1511696.754</v>
      </c>
      <c r="D1702" s="6">
        <v>693996.05299999996</v>
      </c>
      <c r="E1702" s="2" t="s">
        <v>35</v>
      </c>
      <c r="F1702" s="1">
        <v>24</v>
      </c>
      <c r="G1702" s="2" t="s">
        <v>50</v>
      </c>
      <c r="J1702"/>
      <c r="K1702" s="19"/>
      <c r="L1702" s="21"/>
      <c r="M1702" s="27"/>
      <c r="N1702" s="19"/>
      <c r="O1702" s="21"/>
      <c r="Q1702" s="7">
        <f>Table2[[#This Row],[Elevation
PILE TOP]]-Table2[[#This Row],[LENGTH(m.)
(Actual)]]</f>
        <v>0</v>
      </c>
      <c r="R1702" s="2"/>
      <c r="S1702" s="7">
        <f>Table2[[#This Row],[N]]+Table2[[#This Row],[Pile 
Deviation 
N (m)]]</f>
        <v>1511696.754</v>
      </c>
      <c r="T1702" s="7">
        <f>Table2[[#This Row],[E]]+Table2[[#This Row],[Pile 
Deviation 
E (m)]]</f>
        <v>693996.05299999996</v>
      </c>
      <c r="W1702" s="7">
        <v>0.24</v>
      </c>
      <c r="X1702" s="2" t="s">
        <v>51</v>
      </c>
    </row>
    <row r="1703" spans="1:27" ht="13.95" hidden="1" customHeight="1" x14ac:dyDescent="0.65">
      <c r="A1703">
        <v>1697</v>
      </c>
      <c r="B1703" t="s">
        <v>29</v>
      </c>
      <c r="C1703" s="6">
        <v>1511696.72</v>
      </c>
      <c r="D1703" s="6">
        <v>693978.20700000005</v>
      </c>
      <c r="E1703" s="2" t="s">
        <v>35</v>
      </c>
      <c r="F1703" s="1">
        <v>24</v>
      </c>
      <c r="G1703" s="2" t="s">
        <v>50</v>
      </c>
      <c r="J1703"/>
      <c r="K1703" s="19"/>
      <c r="L1703" s="21"/>
      <c r="M1703" s="27"/>
      <c r="N1703" s="19"/>
      <c r="O1703" s="21"/>
      <c r="Q1703" s="7">
        <f>Table2[[#This Row],[Elevation
PILE TOP]]-Table2[[#This Row],[LENGTH(m.)
(Actual)]]</f>
        <v>0</v>
      </c>
      <c r="R1703" s="2"/>
      <c r="S1703" s="7">
        <f>Table2[[#This Row],[N]]+Table2[[#This Row],[Pile 
Deviation 
N (m)]]</f>
        <v>1511696.72</v>
      </c>
      <c r="T1703" s="7">
        <f>Table2[[#This Row],[E]]+Table2[[#This Row],[Pile 
Deviation 
E (m)]]</f>
        <v>693978.20700000005</v>
      </c>
      <c r="W1703" s="7">
        <v>0.24</v>
      </c>
      <c r="X1703" s="2" t="s">
        <v>51</v>
      </c>
    </row>
    <row r="1704" spans="1:27" hidden="1" x14ac:dyDescent="0.65">
      <c r="A1704">
        <v>1698</v>
      </c>
      <c r="B1704" t="s">
        <v>29</v>
      </c>
      <c r="C1704" s="6">
        <v>1511696.655</v>
      </c>
      <c r="D1704" s="6">
        <v>694087.75600000005</v>
      </c>
      <c r="E1704" s="2" t="s">
        <v>35</v>
      </c>
      <c r="F1704" s="1">
        <v>24</v>
      </c>
      <c r="G1704" s="2" t="s">
        <v>50</v>
      </c>
      <c r="J1704"/>
      <c r="K1704" s="19"/>
      <c r="L1704" s="21"/>
      <c r="M1704" s="27"/>
      <c r="N1704" s="19"/>
      <c r="O1704" s="21"/>
      <c r="Q1704" s="7">
        <f>Table2[[#This Row],[Elevation
PILE TOP]]-Table2[[#This Row],[LENGTH(m.)
(Actual)]]</f>
        <v>0</v>
      </c>
      <c r="R1704" s="2"/>
      <c r="S1704" s="7">
        <f>Table2[[#This Row],[N]]+Table2[[#This Row],[Pile 
Deviation 
N (m)]]</f>
        <v>1511696.655</v>
      </c>
      <c r="T1704" s="7">
        <f>Table2[[#This Row],[E]]+Table2[[#This Row],[Pile 
Deviation 
E (m)]]</f>
        <v>694087.75600000005</v>
      </c>
      <c r="W1704" s="7">
        <v>0.24</v>
      </c>
      <c r="X1704" s="2" t="s">
        <v>51</v>
      </c>
    </row>
    <row r="1705" spans="1:27" ht="13.95" hidden="1" customHeight="1" x14ac:dyDescent="0.65">
      <c r="A1705">
        <v>1699</v>
      </c>
      <c r="B1705" t="s">
        <v>29</v>
      </c>
      <c r="C1705" s="6">
        <v>1511696.6229999999</v>
      </c>
      <c r="D1705" s="6">
        <v>694035.01500000001</v>
      </c>
      <c r="E1705" s="2" t="s">
        <v>35</v>
      </c>
      <c r="F1705" s="1">
        <v>24</v>
      </c>
      <c r="G1705" s="2" t="s">
        <v>50</v>
      </c>
      <c r="J1705"/>
      <c r="K1705" s="19"/>
      <c r="L1705" s="21"/>
      <c r="M1705" s="27"/>
      <c r="N1705" s="19"/>
      <c r="O1705" s="21"/>
      <c r="Q1705" s="7">
        <f>Table2[[#This Row],[Elevation
PILE TOP]]-Table2[[#This Row],[LENGTH(m.)
(Actual)]]</f>
        <v>0</v>
      </c>
      <c r="R1705" s="2"/>
      <c r="S1705" s="7">
        <f>Table2[[#This Row],[N]]+Table2[[#This Row],[Pile 
Deviation 
N (m)]]</f>
        <v>1511696.6229999999</v>
      </c>
      <c r="T1705" s="7">
        <f>Table2[[#This Row],[E]]+Table2[[#This Row],[Pile 
Deviation 
E (m)]]</f>
        <v>694035.01500000001</v>
      </c>
      <c r="W1705" s="7">
        <v>0.24</v>
      </c>
      <c r="X1705" s="2" t="s">
        <v>51</v>
      </c>
    </row>
    <row r="1706" spans="1:27" hidden="1" x14ac:dyDescent="0.65">
      <c r="A1706">
        <v>1700</v>
      </c>
      <c r="B1706" t="s">
        <v>29</v>
      </c>
      <c r="C1706" s="6">
        <v>1511696.6</v>
      </c>
      <c r="D1706" s="6">
        <v>693846.652</v>
      </c>
      <c r="E1706" s="2" t="s">
        <v>35</v>
      </c>
      <c r="F1706" s="1">
        <v>24</v>
      </c>
      <c r="G1706" s="2" t="s">
        <v>50</v>
      </c>
      <c r="J1706"/>
      <c r="K1706" s="19"/>
      <c r="L1706" s="21"/>
      <c r="M1706" s="27"/>
      <c r="N1706" s="19"/>
      <c r="O1706" s="21"/>
      <c r="Q1706" s="7">
        <f>Table2[[#This Row],[Elevation
PILE TOP]]-Table2[[#This Row],[LENGTH(m.)
(Actual)]]</f>
        <v>0</v>
      </c>
      <c r="R1706" s="2"/>
      <c r="S1706" s="7">
        <f>Table2[[#This Row],[N]]+Table2[[#This Row],[Pile 
Deviation 
N (m)]]</f>
        <v>1511696.6</v>
      </c>
      <c r="T1706" s="7">
        <f>Table2[[#This Row],[E]]+Table2[[#This Row],[Pile 
Deviation 
E (m)]]</f>
        <v>693846.652</v>
      </c>
      <c r="W1706" s="7">
        <v>0.24</v>
      </c>
      <c r="X1706" s="2" t="s">
        <v>51</v>
      </c>
      <c r="AA1706" s="9">
        <v>46211</v>
      </c>
    </row>
    <row r="1707" spans="1:27" ht="13.95" hidden="1" customHeight="1" x14ac:dyDescent="0.65">
      <c r="A1707">
        <v>1701</v>
      </c>
      <c r="B1707" t="s">
        <v>29</v>
      </c>
      <c r="C1707" s="6">
        <v>1511696.476</v>
      </c>
      <c r="D1707" s="6">
        <v>694098.99</v>
      </c>
      <c r="E1707" s="2" t="s">
        <v>35</v>
      </c>
      <c r="F1707" s="1">
        <v>24</v>
      </c>
      <c r="G1707" s="2" t="s">
        <v>50</v>
      </c>
      <c r="J1707"/>
      <c r="K1707" s="19"/>
      <c r="L1707" s="21"/>
      <c r="M1707" s="27"/>
      <c r="N1707" s="19"/>
      <c r="O1707" s="21"/>
      <c r="Q1707" s="7">
        <f>Table2[[#This Row],[Elevation
PILE TOP]]-Table2[[#This Row],[LENGTH(m.)
(Actual)]]</f>
        <v>0</v>
      </c>
      <c r="R1707" s="2"/>
      <c r="S1707" s="7">
        <f>Table2[[#This Row],[N]]+Table2[[#This Row],[Pile 
Deviation 
N (m)]]</f>
        <v>1511696.476</v>
      </c>
      <c r="T1707" s="7">
        <f>Table2[[#This Row],[E]]+Table2[[#This Row],[Pile 
Deviation 
E (m)]]</f>
        <v>694098.99</v>
      </c>
      <c r="W1707" s="7">
        <v>0.24</v>
      </c>
      <c r="X1707" s="2" t="s">
        <v>51</v>
      </c>
    </row>
    <row r="1708" spans="1:27" hidden="1" x14ac:dyDescent="0.65">
      <c r="A1708">
        <v>1702</v>
      </c>
      <c r="B1708" t="s">
        <v>29</v>
      </c>
      <c r="C1708" s="6">
        <v>1511696.4650000001</v>
      </c>
      <c r="D1708" s="6">
        <v>694080.14199999999</v>
      </c>
      <c r="E1708" s="2" t="s">
        <v>35</v>
      </c>
      <c r="F1708" s="1">
        <v>24</v>
      </c>
      <c r="G1708" s="2" t="s">
        <v>50</v>
      </c>
      <c r="J1708"/>
      <c r="K1708" s="19"/>
      <c r="L1708" s="21"/>
      <c r="M1708" s="27"/>
      <c r="N1708" s="19"/>
      <c r="O1708" s="21"/>
      <c r="Q1708" s="7">
        <f>Table2[[#This Row],[Elevation
PILE TOP]]-Table2[[#This Row],[LENGTH(m.)
(Actual)]]</f>
        <v>0</v>
      </c>
      <c r="R1708" s="2"/>
      <c r="S1708" s="7">
        <f>Table2[[#This Row],[N]]+Table2[[#This Row],[Pile 
Deviation 
N (m)]]</f>
        <v>1511696.4650000001</v>
      </c>
      <c r="T1708" s="7">
        <f>Table2[[#This Row],[E]]+Table2[[#This Row],[Pile 
Deviation 
E (m)]]</f>
        <v>694080.14199999999</v>
      </c>
      <c r="W1708" s="7">
        <v>0.24</v>
      </c>
      <c r="X1708" s="2" t="s">
        <v>51</v>
      </c>
    </row>
    <row r="1709" spans="1:27" ht="13.95" hidden="1" customHeight="1" x14ac:dyDescent="0.65">
      <c r="A1709">
        <v>1703</v>
      </c>
      <c r="B1709" t="s">
        <v>29</v>
      </c>
      <c r="C1709" s="6">
        <v>1511696.4550000001</v>
      </c>
      <c r="D1709" s="6">
        <v>694061.29399999999</v>
      </c>
      <c r="E1709" s="2" t="s">
        <v>35</v>
      </c>
      <c r="F1709" s="1">
        <v>24</v>
      </c>
      <c r="G1709" s="2" t="s">
        <v>50</v>
      </c>
      <c r="J1709"/>
      <c r="K1709" s="19"/>
      <c r="L1709" s="21"/>
      <c r="M1709" s="27"/>
      <c r="N1709" s="19"/>
      <c r="O1709" s="21"/>
      <c r="Q1709" s="7">
        <f>Table2[[#This Row],[Elevation
PILE TOP]]-Table2[[#This Row],[LENGTH(m.)
(Actual)]]</f>
        <v>0</v>
      </c>
      <c r="R1709" s="2"/>
      <c r="S1709" s="7">
        <f>Table2[[#This Row],[N]]+Table2[[#This Row],[Pile 
Deviation 
N (m)]]</f>
        <v>1511696.4550000001</v>
      </c>
      <c r="T1709" s="7">
        <f>Table2[[#This Row],[E]]+Table2[[#This Row],[Pile 
Deviation 
E (m)]]</f>
        <v>694061.29399999999</v>
      </c>
      <c r="W1709" s="7">
        <v>0.24</v>
      </c>
      <c r="X1709" s="2" t="s">
        <v>51</v>
      </c>
    </row>
    <row r="1710" spans="1:27" hidden="1" x14ac:dyDescent="0.65">
      <c r="A1710">
        <v>1704</v>
      </c>
      <c r="B1710" t="s">
        <v>29</v>
      </c>
      <c r="C1710" s="6">
        <v>1511696.4450000001</v>
      </c>
      <c r="D1710" s="6">
        <v>694042.446</v>
      </c>
      <c r="E1710" s="2" t="s">
        <v>35</v>
      </c>
      <c r="F1710" s="1">
        <v>24</v>
      </c>
      <c r="G1710" s="2" t="s">
        <v>50</v>
      </c>
      <c r="J1710"/>
      <c r="K1710" s="19"/>
      <c r="L1710" s="21"/>
      <c r="M1710" s="27"/>
      <c r="N1710" s="19"/>
      <c r="O1710" s="21"/>
      <c r="Q1710" s="7">
        <f>Table2[[#This Row],[Elevation
PILE TOP]]-Table2[[#This Row],[LENGTH(m.)
(Actual)]]</f>
        <v>0</v>
      </c>
      <c r="R1710" s="2"/>
      <c r="S1710" s="7">
        <f>Table2[[#This Row],[N]]+Table2[[#This Row],[Pile 
Deviation 
N (m)]]</f>
        <v>1511696.4450000001</v>
      </c>
      <c r="T1710" s="7">
        <f>Table2[[#This Row],[E]]+Table2[[#This Row],[Pile 
Deviation 
E (m)]]</f>
        <v>694042.446</v>
      </c>
      <c r="W1710" s="7">
        <v>0.24</v>
      </c>
      <c r="X1710" s="2" t="s">
        <v>51</v>
      </c>
    </row>
    <row r="1711" spans="1:27" ht="13.95" hidden="1" customHeight="1" x14ac:dyDescent="0.65">
      <c r="A1711">
        <v>1705</v>
      </c>
      <c r="B1711" t="s">
        <v>29</v>
      </c>
      <c r="C1711" s="6">
        <v>1511696.38</v>
      </c>
      <c r="D1711" s="6">
        <v>694019.97600000002</v>
      </c>
      <c r="E1711" s="2" t="s">
        <v>35</v>
      </c>
      <c r="F1711" s="1">
        <v>24</v>
      </c>
      <c r="G1711" s="2" t="s">
        <v>50</v>
      </c>
      <c r="J1711"/>
      <c r="K1711" s="19"/>
      <c r="L1711" s="21"/>
      <c r="M1711" s="27"/>
      <c r="N1711" s="19"/>
      <c r="O1711" s="21"/>
      <c r="Q1711" s="7">
        <f>Table2[[#This Row],[Elevation
PILE TOP]]-Table2[[#This Row],[LENGTH(m.)
(Actual)]]</f>
        <v>0</v>
      </c>
      <c r="R1711" s="2"/>
      <c r="S1711" s="7">
        <f>Table2[[#This Row],[N]]+Table2[[#This Row],[Pile 
Deviation 
N (m)]]</f>
        <v>1511696.38</v>
      </c>
      <c r="T1711" s="7">
        <f>Table2[[#This Row],[E]]+Table2[[#This Row],[Pile 
Deviation 
E (m)]]</f>
        <v>694019.97600000002</v>
      </c>
      <c r="W1711" s="7">
        <v>0.24</v>
      </c>
      <c r="X1711" s="2" t="s">
        <v>51</v>
      </c>
    </row>
    <row r="1712" spans="1:27" x14ac:dyDescent="0.65">
      <c r="A1712">
        <v>1706</v>
      </c>
      <c r="B1712" t="s">
        <v>29</v>
      </c>
      <c r="C1712" s="6">
        <v>1511696.344</v>
      </c>
      <c r="D1712" s="6">
        <v>693960.16799999995</v>
      </c>
      <c r="E1712" s="2" t="s">
        <v>35</v>
      </c>
      <c r="F1712" s="1">
        <v>24</v>
      </c>
      <c r="G1712" s="2" t="s">
        <v>50</v>
      </c>
      <c r="J1712"/>
      <c r="K1712" s="19"/>
      <c r="L1712" s="21"/>
      <c r="M1712" s="27"/>
      <c r="N1712" s="19"/>
      <c r="O1712" s="21"/>
      <c r="Q1712" s="7">
        <f>Table2[[#This Row],[Elevation
PILE TOP]]-Table2[[#This Row],[LENGTH(m.)
(Actual)]]</f>
        <v>0</v>
      </c>
      <c r="R1712" s="2"/>
      <c r="S1712" s="7">
        <f>Table2[[#This Row],[N]]+Table2[[#This Row],[Pile 
Deviation 
N (m)]]</f>
        <v>1511696.344</v>
      </c>
      <c r="T1712" s="7">
        <f>Table2[[#This Row],[E]]+Table2[[#This Row],[Pile 
Deviation 
E (m)]]</f>
        <v>693960.16799999995</v>
      </c>
      <c r="W1712" s="7">
        <v>0.24</v>
      </c>
      <c r="X1712" s="2" t="s">
        <v>51</v>
      </c>
      <c r="AA1712" s="9">
        <v>46202</v>
      </c>
    </row>
    <row r="1713" spans="1:27" ht="13.95" hidden="1" customHeight="1" x14ac:dyDescent="0.65">
      <c r="A1713">
        <v>1707</v>
      </c>
      <c r="B1713" t="s">
        <v>29</v>
      </c>
      <c r="C1713" s="6">
        <v>1511696.094</v>
      </c>
      <c r="D1713" s="6">
        <v>694010.46900000004</v>
      </c>
      <c r="E1713" s="2" t="s">
        <v>35</v>
      </c>
      <c r="F1713" s="1">
        <v>24</v>
      </c>
      <c r="G1713" s="2" t="s">
        <v>50</v>
      </c>
      <c r="J1713"/>
      <c r="K1713" s="19"/>
      <c r="L1713" s="21"/>
      <c r="M1713" s="27"/>
      <c r="N1713" s="19"/>
      <c r="O1713" s="21"/>
      <c r="Q1713" s="7">
        <f>Table2[[#This Row],[Elevation
PILE TOP]]-Table2[[#This Row],[LENGTH(m.)
(Actual)]]</f>
        <v>0</v>
      </c>
      <c r="R1713" s="2"/>
      <c r="S1713" s="7">
        <f>Table2[[#This Row],[N]]+Table2[[#This Row],[Pile 
Deviation 
N (m)]]</f>
        <v>1511696.094</v>
      </c>
      <c r="T1713" s="7">
        <f>Table2[[#This Row],[E]]+Table2[[#This Row],[Pile 
Deviation 
E (m)]]</f>
        <v>694010.46900000004</v>
      </c>
      <c r="W1713" s="7">
        <v>0.24</v>
      </c>
      <c r="X1713" s="2" t="s">
        <v>51</v>
      </c>
    </row>
    <row r="1714" spans="1:27" hidden="1" x14ac:dyDescent="0.65">
      <c r="A1714">
        <v>1708</v>
      </c>
      <c r="B1714" t="s">
        <v>29</v>
      </c>
      <c r="C1714" s="6">
        <v>1511696.0689999999</v>
      </c>
      <c r="D1714" s="6">
        <v>693900.61899999995</v>
      </c>
      <c r="E1714" s="2" t="s">
        <v>35</v>
      </c>
      <c r="F1714" s="1">
        <v>24</v>
      </c>
      <c r="G1714" s="2" t="s">
        <v>50</v>
      </c>
      <c r="J1714"/>
      <c r="K1714" s="19"/>
      <c r="L1714" s="21"/>
      <c r="M1714" s="27"/>
      <c r="N1714" s="19"/>
      <c r="O1714" s="21"/>
      <c r="Q1714" s="7">
        <f>Table2[[#This Row],[Elevation
PILE TOP]]-Table2[[#This Row],[LENGTH(m.)
(Actual)]]</f>
        <v>0</v>
      </c>
      <c r="R1714" s="2"/>
      <c r="S1714" s="7">
        <f>Table2[[#This Row],[N]]+Table2[[#This Row],[Pile 
Deviation 
N (m)]]</f>
        <v>1511696.0689999999</v>
      </c>
      <c r="T1714" s="7">
        <f>Table2[[#This Row],[E]]+Table2[[#This Row],[Pile 
Deviation 
E (m)]]</f>
        <v>693900.61899999995</v>
      </c>
      <c r="W1714" s="7">
        <v>0.24</v>
      </c>
      <c r="X1714" s="2" t="s">
        <v>51</v>
      </c>
    </row>
    <row r="1715" spans="1:27" ht="13.95" hidden="1" customHeight="1" x14ac:dyDescent="0.65">
      <c r="A1715">
        <v>1709</v>
      </c>
      <c r="B1715" t="s">
        <v>29</v>
      </c>
      <c r="C1715" s="6">
        <v>1511696.061</v>
      </c>
      <c r="D1715" s="6">
        <v>693992.62300000002</v>
      </c>
      <c r="E1715" s="2" t="s">
        <v>35</v>
      </c>
      <c r="F1715" s="1">
        <v>24</v>
      </c>
      <c r="G1715" s="2" t="s">
        <v>50</v>
      </c>
      <c r="J1715"/>
      <c r="K1715" s="19"/>
      <c r="L1715" s="21"/>
      <c r="M1715" s="27"/>
      <c r="N1715" s="19"/>
      <c r="O1715" s="21"/>
      <c r="Q1715" s="7">
        <f>Table2[[#This Row],[Elevation
PILE TOP]]-Table2[[#This Row],[LENGTH(m.)
(Actual)]]</f>
        <v>0</v>
      </c>
      <c r="R1715" s="2"/>
      <c r="S1715" s="7">
        <f>Table2[[#This Row],[N]]+Table2[[#This Row],[Pile 
Deviation 
N (m)]]</f>
        <v>1511696.061</v>
      </c>
      <c r="T1715" s="7">
        <f>Table2[[#This Row],[E]]+Table2[[#This Row],[Pile 
Deviation 
E (m)]]</f>
        <v>693992.62300000002</v>
      </c>
      <c r="W1715" s="7">
        <v>0.24</v>
      </c>
      <c r="X1715" s="2" t="s">
        <v>51</v>
      </c>
    </row>
    <row r="1716" spans="1:27" hidden="1" x14ac:dyDescent="0.65">
      <c r="A1716">
        <v>1710</v>
      </c>
      <c r="B1716" t="s">
        <v>29</v>
      </c>
      <c r="C1716" s="6">
        <v>1511696.027</v>
      </c>
      <c r="D1716" s="6">
        <v>693974.77599999995</v>
      </c>
      <c r="E1716" s="2" t="s">
        <v>35</v>
      </c>
      <c r="F1716" s="1">
        <v>24</v>
      </c>
      <c r="G1716" s="2" t="s">
        <v>50</v>
      </c>
      <c r="J1716"/>
      <c r="K1716" s="19"/>
      <c r="L1716" s="21"/>
      <c r="M1716" s="27"/>
      <c r="N1716" s="19"/>
      <c r="O1716" s="21"/>
      <c r="Q1716" s="7">
        <f>Table2[[#This Row],[Elevation
PILE TOP]]-Table2[[#This Row],[LENGTH(m.)
(Actual)]]</f>
        <v>0</v>
      </c>
      <c r="R1716" s="2"/>
      <c r="S1716" s="7">
        <f>Table2[[#This Row],[N]]+Table2[[#This Row],[Pile 
Deviation 
N (m)]]</f>
        <v>1511696.027</v>
      </c>
      <c r="T1716" s="7">
        <f>Table2[[#This Row],[E]]+Table2[[#This Row],[Pile 
Deviation 
E (m)]]</f>
        <v>693974.77599999995</v>
      </c>
      <c r="W1716" s="7">
        <v>0.24</v>
      </c>
      <c r="X1716" s="2" t="s">
        <v>51</v>
      </c>
    </row>
    <row r="1717" spans="1:27" ht="13.95" hidden="1" customHeight="1" x14ac:dyDescent="0.65">
      <c r="A1717">
        <v>1711</v>
      </c>
      <c r="B1717" t="s">
        <v>29</v>
      </c>
      <c r="C1717" s="6">
        <v>1511695.977</v>
      </c>
      <c r="D1717" s="6">
        <v>694031.03700000001</v>
      </c>
      <c r="E1717" s="2" t="s">
        <v>35</v>
      </c>
      <c r="F1717" s="1">
        <v>24</v>
      </c>
      <c r="G1717" s="2" t="s">
        <v>50</v>
      </c>
      <c r="J1717"/>
      <c r="K1717" s="19"/>
      <c r="L1717" s="21"/>
      <c r="M1717" s="27"/>
      <c r="N1717" s="19"/>
      <c r="O1717" s="21"/>
      <c r="Q1717" s="7">
        <f>Table2[[#This Row],[Elevation
PILE TOP]]-Table2[[#This Row],[LENGTH(m.)
(Actual)]]</f>
        <v>0</v>
      </c>
      <c r="R1717" s="2"/>
      <c r="S1717" s="7">
        <f>Table2[[#This Row],[N]]+Table2[[#This Row],[Pile 
Deviation 
N (m)]]</f>
        <v>1511695.977</v>
      </c>
      <c r="T1717" s="7">
        <f>Table2[[#This Row],[E]]+Table2[[#This Row],[Pile 
Deviation 
E (m)]]</f>
        <v>694031.03700000001</v>
      </c>
      <c r="W1717" s="7">
        <v>0.24</v>
      </c>
      <c r="X1717" s="2" t="s">
        <v>51</v>
      </c>
    </row>
    <row r="1718" spans="1:27" x14ac:dyDescent="0.65">
      <c r="A1718">
        <v>1712</v>
      </c>
      <c r="B1718" t="s">
        <v>29</v>
      </c>
      <c r="C1718" s="6">
        <v>1511695.9339999999</v>
      </c>
      <c r="D1718" s="6">
        <v>693931.46499999997</v>
      </c>
      <c r="E1718" s="2" t="s">
        <v>35</v>
      </c>
      <c r="F1718" s="1">
        <v>24</v>
      </c>
      <c r="G1718" s="2" t="s">
        <v>50</v>
      </c>
      <c r="J1718"/>
      <c r="K1718" s="19"/>
      <c r="L1718" s="21"/>
      <c r="M1718" s="27"/>
      <c r="N1718" s="19"/>
      <c r="O1718" s="21"/>
      <c r="Q1718" s="7">
        <f>Table2[[#This Row],[Elevation
PILE TOP]]-Table2[[#This Row],[LENGTH(m.)
(Actual)]]</f>
        <v>0</v>
      </c>
      <c r="R1718" s="2"/>
      <c r="S1718" s="7">
        <f>Table2[[#This Row],[N]]+Table2[[#This Row],[Pile 
Deviation 
N (m)]]</f>
        <v>1511695.9339999999</v>
      </c>
      <c r="T1718" s="7">
        <f>Table2[[#This Row],[E]]+Table2[[#This Row],[Pile 
Deviation 
E (m)]]</f>
        <v>693931.46499999997</v>
      </c>
      <c r="W1718" s="7">
        <v>0.24</v>
      </c>
      <c r="X1718" s="2" t="s">
        <v>51</v>
      </c>
      <c r="AA1718" s="9">
        <v>46203</v>
      </c>
    </row>
    <row r="1719" spans="1:27" ht="13.95" hidden="1" customHeight="1" x14ac:dyDescent="0.65">
      <c r="A1719">
        <v>1713</v>
      </c>
      <c r="B1719" t="s">
        <v>29</v>
      </c>
      <c r="C1719" s="6">
        <v>1511695.898</v>
      </c>
      <c r="D1719" s="6">
        <v>693915.049</v>
      </c>
      <c r="E1719" s="2" t="s">
        <v>35</v>
      </c>
      <c r="F1719" s="1">
        <v>24</v>
      </c>
      <c r="G1719" s="2" t="s">
        <v>50</v>
      </c>
      <c r="J1719"/>
      <c r="K1719" s="19"/>
      <c r="L1719" s="21"/>
      <c r="M1719" s="27"/>
      <c r="N1719" s="19"/>
      <c r="O1719" s="21"/>
      <c r="Q1719" s="7">
        <f>Table2[[#This Row],[Elevation
PILE TOP]]-Table2[[#This Row],[LENGTH(m.)
(Actual)]]</f>
        <v>0</v>
      </c>
      <c r="R1719" s="2"/>
      <c r="S1719" s="7">
        <f>Table2[[#This Row],[N]]+Table2[[#This Row],[Pile 
Deviation 
N (m)]]</f>
        <v>1511695.898</v>
      </c>
      <c r="T1719" s="7">
        <f>Table2[[#This Row],[E]]+Table2[[#This Row],[Pile 
Deviation 
E (m)]]</f>
        <v>693915.049</v>
      </c>
      <c r="W1719" s="7">
        <v>0.24</v>
      </c>
      <c r="X1719" s="2" t="s">
        <v>51</v>
      </c>
    </row>
    <row r="1720" spans="1:27" hidden="1" x14ac:dyDescent="0.65">
      <c r="A1720">
        <v>1714</v>
      </c>
      <c r="B1720" t="s">
        <v>29</v>
      </c>
      <c r="C1720" s="6">
        <v>1511695.8319999999</v>
      </c>
      <c r="D1720" s="6">
        <v>694110.03899999999</v>
      </c>
      <c r="E1720" s="2" t="s">
        <v>35</v>
      </c>
      <c r="F1720" s="1">
        <v>24</v>
      </c>
      <c r="G1720" s="2" t="s">
        <v>50</v>
      </c>
      <c r="J1720"/>
      <c r="K1720" s="19"/>
      <c r="L1720" s="21"/>
      <c r="M1720" s="27"/>
      <c r="N1720" s="19"/>
      <c r="O1720" s="21"/>
      <c r="Q1720" s="7">
        <f>Table2[[#This Row],[Elevation
PILE TOP]]-Table2[[#This Row],[LENGTH(m.)
(Actual)]]</f>
        <v>0</v>
      </c>
      <c r="R1720" s="2"/>
      <c r="S1720" s="7">
        <f>Table2[[#This Row],[N]]+Table2[[#This Row],[Pile 
Deviation 
N (m)]]</f>
        <v>1511695.8319999999</v>
      </c>
      <c r="T1720" s="7">
        <f>Table2[[#This Row],[E]]+Table2[[#This Row],[Pile 
Deviation 
E (m)]]</f>
        <v>694110.03899999999</v>
      </c>
      <c r="W1720" s="7">
        <v>0.24</v>
      </c>
      <c r="X1720" s="2" t="s">
        <v>51</v>
      </c>
    </row>
    <row r="1721" spans="1:27" ht="13.95" hidden="1" customHeight="1" x14ac:dyDescent="0.65">
      <c r="A1721">
        <v>1715</v>
      </c>
      <c r="B1721" t="s">
        <v>29</v>
      </c>
      <c r="C1721" s="6">
        <v>1511695.8219999999</v>
      </c>
      <c r="D1721" s="6">
        <v>694091.19099999999</v>
      </c>
      <c r="E1721" s="2" t="s">
        <v>35</v>
      </c>
      <c r="F1721" s="1">
        <v>24</v>
      </c>
      <c r="G1721" s="2" t="s">
        <v>50</v>
      </c>
      <c r="J1721"/>
      <c r="K1721" s="19"/>
      <c r="L1721" s="21"/>
      <c r="M1721" s="27"/>
      <c r="N1721" s="19"/>
      <c r="O1721" s="21"/>
      <c r="Q1721" s="7">
        <f>Table2[[#This Row],[Elevation
PILE TOP]]-Table2[[#This Row],[LENGTH(m.)
(Actual)]]</f>
        <v>0</v>
      </c>
      <c r="R1721" s="2"/>
      <c r="S1721" s="7">
        <f>Table2[[#This Row],[N]]+Table2[[#This Row],[Pile 
Deviation 
N (m)]]</f>
        <v>1511695.8219999999</v>
      </c>
      <c r="T1721" s="7">
        <f>Table2[[#This Row],[E]]+Table2[[#This Row],[Pile 
Deviation 
E (m)]]</f>
        <v>694091.19099999999</v>
      </c>
      <c r="W1721" s="7">
        <v>0.24</v>
      </c>
      <c r="X1721" s="2" t="s">
        <v>51</v>
      </c>
    </row>
    <row r="1722" spans="1:27" hidden="1" x14ac:dyDescent="0.65">
      <c r="A1722">
        <v>1716</v>
      </c>
      <c r="B1722" t="s">
        <v>29</v>
      </c>
      <c r="C1722" s="6">
        <v>1511695.811</v>
      </c>
      <c r="D1722" s="6">
        <v>694072.34299999999</v>
      </c>
      <c r="E1722" s="2" t="s">
        <v>35</v>
      </c>
      <c r="F1722" s="1">
        <v>24</v>
      </c>
      <c r="G1722" s="2" t="s">
        <v>50</v>
      </c>
      <c r="J1722"/>
      <c r="K1722" s="19"/>
      <c r="L1722" s="21"/>
      <c r="M1722" s="27"/>
      <c r="N1722" s="19"/>
      <c r="O1722" s="21"/>
      <c r="Q1722" s="7">
        <f>Table2[[#This Row],[Elevation
PILE TOP]]-Table2[[#This Row],[LENGTH(m.)
(Actual)]]</f>
        <v>0</v>
      </c>
      <c r="R1722" s="2"/>
      <c r="S1722" s="7">
        <f>Table2[[#This Row],[N]]+Table2[[#This Row],[Pile 
Deviation 
N (m)]]</f>
        <v>1511695.811</v>
      </c>
      <c r="T1722" s="7">
        <f>Table2[[#This Row],[E]]+Table2[[#This Row],[Pile 
Deviation 
E (m)]]</f>
        <v>694072.34299999999</v>
      </c>
      <c r="W1722" s="7">
        <v>0.24</v>
      </c>
      <c r="X1722" s="2" t="s">
        <v>51</v>
      </c>
    </row>
    <row r="1723" spans="1:27" ht="13.95" hidden="1" customHeight="1" x14ac:dyDescent="0.65">
      <c r="A1723">
        <v>1717</v>
      </c>
      <c r="B1723" t="s">
        <v>29</v>
      </c>
      <c r="C1723" s="6">
        <v>1511695.801</v>
      </c>
      <c r="D1723" s="6">
        <v>694053.495</v>
      </c>
      <c r="E1723" s="2" t="s">
        <v>35</v>
      </c>
      <c r="F1723" s="1">
        <v>24</v>
      </c>
      <c r="G1723" s="2" t="s">
        <v>50</v>
      </c>
      <c r="J1723"/>
      <c r="K1723" s="19"/>
      <c r="L1723" s="21"/>
      <c r="M1723" s="27"/>
      <c r="N1723" s="19"/>
      <c r="O1723" s="21"/>
      <c r="Q1723" s="7">
        <f>Table2[[#This Row],[Elevation
PILE TOP]]-Table2[[#This Row],[LENGTH(m.)
(Actual)]]</f>
        <v>0</v>
      </c>
      <c r="R1723" s="2"/>
      <c r="S1723" s="7">
        <f>Table2[[#This Row],[N]]+Table2[[#This Row],[Pile 
Deviation 
N (m)]]</f>
        <v>1511695.801</v>
      </c>
      <c r="T1723" s="7">
        <f>Table2[[#This Row],[E]]+Table2[[#This Row],[Pile 
Deviation 
E (m)]]</f>
        <v>694053.495</v>
      </c>
      <c r="W1723" s="7">
        <v>0.24</v>
      </c>
      <c r="X1723" s="2" t="s">
        <v>51</v>
      </c>
    </row>
    <row r="1724" spans="1:27" hidden="1" x14ac:dyDescent="0.65">
      <c r="A1724">
        <v>1718</v>
      </c>
      <c r="B1724" t="s">
        <v>29</v>
      </c>
      <c r="C1724" s="6">
        <v>1511695.5560000001</v>
      </c>
      <c r="D1724" s="6">
        <v>694012.19299999997</v>
      </c>
      <c r="E1724" s="2" t="s">
        <v>35</v>
      </c>
      <c r="F1724" s="1">
        <v>24</v>
      </c>
      <c r="G1724" s="2" t="s">
        <v>50</v>
      </c>
      <c r="J1724"/>
      <c r="K1724" s="19"/>
      <c r="L1724" s="21"/>
      <c r="M1724" s="27"/>
      <c r="N1724" s="19"/>
      <c r="O1724" s="21"/>
      <c r="Q1724" s="7">
        <f>Table2[[#This Row],[Elevation
PILE TOP]]-Table2[[#This Row],[LENGTH(m.)
(Actual)]]</f>
        <v>0</v>
      </c>
      <c r="R1724" s="2"/>
      <c r="S1724" s="7">
        <f>Table2[[#This Row],[N]]+Table2[[#This Row],[Pile 
Deviation 
N (m)]]</f>
        <v>1511695.5560000001</v>
      </c>
      <c r="T1724" s="7">
        <f>Table2[[#This Row],[E]]+Table2[[#This Row],[Pile 
Deviation 
E (m)]]</f>
        <v>694012.19299999997</v>
      </c>
      <c r="W1724" s="7">
        <v>0.24</v>
      </c>
      <c r="X1724" s="2" t="s">
        <v>51</v>
      </c>
    </row>
    <row r="1725" spans="1:27" ht="13.95" hidden="1" customHeight="1" x14ac:dyDescent="0.65">
      <c r="A1725">
        <v>1719</v>
      </c>
      <c r="B1725" t="s">
        <v>29</v>
      </c>
      <c r="C1725" s="6">
        <v>1511695.4350000001</v>
      </c>
      <c r="D1725" s="6">
        <v>693849.95299999998</v>
      </c>
      <c r="E1725" s="2" t="s">
        <v>35</v>
      </c>
      <c r="F1725" s="1">
        <v>24</v>
      </c>
      <c r="G1725" s="2" t="s">
        <v>50</v>
      </c>
      <c r="J1725"/>
      <c r="K1725" s="19"/>
      <c r="L1725" s="21"/>
      <c r="M1725" s="27"/>
      <c r="N1725" s="19"/>
      <c r="O1725" s="21"/>
      <c r="Q1725" s="7">
        <f>Table2[[#This Row],[Elevation
PILE TOP]]-Table2[[#This Row],[LENGTH(m.)
(Actual)]]</f>
        <v>0</v>
      </c>
      <c r="R1725" s="2"/>
      <c r="S1725" s="7">
        <f>Table2[[#This Row],[N]]+Table2[[#This Row],[Pile 
Deviation 
N (m)]]</f>
        <v>1511695.4350000001</v>
      </c>
      <c r="T1725" s="7">
        <f>Table2[[#This Row],[E]]+Table2[[#This Row],[Pile 
Deviation 
E (m)]]</f>
        <v>693849.95299999998</v>
      </c>
      <c r="W1725" s="7">
        <v>0.24</v>
      </c>
      <c r="X1725" s="2" t="s">
        <v>51</v>
      </c>
      <c r="AA1725" s="9">
        <v>46211</v>
      </c>
    </row>
    <row r="1726" spans="1:27" hidden="1" x14ac:dyDescent="0.65">
      <c r="A1726">
        <v>1720</v>
      </c>
      <c r="B1726" t="s">
        <v>29</v>
      </c>
      <c r="C1726" s="6">
        <v>1511695.4010000001</v>
      </c>
      <c r="D1726" s="6">
        <v>694007.03899999999</v>
      </c>
      <c r="E1726" s="2" t="s">
        <v>35</v>
      </c>
      <c r="F1726" s="1">
        <v>24</v>
      </c>
      <c r="G1726" s="2" t="s">
        <v>50</v>
      </c>
      <c r="J1726"/>
      <c r="K1726" s="19"/>
      <c r="L1726" s="21"/>
      <c r="M1726" s="27"/>
      <c r="N1726" s="19"/>
      <c r="O1726" s="21"/>
      <c r="Q1726" s="7">
        <f>Table2[[#This Row],[Elevation
PILE TOP]]-Table2[[#This Row],[LENGTH(m.)
(Actual)]]</f>
        <v>0</v>
      </c>
      <c r="R1726" s="2"/>
      <c r="S1726" s="7">
        <f>Table2[[#This Row],[N]]+Table2[[#This Row],[Pile 
Deviation 
N (m)]]</f>
        <v>1511695.4010000001</v>
      </c>
      <c r="T1726" s="7">
        <f>Table2[[#This Row],[E]]+Table2[[#This Row],[Pile 
Deviation 
E (m)]]</f>
        <v>694007.03899999999</v>
      </c>
      <c r="W1726" s="7">
        <v>0.24</v>
      </c>
      <c r="X1726" s="2" t="s">
        <v>51</v>
      </c>
    </row>
    <row r="1727" spans="1:27" ht="13.95" hidden="1" customHeight="1" x14ac:dyDescent="0.65">
      <c r="A1727">
        <v>1721</v>
      </c>
      <c r="B1727" t="s">
        <v>29</v>
      </c>
      <c r="C1727" s="6">
        <v>1511695.3959999999</v>
      </c>
      <c r="D1727" s="6">
        <v>694038.29299999995</v>
      </c>
      <c r="E1727" s="2" t="s">
        <v>35</v>
      </c>
      <c r="F1727" s="1">
        <v>24</v>
      </c>
      <c r="G1727" s="2" t="s">
        <v>50</v>
      </c>
      <c r="J1727"/>
      <c r="K1727" s="19"/>
      <c r="L1727" s="21"/>
      <c r="M1727" s="27"/>
      <c r="N1727" s="19"/>
      <c r="O1727" s="21"/>
      <c r="Q1727" s="7">
        <f>Table2[[#This Row],[Elevation
PILE TOP]]-Table2[[#This Row],[LENGTH(m.)
(Actual)]]</f>
        <v>0</v>
      </c>
      <c r="R1727" s="2"/>
      <c r="S1727" s="7">
        <f>Table2[[#This Row],[N]]+Table2[[#This Row],[Pile 
Deviation 
N (m)]]</f>
        <v>1511695.3959999999</v>
      </c>
      <c r="T1727" s="7">
        <f>Table2[[#This Row],[E]]+Table2[[#This Row],[Pile 
Deviation 
E (m)]]</f>
        <v>694038.29299999995</v>
      </c>
      <c r="W1727" s="7">
        <v>0.24</v>
      </c>
      <c r="X1727" s="2" t="s">
        <v>51</v>
      </c>
    </row>
    <row r="1728" spans="1:27" hidden="1" x14ac:dyDescent="0.65">
      <c r="A1728">
        <v>1722</v>
      </c>
      <c r="B1728" t="s">
        <v>29</v>
      </c>
      <c r="C1728" s="6">
        <v>1511695.368</v>
      </c>
      <c r="D1728" s="6">
        <v>693989.19200000004</v>
      </c>
      <c r="E1728" s="2" t="s">
        <v>35</v>
      </c>
      <c r="F1728" s="1">
        <v>24</v>
      </c>
      <c r="G1728" s="2" t="s">
        <v>50</v>
      </c>
      <c r="J1728"/>
      <c r="K1728" s="19"/>
      <c r="L1728" s="21"/>
      <c r="M1728" s="27"/>
      <c r="N1728" s="19"/>
      <c r="O1728" s="21"/>
      <c r="Q1728" s="7">
        <f>Table2[[#This Row],[Elevation
PILE TOP]]-Table2[[#This Row],[LENGTH(m.)
(Actual)]]</f>
        <v>0</v>
      </c>
      <c r="R1728" s="2"/>
      <c r="S1728" s="7">
        <f>Table2[[#This Row],[N]]+Table2[[#This Row],[Pile 
Deviation 
N (m)]]</f>
        <v>1511695.368</v>
      </c>
      <c r="T1728" s="7">
        <f>Table2[[#This Row],[E]]+Table2[[#This Row],[Pile 
Deviation 
E (m)]]</f>
        <v>693989.19200000004</v>
      </c>
      <c r="W1728" s="7">
        <v>0.24</v>
      </c>
      <c r="X1728" s="2" t="s">
        <v>51</v>
      </c>
    </row>
    <row r="1729" spans="1:27" ht="13.95" hidden="1" customHeight="1" x14ac:dyDescent="0.65">
      <c r="A1729">
        <v>1723</v>
      </c>
      <c r="B1729" t="s">
        <v>29</v>
      </c>
      <c r="C1729" s="6">
        <v>1511695.335</v>
      </c>
      <c r="D1729" s="6">
        <v>693971.34499999997</v>
      </c>
      <c r="E1729" s="2" t="s">
        <v>35</v>
      </c>
      <c r="F1729" s="1">
        <v>24</v>
      </c>
      <c r="G1729" s="2" t="s">
        <v>50</v>
      </c>
      <c r="J1729"/>
      <c r="K1729" s="19"/>
      <c r="L1729" s="21"/>
      <c r="M1729" s="27"/>
      <c r="N1729" s="19"/>
      <c r="O1729" s="21"/>
      <c r="Q1729" s="7">
        <f>Table2[[#This Row],[Elevation
PILE TOP]]-Table2[[#This Row],[LENGTH(m.)
(Actual)]]</f>
        <v>0</v>
      </c>
      <c r="R1729" s="2"/>
      <c r="S1729" s="7">
        <f>Table2[[#This Row],[N]]+Table2[[#This Row],[Pile 
Deviation 
N (m)]]</f>
        <v>1511695.335</v>
      </c>
      <c r="T1729" s="7">
        <f>Table2[[#This Row],[E]]+Table2[[#This Row],[Pile 
Deviation 
E (m)]]</f>
        <v>693971.34499999997</v>
      </c>
      <c r="W1729" s="7">
        <v>0.24</v>
      </c>
      <c r="X1729" s="2" t="s">
        <v>51</v>
      </c>
    </row>
    <row r="1730" spans="1:27" hidden="1" x14ac:dyDescent="0.65">
      <c r="A1730">
        <v>1724</v>
      </c>
      <c r="B1730" t="s">
        <v>29</v>
      </c>
      <c r="C1730" s="6">
        <v>1511695.18</v>
      </c>
      <c r="D1730" s="6">
        <v>693904.005</v>
      </c>
      <c r="E1730" s="2" t="s">
        <v>35</v>
      </c>
      <c r="F1730" s="1">
        <v>24</v>
      </c>
      <c r="G1730" s="2" t="s">
        <v>50</v>
      </c>
      <c r="J1730"/>
      <c r="K1730" s="19"/>
      <c r="L1730" s="21"/>
      <c r="M1730" s="27"/>
      <c r="N1730" s="19"/>
      <c r="O1730" s="21"/>
      <c r="Q1730" s="7">
        <f>Table2[[#This Row],[Elevation
PILE TOP]]-Table2[[#This Row],[LENGTH(m.)
(Actual)]]</f>
        <v>0</v>
      </c>
      <c r="R1730" s="2"/>
      <c r="S1730" s="7">
        <f>Table2[[#This Row],[N]]+Table2[[#This Row],[Pile 
Deviation 
N (m)]]</f>
        <v>1511695.18</v>
      </c>
      <c r="T1730" s="7">
        <f>Table2[[#This Row],[E]]+Table2[[#This Row],[Pile 
Deviation 
E (m)]]</f>
        <v>693904.005</v>
      </c>
      <c r="W1730" s="7">
        <v>0.24</v>
      </c>
      <c r="X1730" s="2" t="s">
        <v>51</v>
      </c>
    </row>
    <row r="1731" spans="1:27" ht="13.95" hidden="1" customHeight="1" x14ac:dyDescent="0.65">
      <c r="A1731">
        <v>1725</v>
      </c>
      <c r="B1731" t="s">
        <v>29</v>
      </c>
      <c r="C1731" s="6">
        <v>1511695.179</v>
      </c>
      <c r="D1731" s="6">
        <v>693968.272</v>
      </c>
      <c r="E1731" s="2" t="s">
        <v>35</v>
      </c>
      <c r="F1731" s="1">
        <v>24</v>
      </c>
      <c r="G1731" s="2" t="s">
        <v>50</v>
      </c>
      <c r="J1731"/>
      <c r="K1731" s="19"/>
      <c r="L1731" s="21"/>
      <c r="M1731" s="27"/>
      <c r="N1731" s="19"/>
      <c r="O1731" s="21"/>
      <c r="Q1731" s="7">
        <f>Table2[[#This Row],[Elevation
PILE TOP]]-Table2[[#This Row],[LENGTH(m.)
(Actual)]]</f>
        <v>0</v>
      </c>
      <c r="R1731" s="2"/>
      <c r="S1731" s="7">
        <f>Table2[[#This Row],[N]]+Table2[[#This Row],[Pile 
Deviation 
N (m)]]</f>
        <v>1511695.179</v>
      </c>
      <c r="T1731" s="7">
        <f>Table2[[#This Row],[E]]+Table2[[#This Row],[Pile 
Deviation 
E (m)]]</f>
        <v>693968.272</v>
      </c>
      <c r="W1731" s="7">
        <v>0.24</v>
      </c>
      <c r="X1731" s="2" t="s">
        <v>51</v>
      </c>
    </row>
    <row r="1732" spans="1:27" hidden="1" x14ac:dyDescent="0.65">
      <c r="A1732">
        <v>1726</v>
      </c>
      <c r="B1732" t="s">
        <v>29</v>
      </c>
      <c r="C1732" s="6">
        <v>1511695.1780000001</v>
      </c>
      <c r="D1732" s="6">
        <v>694102.24100000004</v>
      </c>
      <c r="E1732" s="2" t="s">
        <v>35</v>
      </c>
      <c r="F1732" s="1">
        <v>24</v>
      </c>
      <c r="G1732" s="2" t="s">
        <v>50</v>
      </c>
      <c r="J1732"/>
      <c r="K1732" s="19"/>
      <c r="L1732" s="21"/>
      <c r="M1732" s="27"/>
      <c r="N1732" s="19"/>
      <c r="O1732" s="21"/>
      <c r="Q1732" s="7">
        <f>Table2[[#This Row],[Elevation
PILE TOP]]-Table2[[#This Row],[LENGTH(m.)
(Actual)]]</f>
        <v>0</v>
      </c>
      <c r="R1732" s="2"/>
      <c r="S1732" s="7">
        <f>Table2[[#This Row],[N]]+Table2[[#This Row],[Pile 
Deviation 
N (m)]]</f>
        <v>1511695.1780000001</v>
      </c>
      <c r="T1732" s="7">
        <f>Table2[[#This Row],[E]]+Table2[[#This Row],[Pile 
Deviation 
E (m)]]</f>
        <v>694102.24100000004</v>
      </c>
      <c r="W1732" s="7">
        <v>0.24</v>
      </c>
      <c r="X1732" s="2" t="s">
        <v>51</v>
      </c>
    </row>
    <row r="1733" spans="1:27" ht="13.95" hidden="1" customHeight="1" x14ac:dyDescent="0.65">
      <c r="A1733">
        <v>1727</v>
      </c>
      <c r="B1733" t="s">
        <v>29</v>
      </c>
      <c r="C1733" s="6">
        <v>1511695.1669999999</v>
      </c>
      <c r="D1733" s="6">
        <v>694083.39300000004</v>
      </c>
      <c r="E1733" s="2" t="s">
        <v>35</v>
      </c>
      <c r="F1733" s="1">
        <v>24</v>
      </c>
      <c r="G1733" s="2" t="s">
        <v>50</v>
      </c>
      <c r="J1733"/>
      <c r="K1733" s="19"/>
      <c r="L1733" s="21"/>
      <c r="M1733" s="27"/>
      <c r="N1733" s="19"/>
      <c r="O1733" s="21"/>
      <c r="Q1733" s="7">
        <f>Table2[[#This Row],[Elevation
PILE TOP]]-Table2[[#This Row],[LENGTH(m.)
(Actual)]]</f>
        <v>0</v>
      </c>
      <c r="R1733" s="2"/>
      <c r="S1733" s="7">
        <f>Table2[[#This Row],[N]]+Table2[[#This Row],[Pile 
Deviation 
N (m)]]</f>
        <v>1511695.1669999999</v>
      </c>
      <c r="T1733" s="7">
        <f>Table2[[#This Row],[E]]+Table2[[#This Row],[Pile 
Deviation 
E (m)]]</f>
        <v>694083.39300000004</v>
      </c>
      <c r="W1733" s="7">
        <v>0.24</v>
      </c>
      <c r="X1733" s="2" t="s">
        <v>51</v>
      </c>
    </row>
    <row r="1734" spans="1:27" hidden="1" x14ac:dyDescent="0.65">
      <c r="A1734">
        <v>1728</v>
      </c>
      <c r="B1734" t="s">
        <v>29</v>
      </c>
      <c r="C1734" s="6">
        <v>1511695.1569999999</v>
      </c>
      <c r="D1734" s="6">
        <v>694064.54399999999</v>
      </c>
      <c r="E1734" s="2" t="s">
        <v>35</v>
      </c>
      <c r="F1734" s="1">
        <v>24</v>
      </c>
      <c r="G1734" s="2" t="s">
        <v>50</v>
      </c>
      <c r="J1734"/>
      <c r="K1734" s="19"/>
      <c r="L1734" s="21"/>
      <c r="M1734" s="27"/>
      <c r="N1734" s="19"/>
      <c r="O1734" s="21"/>
      <c r="Q1734" s="7">
        <f>Table2[[#This Row],[Elevation
PILE TOP]]-Table2[[#This Row],[LENGTH(m.)
(Actual)]]</f>
        <v>0</v>
      </c>
      <c r="R1734" s="2"/>
      <c r="S1734" s="7">
        <f>Table2[[#This Row],[N]]+Table2[[#This Row],[Pile 
Deviation 
N (m)]]</f>
        <v>1511695.1569999999</v>
      </c>
      <c r="T1734" s="7">
        <f>Table2[[#This Row],[E]]+Table2[[#This Row],[Pile 
Deviation 
E (m)]]</f>
        <v>694064.54399999999</v>
      </c>
      <c r="W1734" s="7">
        <v>0.24</v>
      </c>
      <c r="X1734" s="2" t="s">
        <v>51</v>
      </c>
    </row>
    <row r="1735" spans="1:27" ht="13.95" hidden="1" customHeight="1" x14ac:dyDescent="0.65">
      <c r="A1735">
        <v>1729</v>
      </c>
      <c r="B1735" t="s">
        <v>29</v>
      </c>
      <c r="C1735" s="6">
        <v>1511695.1529999999</v>
      </c>
      <c r="D1735" s="6">
        <v>694023.25399999996</v>
      </c>
      <c r="E1735" s="2" t="s">
        <v>35</v>
      </c>
      <c r="F1735" s="1">
        <v>24</v>
      </c>
      <c r="G1735" s="2" t="s">
        <v>50</v>
      </c>
      <c r="J1735"/>
      <c r="K1735" s="19"/>
      <c r="L1735" s="21"/>
      <c r="M1735" s="27"/>
      <c r="N1735" s="19"/>
      <c r="O1735" s="21"/>
      <c r="Q1735" s="7">
        <f>Table2[[#This Row],[Elevation
PILE TOP]]-Table2[[#This Row],[LENGTH(m.)
(Actual)]]</f>
        <v>0</v>
      </c>
      <c r="R1735" s="2"/>
      <c r="S1735" s="7">
        <f>Table2[[#This Row],[N]]+Table2[[#This Row],[Pile 
Deviation 
N (m)]]</f>
        <v>1511695.1529999999</v>
      </c>
      <c r="T1735" s="7">
        <f>Table2[[#This Row],[E]]+Table2[[#This Row],[Pile 
Deviation 
E (m)]]</f>
        <v>694023.25399999996</v>
      </c>
      <c r="W1735" s="7">
        <v>0.24</v>
      </c>
      <c r="X1735" s="2" t="s">
        <v>51</v>
      </c>
    </row>
    <row r="1736" spans="1:27" hidden="1" x14ac:dyDescent="0.65">
      <c r="A1736">
        <v>1730</v>
      </c>
      <c r="B1736" t="s">
        <v>29</v>
      </c>
      <c r="C1736" s="6">
        <v>1511695.1470000001</v>
      </c>
      <c r="D1736" s="6">
        <v>694045.696</v>
      </c>
      <c r="E1736" s="2" t="s">
        <v>35</v>
      </c>
      <c r="F1736" s="1">
        <v>24</v>
      </c>
      <c r="G1736" s="2" t="s">
        <v>50</v>
      </c>
      <c r="J1736"/>
      <c r="K1736" s="19"/>
      <c r="L1736" s="21"/>
      <c r="M1736" s="27"/>
      <c r="N1736" s="19"/>
      <c r="O1736" s="21"/>
      <c r="Q1736" s="7">
        <f>Table2[[#This Row],[Elevation
PILE TOP]]-Table2[[#This Row],[LENGTH(m.)
(Actual)]]</f>
        <v>0</v>
      </c>
      <c r="R1736" s="2"/>
      <c r="S1736" s="7">
        <f>Table2[[#This Row],[N]]+Table2[[#This Row],[Pile 
Deviation 
N (m)]]</f>
        <v>1511695.1470000001</v>
      </c>
      <c r="T1736" s="7">
        <f>Table2[[#This Row],[E]]+Table2[[#This Row],[Pile 
Deviation 
E (m)]]</f>
        <v>694045.696</v>
      </c>
      <c r="W1736" s="7">
        <v>0.24</v>
      </c>
      <c r="X1736" s="2" t="s">
        <v>51</v>
      </c>
    </row>
    <row r="1737" spans="1:27" ht="13.95" customHeight="1" x14ac:dyDescent="0.65">
      <c r="A1737">
        <v>1731</v>
      </c>
      <c r="B1737" t="s">
        <v>29</v>
      </c>
      <c r="C1737" s="6">
        <v>1511695.1170000001</v>
      </c>
      <c r="D1737" s="6">
        <v>693963.446</v>
      </c>
      <c r="E1737" s="2" t="s">
        <v>35</v>
      </c>
      <c r="F1737" s="1">
        <v>24</v>
      </c>
      <c r="G1737" s="2" t="s">
        <v>50</v>
      </c>
      <c r="J1737"/>
      <c r="K1737" s="19"/>
      <c r="L1737" s="21"/>
      <c r="M1737" s="27"/>
      <c r="N1737" s="19"/>
      <c r="O1737" s="21"/>
      <c r="Q1737" s="7">
        <f>Table2[[#This Row],[Elevation
PILE TOP]]-Table2[[#This Row],[LENGTH(m.)
(Actual)]]</f>
        <v>0</v>
      </c>
      <c r="R1737" s="2"/>
      <c r="S1737" s="7">
        <f>Table2[[#This Row],[N]]+Table2[[#This Row],[Pile 
Deviation 
N (m)]]</f>
        <v>1511695.1170000001</v>
      </c>
      <c r="T1737" s="7">
        <f>Table2[[#This Row],[E]]+Table2[[#This Row],[Pile 
Deviation 
E (m)]]</f>
        <v>693963.446</v>
      </c>
      <c r="W1737" s="7">
        <v>0.24</v>
      </c>
      <c r="X1737" s="2" t="s">
        <v>51</v>
      </c>
      <c r="AA1737" s="9">
        <v>46200</v>
      </c>
    </row>
    <row r="1738" spans="1:27" hidden="1" x14ac:dyDescent="0.65">
      <c r="A1738">
        <v>1732</v>
      </c>
      <c r="B1738" t="s">
        <v>29</v>
      </c>
      <c r="C1738" s="6">
        <v>1511694.75</v>
      </c>
      <c r="D1738" s="6">
        <v>694034.31400000001</v>
      </c>
      <c r="E1738" s="2" t="s">
        <v>35</v>
      </c>
      <c r="F1738" s="1">
        <v>24</v>
      </c>
      <c r="G1738" s="2" t="s">
        <v>50</v>
      </c>
      <c r="J1738"/>
      <c r="K1738" s="19"/>
      <c r="L1738" s="21"/>
      <c r="M1738" s="27"/>
      <c r="N1738" s="19"/>
      <c r="O1738" s="21"/>
      <c r="Q1738" s="7">
        <f>Table2[[#This Row],[Elevation
PILE TOP]]-Table2[[#This Row],[LENGTH(m.)
(Actual)]]</f>
        <v>0</v>
      </c>
      <c r="R1738" s="2"/>
      <c r="S1738" s="7">
        <f>Table2[[#This Row],[N]]+Table2[[#This Row],[Pile 
Deviation 
N (m)]]</f>
        <v>1511694.75</v>
      </c>
      <c r="T1738" s="7">
        <f>Table2[[#This Row],[E]]+Table2[[#This Row],[Pile 
Deviation 
E (m)]]</f>
        <v>694034.31400000001</v>
      </c>
      <c r="W1738" s="7">
        <v>0.24</v>
      </c>
      <c r="X1738" s="2" t="s">
        <v>51</v>
      </c>
    </row>
    <row r="1739" spans="1:27" ht="13.95" hidden="1" customHeight="1" x14ac:dyDescent="0.65">
      <c r="A1739">
        <v>1733</v>
      </c>
      <c r="B1739" t="s">
        <v>29</v>
      </c>
      <c r="C1739" s="6">
        <v>1511694.709</v>
      </c>
      <c r="D1739" s="6">
        <v>694003.60800000001</v>
      </c>
      <c r="E1739" s="2" t="s">
        <v>35</v>
      </c>
      <c r="F1739" s="1">
        <v>24</v>
      </c>
      <c r="G1739" s="2" t="s">
        <v>50</v>
      </c>
      <c r="J1739"/>
      <c r="K1739" s="19"/>
      <c r="L1739" s="21"/>
      <c r="M1739" s="27"/>
      <c r="N1739" s="19"/>
      <c r="O1739" s="21"/>
      <c r="Q1739" s="7">
        <f>Table2[[#This Row],[Elevation
PILE TOP]]-Table2[[#This Row],[LENGTH(m.)
(Actual)]]</f>
        <v>0</v>
      </c>
      <c r="R1739" s="2"/>
      <c r="S1739" s="7">
        <f>Table2[[#This Row],[N]]+Table2[[#This Row],[Pile 
Deviation 
N (m)]]</f>
        <v>1511694.709</v>
      </c>
      <c r="T1739" s="7">
        <f>Table2[[#This Row],[E]]+Table2[[#This Row],[Pile 
Deviation 
E (m)]]</f>
        <v>694003.60800000001</v>
      </c>
      <c r="W1739" s="7">
        <v>0.24</v>
      </c>
      <c r="X1739" s="2" t="s">
        <v>51</v>
      </c>
    </row>
    <row r="1740" spans="1:27" hidden="1" x14ac:dyDescent="0.65">
      <c r="A1740">
        <v>1734</v>
      </c>
      <c r="B1740" t="s">
        <v>29</v>
      </c>
      <c r="C1740" s="6">
        <v>1511694.675</v>
      </c>
      <c r="D1740" s="6">
        <v>693985.76100000006</v>
      </c>
      <c r="E1740" s="2" t="s">
        <v>35</v>
      </c>
      <c r="F1740" s="1">
        <v>24</v>
      </c>
      <c r="G1740" s="2" t="s">
        <v>50</v>
      </c>
      <c r="J1740"/>
      <c r="K1740" s="19"/>
      <c r="L1740" s="21"/>
      <c r="M1740" s="27"/>
      <c r="N1740" s="19"/>
      <c r="O1740" s="21"/>
      <c r="Q1740" s="7">
        <f>Table2[[#This Row],[Elevation
PILE TOP]]-Table2[[#This Row],[LENGTH(m.)
(Actual)]]</f>
        <v>0</v>
      </c>
      <c r="R1740" s="2"/>
      <c r="S1740" s="7">
        <f>Table2[[#This Row],[N]]+Table2[[#This Row],[Pile 
Deviation 
N (m)]]</f>
        <v>1511694.675</v>
      </c>
      <c r="T1740" s="7">
        <f>Table2[[#This Row],[E]]+Table2[[#This Row],[Pile 
Deviation 
E (m)]]</f>
        <v>693985.76100000006</v>
      </c>
      <c r="W1740" s="7">
        <v>0.24</v>
      </c>
      <c r="X1740" s="2" t="s">
        <v>51</v>
      </c>
    </row>
    <row r="1741" spans="1:27" ht="13.95" hidden="1" customHeight="1" x14ac:dyDescent="0.65">
      <c r="A1741">
        <v>1735</v>
      </c>
      <c r="B1741" t="s">
        <v>29</v>
      </c>
      <c r="C1741" s="6">
        <v>1511694.534</v>
      </c>
      <c r="D1741" s="6">
        <v>694113.29</v>
      </c>
      <c r="E1741" s="2" t="s">
        <v>35</v>
      </c>
      <c r="F1741" s="1">
        <v>24</v>
      </c>
      <c r="G1741" s="2" t="s">
        <v>50</v>
      </c>
      <c r="J1741"/>
      <c r="K1741" s="19"/>
      <c r="L1741" s="21"/>
      <c r="M1741" s="27"/>
      <c r="N1741" s="19"/>
      <c r="O1741" s="21"/>
      <c r="Q1741" s="7">
        <f>Table2[[#This Row],[Elevation
PILE TOP]]-Table2[[#This Row],[LENGTH(m.)
(Actual)]]</f>
        <v>0</v>
      </c>
      <c r="R1741" s="2"/>
      <c r="S1741" s="7">
        <f>Table2[[#This Row],[N]]+Table2[[#This Row],[Pile 
Deviation 
N (m)]]</f>
        <v>1511694.534</v>
      </c>
      <c r="T1741" s="7">
        <f>Table2[[#This Row],[E]]+Table2[[#This Row],[Pile 
Deviation 
E (m)]]</f>
        <v>694113.29</v>
      </c>
      <c r="W1741" s="7">
        <v>0.24</v>
      </c>
      <c r="X1741" s="2" t="s">
        <v>51</v>
      </c>
    </row>
    <row r="1742" spans="1:27" hidden="1" x14ac:dyDescent="0.65">
      <c r="A1742">
        <v>1736</v>
      </c>
      <c r="B1742" t="s">
        <v>29</v>
      </c>
      <c r="C1742" s="6">
        <v>1511694.524</v>
      </c>
      <c r="D1742" s="6">
        <v>694094.44200000004</v>
      </c>
      <c r="E1742" s="2" t="s">
        <v>35</v>
      </c>
      <c r="F1742" s="1">
        <v>24</v>
      </c>
      <c r="G1742" s="2" t="s">
        <v>50</v>
      </c>
      <c r="J1742"/>
      <c r="K1742" s="19"/>
      <c r="L1742" s="21"/>
      <c r="M1742" s="27"/>
      <c r="N1742" s="19"/>
      <c r="O1742" s="21"/>
      <c r="Q1742" s="7">
        <f>Table2[[#This Row],[Elevation
PILE TOP]]-Table2[[#This Row],[LENGTH(m.)
(Actual)]]</f>
        <v>0</v>
      </c>
      <c r="R1742" s="2"/>
      <c r="S1742" s="7">
        <f>Table2[[#This Row],[N]]+Table2[[#This Row],[Pile 
Deviation 
N (m)]]</f>
        <v>1511694.524</v>
      </c>
      <c r="T1742" s="7">
        <f>Table2[[#This Row],[E]]+Table2[[#This Row],[Pile 
Deviation 
E (m)]]</f>
        <v>694094.44200000004</v>
      </c>
      <c r="W1742" s="7">
        <v>0.24</v>
      </c>
      <c r="X1742" s="2" t="s">
        <v>51</v>
      </c>
    </row>
    <row r="1743" spans="1:27" ht="13.95" hidden="1" customHeight="1" x14ac:dyDescent="0.65">
      <c r="A1743">
        <v>1737</v>
      </c>
      <c r="B1743" t="s">
        <v>29</v>
      </c>
      <c r="C1743" s="6">
        <v>1511694.513</v>
      </c>
      <c r="D1743" s="6">
        <v>694075.59400000004</v>
      </c>
      <c r="E1743" s="2" t="s">
        <v>35</v>
      </c>
      <c r="F1743" s="1">
        <v>24</v>
      </c>
      <c r="G1743" s="2" t="s">
        <v>50</v>
      </c>
      <c r="J1743"/>
      <c r="K1743" s="19"/>
      <c r="L1743" s="21"/>
      <c r="M1743" s="27"/>
      <c r="N1743" s="19"/>
      <c r="O1743" s="21"/>
      <c r="Q1743" s="7">
        <f>Table2[[#This Row],[Elevation
PILE TOP]]-Table2[[#This Row],[LENGTH(m.)
(Actual)]]</f>
        <v>0</v>
      </c>
      <c r="R1743" s="2"/>
      <c r="S1743" s="7">
        <f>Table2[[#This Row],[N]]+Table2[[#This Row],[Pile 
Deviation 
N (m)]]</f>
        <v>1511694.513</v>
      </c>
      <c r="T1743" s="7">
        <f>Table2[[#This Row],[E]]+Table2[[#This Row],[Pile 
Deviation 
E (m)]]</f>
        <v>694075.59400000004</v>
      </c>
      <c r="W1743" s="7">
        <v>0.24</v>
      </c>
      <c r="X1743" s="2" t="s">
        <v>51</v>
      </c>
    </row>
    <row r="1744" spans="1:27" hidden="1" x14ac:dyDescent="0.65">
      <c r="A1744">
        <v>1738</v>
      </c>
      <c r="B1744" t="s">
        <v>29</v>
      </c>
      <c r="C1744" s="6">
        <v>1511694.503</v>
      </c>
      <c r="D1744" s="6">
        <v>694056.74600000004</v>
      </c>
      <c r="E1744" s="2" t="s">
        <v>35</v>
      </c>
      <c r="F1744" s="1">
        <v>24</v>
      </c>
      <c r="G1744" s="2" t="s">
        <v>50</v>
      </c>
      <c r="J1744"/>
      <c r="K1744" s="19"/>
      <c r="L1744" s="21"/>
      <c r="M1744" s="27"/>
      <c r="N1744" s="19"/>
      <c r="O1744" s="21"/>
      <c r="Q1744" s="7">
        <f>Table2[[#This Row],[Elevation
PILE TOP]]-Table2[[#This Row],[LENGTH(m.)
(Actual)]]</f>
        <v>0</v>
      </c>
      <c r="R1744" s="2"/>
      <c r="S1744" s="7">
        <f>Table2[[#This Row],[N]]+Table2[[#This Row],[Pile 
Deviation 
N (m)]]</f>
        <v>1511694.503</v>
      </c>
      <c r="T1744" s="7">
        <f>Table2[[#This Row],[E]]+Table2[[#This Row],[Pile 
Deviation 
E (m)]]</f>
        <v>694056.74600000004</v>
      </c>
      <c r="W1744" s="7">
        <v>0.24</v>
      </c>
      <c r="X1744" s="2" t="s">
        <v>51</v>
      </c>
    </row>
    <row r="1745" spans="1:27" ht="13.95" hidden="1" customHeight="1" x14ac:dyDescent="0.65">
      <c r="A1745">
        <v>1739</v>
      </c>
      <c r="B1745" t="s">
        <v>29</v>
      </c>
      <c r="C1745" s="6">
        <v>1511694.3289999999</v>
      </c>
      <c r="D1745" s="6">
        <v>694015.47100000002</v>
      </c>
      <c r="E1745" s="2" t="s">
        <v>35</v>
      </c>
      <c r="F1745" s="1">
        <v>24</v>
      </c>
      <c r="G1745" s="2" t="s">
        <v>50</v>
      </c>
      <c r="J1745"/>
      <c r="K1745" s="19"/>
      <c r="L1745" s="21"/>
      <c r="M1745" s="27"/>
      <c r="N1745" s="19"/>
      <c r="O1745" s="21"/>
      <c r="Q1745" s="7">
        <f>Table2[[#This Row],[Elevation
PILE TOP]]-Table2[[#This Row],[LENGTH(m.)
(Actual)]]</f>
        <v>0</v>
      </c>
      <c r="R1745" s="2"/>
      <c r="S1745" s="7">
        <f>Table2[[#This Row],[N]]+Table2[[#This Row],[Pile 
Deviation 
N (m)]]</f>
        <v>1511694.3289999999</v>
      </c>
      <c r="T1745" s="7">
        <f>Table2[[#This Row],[E]]+Table2[[#This Row],[Pile 
Deviation 
E (m)]]</f>
        <v>694015.47100000002</v>
      </c>
      <c r="W1745" s="7">
        <v>0.24</v>
      </c>
      <c r="X1745" s="2" t="s">
        <v>51</v>
      </c>
    </row>
    <row r="1746" spans="1:27" hidden="1" x14ac:dyDescent="0.65">
      <c r="A1746">
        <v>1740</v>
      </c>
      <c r="B1746" t="s">
        <v>29</v>
      </c>
      <c r="C1746" s="6">
        <v>1511694.291</v>
      </c>
      <c r="D1746" s="6">
        <v>693907.39</v>
      </c>
      <c r="E1746" s="2" t="s">
        <v>35</v>
      </c>
      <c r="F1746" s="1">
        <v>24</v>
      </c>
      <c r="G1746" s="2" t="s">
        <v>50</v>
      </c>
      <c r="J1746"/>
      <c r="K1746" s="19"/>
      <c r="L1746" s="21"/>
      <c r="M1746" s="27"/>
      <c r="N1746" s="19"/>
      <c r="O1746" s="21"/>
      <c r="Q1746" s="7">
        <f>Table2[[#This Row],[Elevation
PILE TOP]]-Table2[[#This Row],[LENGTH(m.)
(Actual)]]</f>
        <v>0</v>
      </c>
      <c r="R1746" s="2"/>
      <c r="S1746" s="7">
        <f>Table2[[#This Row],[N]]+Table2[[#This Row],[Pile 
Deviation 
N (m)]]</f>
        <v>1511694.291</v>
      </c>
      <c r="T1746" s="7">
        <f>Table2[[#This Row],[E]]+Table2[[#This Row],[Pile 
Deviation 
E (m)]]</f>
        <v>693907.39</v>
      </c>
      <c r="W1746" s="7">
        <v>0.24</v>
      </c>
      <c r="X1746" s="2" t="s">
        <v>51</v>
      </c>
    </row>
    <row r="1747" spans="1:27" ht="13.95" hidden="1" customHeight="1" x14ac:dyDescent="0.65">
      <c r="A1747">
        <v>1741</v>
      </c>
      <c r="B1747" t="s">
        <v>29</v>
      </c>
      <c r="C1747" s="6">
        <v>1511694.27</v>
      </c>
      <c r="D1747" s="6">
        <v>693853.25300000003</v>
      </c>
      <c r="E1747" s="2" t="s">
        <v>35</v>
      </c>
      <c r="F1747" s="1">
        <v>24</v>
      </c>
      <c r="G1747" s="2" t="s">
        <v>50</v>
      </c>
      <c r="J1747"/>
      <c r="K1747" s="19"/>
      <c r="L1747" s="21"/>
      <c r="M1747" s="27"/>
      <c r="N1747" s="19"/>
      <c r="O1747" s="21"/>
      <c r="Q1747" s="7">
        <f>Table2[[#This Row],[Elevation
PILE TOP]]-Table2[[#This Row],[LENGTH(m.)
(Actual)]]</f>
        <v>0</v>
      </c>
      <c r="R1747" s="2"/>
      <c r="S1747" s="7">
        <f>Table2[[#This Row],[N]]+Table2[[#This Row],[Pile 
Deviation 
N (m)]]</f>
        <v>1511694.27</v>
      </c>
      <c r="T1747" s="7">
        <f>Table2[[#This Row],[E]]+Table2[[#This Row],[Pile 
Deviation 
E (m)]]</f>
        <v>693853.25300000003</v>
      </c>
      <c r="W1747" s="7">
        <v>0.24</v>
      </c>
      <c r="X1747" s="2" t="s">
        <v>51</v>
      </c>
      <c r="AA1747" s="9">
        <v>46210</v>
      </c>
    </row>
    <row r="1748" spans="1:27" hidden="1" x14ac:dyDescent="0.65">
      <c r="A1748">
        <v>1742</v>
      </c>
      <c r="B1748" t="s">
        <v>29</v>
      </c>
      <c r="C1748" s="6">
        <v>1511694.169</v>
      </c>
      <c r="D1748" s="6">
        <v>694041.571</v>
      </c>
      <c r="E1748" s="2" t="s">
        <v>35</v>
      </c>
      <c r="F1748" s="1">
        <v>24</v>
      </c>
      <c r="G1748" s="2" t="s">
        <v>50</v>
      </c>
      <c r="J1748"/>
      <c r="K1748" s="19"/>
      <c r="L1748" s="21"/>
      <c r="M1748" s="27"/>
      <c r="N1748" s="19"/>
      <c r="O1748" s="21"/>
      <c r="Q1748" s="7">
        <f>Table2[[#This Row],[Elevation
PILE TOP]]-Table2[[#This Row],[LENGTH(m.)
(Actual)]]</f>
        <v>0</v>
      </c>
      <c r="R1748" s="2"/>
      <c r="S1748" s="7">
        <f>Table2[[#This Row],[N]]+Table2[[#This Row],[Pile 
Deviation 
N (m)]]</f>
        <v>1511694.169</v>
      </c>
      <c r="T1748" s="7">
        <f>Table2[[#This Row],[E]]+Table2[[#This Row],[Pile 
Deviation 
E (m)]]</f>
        <v>694041.571</v>
      </c>
      <c r="W1748" s="7">
        <v>0.24</v>
      </c>
      <c r="X1748" s="2" t="s">
        <v>51</v>
      </c>
    </row>
    <row r="1749" spans="1:27" ht="13.95" hidden="1" customHeight="1" x14ac:dyDescent="0.65">
      <c r="A1749">
        <v>1743</v>
      </c>
      <c r="B1749" t="s">
        <v>29</v>
      </c>
      <c r="C1749" s="6">
        <v>1511694.0160000001</v>
      </c>
      <c r="D1749" s="6">
        <v>694000.17700000003</v>
      </c>
      <c r="E1749" s="2" t="s">
        <v>35</v>
      </c>
      <c r="F1749" s="1">
        <v>24</v>
      </c>
      <c r="G1749" s="2" t="s">
        <v>50</v>
      </c>
      <c r="J1749"/>
      <c r="K1749" s="19"/>
      <c r="L1749" s="21"/>
      <c r="M1749" s="27"/>
      <c r="N1749" s="19"/>
      <c r="O1749" s="21"/>
      <c r="Q1749" s="7">
        <f>Table2[[#This Row],[Elevation
PILE TOP]]-Table2[[#This Row],[LENGTH(m.)
(Actual)]]</f>
        <v>0</v>
      </c>
      <c r="R1749" s="2"/>
      <c r="S1749" s="7">
        <f>Table2[[#This Row],[N]]+Table2[[#This Row],[Pile 
Deviation 
N (m)]]</f>
        <v>1511694.0160000001</v>
      </c>
      <c r="T1749" s="7">
        <f>Table2[[#This Row],[E]]+Table2[[#This Row],[Pile 
Deviation 
E (m)]]</f>
        <v>694000.17700000003</v>
      </c>
      <c r="W1749" s="7">
        <v>0.24</v>
      </c>
      <c r="X1749" s="2" t="s">
        <v>51</v>
      </c>
    </row>
    <row r="1750" spans="1:27" hidden="1" x14ac:dyDescent="0.65">
      <c r="A1750">
        <v>1744</v>
      </c>
      <c r="B1750" t="s">
        <v>29</v>
      </c>
      <c r="C1750" s="6">
        <v>1511693.9820000001</v>
      </c>
      <c r="D1750" s="6">
        <v>693982.33</v>
      </c>
      <c r="E1750" s="2" t="s">
        <v>35</v>
      </c>
      <c r="F1750" s="1">
        <v>24</v>
      </c>
      <c r="G1750" s="2" t="s">
        <v>50</v>
      </c>
      <c r="J1750"/>
      <c r="K1750" s="19"/>
      <c r="L1750" s="21"/>
      <c r="M1750" s="27"/>
      <c r="N1750" s="19"/>
      <c r="O1750" s="21"/>
      <c r="Q1750" s="7">
        <f>Table2[[#This Row],[Elevation
PILE TOP]]-Table2[[#This Row],[LENGTH(m.)
(Actual)]]</f>
        <v>0</v>
      </c>
      <c r="R1750" s="2"/>
      <c r="S1750" s="7">
        <f>Table2[[#This Row],[N]]+Table2[[#This Row],[Pile 
Deviation 
N (m)]]</f>
        <v>1511693.9820000001</v>
      </c>
      <c r="T1750" s="7">
        <f>Table2[[#This Row],[E]]+Table2[[#This Row],[Pile 
Deviation 
E (m)]]</f>
        <v>693982.33</v>
      </c>
      <c r="W1750" s="7">
        <v>0.24</v>
      </c>
      <c r="X1750" s="2" t="s">
        <v>51</v>
      </c>
    </row>
    <row r="1751" spans="1:27" ht="13.95" hidden="1" customHeight="1" x14ac:dyDescent="0.65">
      <c r="A1751">
        <v>1745</v>
      </c>
      <c r="B1751" t="s">
        <v>29</v>
      </c>
      <c r="C1751" s="6">
        <v>1511693.926</v>
      </c>
      <c r="D1751" s="6">
        <v>694026.53200000001</v>
      </c>
      <c r="E1751" s="2" t="s">
        <v>35</v>
      </c>
      <c r="F1751" s="1">
        <v>24</v>
      </c>
      <c r="G1751" s="2" t="s">
        <v>50</v>
      </c>
      <c r="J1751"/>
      <c r="K1751" s="19"/>
      <c r="L1751" s="21"/>
      <c r="M1751" s="27"/>
      <c r="N1751" s="19"/>
      <c r="O1751" s="21"/>
      <c r="Q1751" s="7">
        <f>Table2[[#This Row],[Elevation
PILE TOP]]-Table2[[#This Row],[LENGTH(m.)
(Actual)]]</f>
        <v>0</v>
      </c>
      <c r="R1751" s="2"/>
      <c r="S1751" s="7">
        <f>Table2[[#This Row],[N]]+Table2[[#This Row],[Pile 
Deviation 
N (m)]]</f>
        <v>1511693.926</v>
      </c>
      <c r="T1751" s="7">
        <f>Table2[[#This Row],[E]]+Table2[[#This Row],[Pile 
Deviation 
E (m)]]</f>
        <v>694026.53200000001</v>
      </c>
      <c r="W1751" s="7">
        <v>0.24</v>
      </c>
      <c r="X1751" s="2" t="s">
        <v>51</v>
      </c>
    </row>
    <row r="1752" spans="1:27" x14ac:dyDescent="0.65">
      <c r="A1752">
        <v>1746</v>
      </c>
      <c r="B1752" t="s">
        <v>29</v>
      </c>
      <c r="C1752" s="6">
        <v>1511693.89</v>
      </c>
      <c r="D1752" s="6">
        <v>693966.72400000005</v>
      </c>
      <c r="E1752" s="2" t="s">
        <v>35</v>
      </c>
      <c r="F1752" s="1">
        <v>24</v>
      </c>
      <c r="G1752" s="2" t="s">
        <v>50</v>
      </c>
      <c r="J1752"/>
      <c r="K1752" s="19"/>
      <c r="L1752" s="21"/>
      <c r="M1752" s="27"/>
      <c r="N1752" s="19"/>
      <c r="O1752" s="21"/>
      <c r="Q1752" s="7">
        <f>Table2[[#This Row],[Elevation
PILE TOP]]-Table2[[#This Row],[LENGTH(m.)
(Actual)]]</f>
        <v>0</v>
      </c>
      <c r="R1752" s="2"/>
      <c r="S1752" s="7">
        <f>Table2[[#This Row],[N]]+Table2[[#This Row],[Pile 
Deviation 
N (m)]]</f>
        <v>1511693.89</v>
      </c>
      <c r="T1752" s="7">
        <f>Table2[[#This Row],[E]]+Table2[[#This Row],[Pile 
Deviation 
E (m)]]</f>
        <v>693966.72400000005</v>
      </c>
      <c r="W1752" s="7">
        <v>0.24</v>
      </c>
      <c r="X1752" s="2" t="s">
        <v>51</v>
      </c>
      <c r="AA1752" s="9">
        <v>46200</v>
      </c>
    </row>
    <row r="1753" spans="1:27" ht="13.95" hidden="1" customHeight="1" x14ac:dyDescent="0.65">
      <c r="A1753">
        <v>1747</v>
      </c>
      <c r="B1753" t="s">
        <v>29</v>
      </c>
      <c r="C1753" s="6">
        <v>1511693.88</v>
      </c>
      <c r="D1753" s="6">
        <v>694105.49100000004</v>
      </c>
      <c r="E1753" s="2" t="s">
        <v>35</v>
      </c>
      <c r="F1753" s="1">
        <v>24</v>
      </c>
      <c r="G1753" s="2" t="s">
        <v>50</v>
      </c>
      <c r="J1753"/>
      <c r="K1753" s="19"/>
      <c r="L1753" s="21"/>
      <c r="M1753" s="27"/>
      <c r="N1753" s="19"/>
      <c r="O1753" s="21"/>
      <c r="Q1753" s="7">
        <f>Table2[[#This Row],[Elevation
PILE TOP]]-Table2[[#This Row],[LENGTH(m.)
(Actual)]]</f>
        <v>0</v>
      </c>
      <c r="R1753" s="2"/>
      <c r="S1753" s="7">
        <f>Table2[[#This Row],[N]]+Table2[[#This Row],[Pile 
Deviation 
N (m)]]</f>
        <v>1511693.88</v>
      </c>
      <c r="T1753" s="7">
        <f>Table2[[#This Row],[E]]+Table2[[#This Row],[Pile 
Deviation 
E (m)]]</f>
        <v>694105.49100000004</v>
      </c>
      <c r="W1753" s="7">
        <v>0.24</v>
      </c>
      <c r="X1753" s="2" t="s">
        <v>51</v>
      </c>
    </row>
    <row r="1754" spans="1:27" hidden="1" x14ac:dyDescent="0.65">
      <c r="A1754">
        <v>1748</v>
      </c>
      <c r="B1754" t="s">
        <v>29</v>
      </c>
      <c r="C1754" s="6">
        <v>1511693.8689999999</v>
      </c>
      <c r="D1754" s="6">
        <v>694086.64300000004</v>
      </c>
      <c r="E1754" s="2" t="s">
        <v>35</v>
      </c>
      <c r="F1754" s="1">
        <v>24</v>
      </c>
      <c r="G1754" s="2" t="s">
        <v>50</v>
      </c>
      <c r="J1754"/>
      <c r="K1754" s="19"/>
      <c r="L1754" s="21"/>
      <c r="M1754" s="27"/>
      <c r="N1754" s="19"/>
      <c r="O1754" s="21"/>
      <c r="Q1754" s="7">
        <f>Table2[[#This Row],[Elevation
PILE TOP]]-Table2[[#This Row],[LENGTH(m.)
(Actual)]]</f>
        <v>0</v>
      </c>
      <c r="R1754" s="2"/>
      <c r="S1754" s="7">
        <f>Table2[[#This Row],[N]]+Table2[[#This Row],[Pile 
Deviation 
N (m)]]</f>
        <v>1511693.8689999999</v>
      </c>
      <c r="T1754" s="7">
        <f>Table2[[#This Row],[E]]+Table2[[#This Row],[Pile 
Deviation 
E (m)]]</f>
        <v>694086.64300000004</v>
      </c>
      <c r="W1754" s="7">
        <v>0.24</v>
      </c>
      <c r="X1754" s="2" t="s">
        <v>51</v>
      </c>
    </row>
    <row r="1755" spans="1:27" ht="13.95" hidden="1" customHeight="1" x14ac:dyDescent="0.65">
      <c r="A1755">
        <v>1749</v>
      </c>
      <c r="B1755" t="s">
        <v>29</v>
      </c>
      <c r="C1755" s="6">
        <v>1511693.8589999999</v>
      </c>
      <c r="D1755" s="6">
        <v>694067.79500000004</v>
      </c>
      <c r="E1755" s="2" t="s">
        <v>35</v>
      </c>
      <c r="F1755" s="1">
        <v>24</v>
      </c>
      <c r="G1755" s="2" t="s">
        <v>50</v>
      </c>
      <c r="J1755"/>
      <c r="K1755" s="19"/>
      <c r="L1755" s="21"/>
      <c r="M1755" s="27"/>
      <c r="N1755" s="19"/>
      <c r="O1755" s="21"/>
      <c r="Q1755" s="7">
        <f>Table2[[#This Row],[Elevation
PILE TOP]]-Table2[[#This Row],[LENGTH(m.)
(Actual)]]</f>
        <v>0</v>
      </c>
      <c r="R1755" s="2"/>
      <c r="S1755" s="7">
        <f>Table2[[#This Row],[N]]+Table2[[#This Row],[Pile 
Deviation 
N (m)]]</f>
        <v>1511693.8589999999</v>
      </c>
      <c r="T1755" s="7">
        <f>Table2[[#This Row],[E]]+Table2[[#This Row],[Pile 
Deviation 
E (m)]]</f>
        <v>694067.79500000004</v>
      </c>
      <c r="W1755" s="7">
        <v>0.24</v>
      </c>
      <c r="X1755" s="2" t="s">
        <v>51</v>
      </c>
    </row>
    <row r="1756" spans="1:27" hidden="1" x14ac:dyDescent="0.65">
      <c r="A1756">
        <v>1750</v>
      </c>
      <c r="B1756" t="s">
        <v>29</v>
      </c>
      <c r="C1756" s="6">
        <v>1511693.848</v>
      </c>
      <c r="D1756" s="6">
        <v>694048.94700000004</v>
      </c>
      <c r="E1756" s="2" t="s">
        <v>35</v>
      </c>
      <c r="F1756" s="1">
        <v>24</v>
      </c>
      <c r="G1756" s="2" t="s">
        <v>50</v>
      </c>
      <c r="J1756"/>
      <c r="K1756" s="19"/>
      <c r="L1756" s="21"/>
      <c r="M1756" s="27"/>
      <c r="N1756" s="19"/>
      <c r="O1756" s="21"/>
      <c r="Q1756" s="7">
        <f>Table2[[#This Row],[Elevation
PILE TOP]]-Table2[[#This Row],[LENGTH(m.)
(Actual)]]</f>
        <v>0</v>
      </c>
      <c r="R1756" s="2"/>
      <c r="S1756" s="7">
        <f>Table2[[#This Row],[N]]+Table2[[#This Row],[Pile 
Deviation 
N (m)]]</f>
        <v>1511693.848</v>
      </c>
      <c r="T1756" s="7">
        <f>Table2[[#This Row],[E]]+Table2[[#This Row],[Pile 
Deviation 
E (m)]]</f>
        <v>694048.94700000004</v>
      </c>
      <c r="W1756" s="7">
        <v>0.24</v>
      </c>
      <c r="X1756" s="2" t="s">
        <v>51</v>
      </c>
    </row>
    <row r="1757" spans="1:27" ht="13.95" hidden="1" customHeight="1" x14ac:dyDescent="0.65">
      <c r="A1757">
        <v>1751</v>
      </c>
      <c r="B1757" t="s">
        <v>29</v>
      </c>
      <c r="C1757" s="6">
        <v>1511693.523</v>
      </c>
      <c r="D1757" s="6">
        <v>694037.59199999995</v>
      </c>
      <c r="E1757" s="2" t="s">
        <v>35</v>
      </c>
      <c r="F1757" s="1">
        <v>24</v>
      </c>
      <c r="G1757" s="2" t="s">
        <v>50</v>
      </c>
      <c r="J1757"/>
      <c r="K1757" s="19"/>
      <c r="L1757" s="21"/>
      <c r="M1757" s="27"/>
      <c r="N1757" s="19"/>
      <c r="O1757" s="21"/>
      <c r="Q1757" s="7">
        <f>Table2[[#This Row],[Elevation
PILE TOP]]-Table2[[#This Row],[LENGTH(m.)
(Actual)]]</f>
        <v>0</v>
      </c>
      <c r="R1757" s="2"/>
      <c r="S1757" s="7">
        <f>Table2[[#This Row],[N]]+Table2[[#This Row],[Pile 
Deviation 
N (m)]]</f>
        <v>1511693.523</v>
      </c>
      <c r="T1757" s="7">
        <f>Table2[[#This Row],[E]]+Table2[[#This Row],[Pile 
Deviation 
E (m)]]</f>
        <v>694037.59199999995</v>
      </c>
      <c r="W1757" s="7">
        <v>0.24</v>
      </c>
      <c r="X1757" s="2" t="s">
        <v>51</v>
      </c>
    </row>
    <row r="1758" spans="1:27" hidden="1" x14ac:dyDescent="0.65">
      <c r="A1758">
        <v>1752</v>
      </c>
      <c r="B1758" t="s">
        <v>29</v>
      </c>
      <c r="C1758" s="6">
        <v>1511693.5049999999</v>
      </c>
      <c r="D1758" s="6">
        <v>694007.68799999997</v>
      </c>
      <c r="E1758" s="2" t="s">
        <v>35</v>
      </c>
      <c r="F1758" s="1">
        <v>24</v>
      </c>
      <c r="G1758" s="2" t="s">
        <v>50</v>
      </c>
      <c r="J1758"/>
      <c r="K1758" s="19"/>
      <c r="L1758" s="21"/>
      <c r="M1758" s="27"/>
      <c r="N1758" s="19"/>
      <c r="O1758" s="21"/>
      <c r="Q1758" s="7">
        <f>Table2[[#This Row],[Elevation
PILE TOP]]-Table2[[#This Row],[LENGTH(m.)
(Actual)]]</f>
        <v>0</v>
      </c>
      <c r="R1758" s="2"/>
      <c r="S1758" s="7">
        <f>Table2[[#This Row],[N]]+Table2[[#This Row],[Pile 
Deviation 
N (m)]]</f>
        <v>1511693.5049999999</v>
      </c>
      <c r="T1758" s="7">
        <f>Table2[[#This Row],[E]]+Table2[[#This Row],[Pile 
Deviation 
E (m)]]</f>
        <v>694007.68799999997</v>
      </c>
      <c r="W1758" s="7">
        <v>0.24</v>
      </c>
      <c r="X1758" s="2" t="s">
        <v>51</v>
      </c>
    </row>
    <row r="1759" spans="1:27" ht="13.95" hidden="1" customHeight="1" x14ac:dyDescent="0.65">
      <c r="A1759">
        <v>1753</v>
      </c>
      <c r="B1759" t="s">
        <v>29</v>
      </c>
      <c r="C1759" s="6">
        <v>1511693.402</v>
      </c>
      <c r="D1759" s="6">
        <v>693910.77500000002</v>
      </c>
      <c r="E1759" s="2" t="s">
        <v>35</v>
      </c>
      <c r="F1759" s="1">
        <v>24</v>
      </c>
      <c r="G1759" s="2" t="s">
        <v>50</v>
      </c>
      <c r="J1759"/>
      <c r="K1759" s="19"/>
      <c r="L1759" s="21"/>
      <c r="M1759" s="27"/>
      <c r="N1759" s="19"/>
      <c r="O1759" s="21"/>
      <c r="Q1759" s="7">
        <f>Table2[[#This Row],[Elevation
PILE TOP]]-Table2[[#This Row],[LENGTH(m.)
(Actual)]]</f>
        <v>0</v>
      </c>
      <c r="R1759" s="2"/>
      <c r="S1759" s="7">
        <f>Table2[[#This Row],[N]]+Table2[[#This Row],[Pile 
Deviation 
N (m)]]</f>
        <v>1511693.402</v>
      </c>
      <c r="T1759" s="7">
        <f>Table2[[#This Row],[E]]+Table2[[#This Row],[Pile 
Deviation 
E (m)]]</f>
        <v>693910.77500000002</v>
      </c>
      <c r="W1759" s="7">
        <v>0.24</v>
      </c>
      <c r="X1759" s="2" t="s">
        <v>51</v>
      </c>
    </row>
    <row r="1760" spans="1:27" hidden="1" x14ac:dyDescent="0.65">
      <c r="A1760">
        <v>1754</v>
      </c>
      <c r="B1760" t="s">
        <v>29</v>
      </c>
      <c r="C1760" s="6">
        <v>1511693.398</v>
      </c>
      <c r="D1760" s="6">
        <v>693973.03</v>
      </c>
      <c r="E1760" s="2" t="s">
        <v>35</v>
      </c>
      <c r="F1760" s="1">
        <v>24</v>
      </c>
      <c r="G1760" s="2" t="s">
        <v>50</v>
      </c>
      <c r="J1760"/>
      <c r="K1760" s="19"/>
      <c r="L1760" s="21"/>
      <c r="M1760" s="27"/>
      <c r="N1760" s="19"/>
      <c r="O1760" s="21"/>
      <c r="Q1760" s="7">
        <f>Table2[[#This Row],[Elevation
PILE TOP]]-Table2[[#This Row],[LENGTH(m.)
(Actual)]]</f>
        <v>0</v>
      </c>
      <c r="R1760" s="2"/>
      <c r="S1760" s="7">
        <f>Table2[[#This Row],[N]]+Table2[[#This Row],[Pile 
Deviation 
N (m)]]</f>
        <v>1511693.398</v>
      </c>
      <c r="T1760" s="7">
        <f>Table2[[#This Row],[E]]+Table2[[#This Row],[Pile 
Deviation 
E (m)]]</f>
        <v>693973.03</v>
      </c>
      <c r="W1760" s="7">
        <v>0.24</v>
      </c>
      <c r="X1760" s="2" t="s">
        <v>51</v>
      </c>
    </row>
    <row r="1761" spans="1:27" ht="13.95" hidden="1" customHeight="1" x14ac:dyDescent="0.65">
      <c r="A1761">
        <v>1755</v>
      </c>
      <c r="B1761" t="s">
        <v>29</v>
      </c>
      <c r="C1761" s="6">
        <v>1511693.3230000001</v>
      </c>
      <c r="D1761" s="6">
        <v>693996.74600000004</v>
      </c>
      <c r="E1761" s="2" t="s">
        <v>35</v>
      </c>
      <c r="F1761" s="1">
        <v>24</v>
      </c>
      <c r="G1761" s="2" t="s">
        <v>50</v>
      </c>
      <c r="J1761"/>
      <c r="K1761" s="19"/>
      <c r="L1761" s="21"/>
      <c r="M1761" s="27"/>
      <c r="N1761" s="19"/>
      <c r="O1761" s="21"/>
      <c r="Q1761" s="7">
        <f>Table2[[#This Row],[Elevation
PILE TOP]]-Table2[[#This Row],[LENGTH(m.)
(Actual)]]</f>
        <v>0</v>
      </c>
      <c r="R1761" s="2"/>
      <c r="S1761" s="7">
        <f>Table2[[#This Row],[N]]+Table2[[#This Row],[Pile 
Deviation 
N (m)]]</f>
        <v>1511693.3230000001</v>
      </c>
      <c r="T1761" s="7">
        <f>Table2[[#This Row],[E]]+Table2[[#This Row],[Pile 
Deviation 
E (m)]]</f>
        <v>693996.74600000004</v>
      </c>
      <c r="W1761" s="7">
        <v>0.24</v>
      </c>
      <c r="X1761" s="2" t="s">
        <v>51</v>
      </c>
    </row>
    <row r="1762" spans="1:27" hidden="1" x14ac:dyDescent="0.65">
      <c r="A1762">
        <v>1756</v>
      </c>
      <c r="B1762" t="s">
        <v>29</v>
      </c>
      <c r="C1762" s="6">
        <v>1511693.29</v>
      </c>
      <c r="D1762" s="6">
        <v>693978.9</v>
      </c>
      <c r="E1762" s="2" t="s">
        <v>35</v>
      </c>
      <c r="F1762" s="1">
        <v>24</v>
      </c>
      <c r="G1762" s="2" t="s">
        <v>50</v>
      </c>
      <c r="J1762"/>
      <c r="K1762" s="19"/>
      <c r="L1762" s="21"/>
      <c r="M1762" s="27"/>
      <c r="N1762" s="19"/>
      <c r="O1762" s="21"/>
      <c r="Q1762" s="7">
        <f>Table2[[#This Row],[Elevation
PILE TOP]]-Table2[[#This Row],[LENGTH(m.)
(Actual)]]</f>
        <v>0</v>
      </c>
      <c r="R1762" s="2"/>
      <c r="S1762" s="7">
        <f>Table2[[#This Row],[N]]+Table2[[#This Row],[Pile 
Deviation 
N (m)]]</f>
        <v>1511693.29</v>
      </c>
      <c r="T1762" s="7">
        <f>Table2[[#This Row],[E]]+Table2[[#This Row],[Pile 
Deviation 
E (m)]]</f>
        <v>693978.9</v>
      </c>
      <c r="W1762" s="7">
        <v>0.24</v>
      </c>
      <c r="X1762" s="2" t="s">
        <v>51</v>
      </c>
    </row>
    <row r="1763" spans="1:27" ht="13.95" hidden="1" customHeight="1" x14ac:dyDescent="0.65">
      <c r="A1763">
        <v>1757</v>
      </c>
      <c r="B1763" t="s">
        <v>29</v>
      </c>
      <c r="C1763" s="6">
        <v>1511693.236</v>
      </c>
      <c r="D1763" s="6">
        <v>694116.54</v>
      </c>
      <c r="E1763" s="2" t="s">
        <v>35</v>
      </c>
      <c r="F1763" s="1">
        <v>24</v>
      </c>
      <c r="G1763" s="2" t="s">
        <v>50</v>
      </c>
      <c r="J1763"/>
      <c r="K1763" s="19"/>
      <c r="L1763" s="21"/>
      <c r="M1763" s="27"/>
      <c r="N1763" s="19"/>
      <c r="O1763" s="21"/>
      <c r="Q1763" s="7">
        <f>Table2[[#This Row],[Elevation
PILE TOP]]-Table2[[#This Row],[LENGTH(m.)
(Actual)]]</f>
        <v>0</v>
      </c>
      <c r="R1763" s="2"/>
      <c r="S1763" s="7">
        <f>Table2[[#This Row],[N]]+Table2[[#This Row],[Pile 
Deviation 
N (m)]]</f>
        <v>1511693.236</v>
      </c>
      <c r="T1763" s="7">
        <f>Table2[[#This Row],[E]]+Table2[[#This Row],[Pile 
Deviation 
E (m)]]</f>
        <v>694116.54</v>
      </c>
      <c r="W1763" s="7">
        <v>0.24</v>
      </c>
      <c r="X1763" s="2" t="s">
        <v>51</v>
      </c>
    </row>
    <row r="1764" spans="1:27" hidden="1" x14ac:dyDescent="0.65">
      <c r="A1764">
        <v>1758</v>
      </c>
      <c r="B1764" t="s">
        <v>29</v>
      </c>
      <c r="C1764" s="6">
        <v>1511693.2250000001</v>
      </c>
      <c r="D1764" s="6">
        <v>694097.69200000004</v>
      </c>
      <c r="E1764" s="2" t="s">
        <v>35</v>
      </c>
      <c r="F1764" s="1">
        <v>24</v>
      </c>
      <c r="G1764" s="2" t="s">
        <v>50</v>
      </c>
      <c r="J1764"/>
      <c r="K1764" s="19"/>
      <c r="L1764" s="21"/>
      <c r="M1764" s="27"/>
      <c r="N1764" s="19"/>
      <c r="O1764" s="21"/>
      <c r="Q1764" s="7">
        <f>Table2[[#This Row],[Elevation
PILE TOP]]-Table2[[#This Row],[LENGTH(m.)
(Actual)]]</f>
        <v>0</v>
      </c>
      <c r="R1764" s="2"/>
      <c r="S1764" s="7">
        <f>Table2[[#This Row],[N]]+Table2[[#This Row],[Pile 
Deviation 
N (m)]]</f>
        <v>1511693.2250000001</v>
      </c>
      <c r="T1764" s="7">
        <f>Table2[[#This Row],[E]]+Table2[[#This Row],[Pile 
Deviation 
E (m)]]</f>
        <v>694097.69200000004</v>
      </c>
      <c r="W1764" s="7">
        <v>0.24</v>
      </c>
      <c r="X1764" s="2" t="s">
        <v>51</v>
      </c>
    </row>
    <row r="1765" spans="1:27" ht="13.95" hidden="1" customHeight="1" x14ac:dyDescent="0.65">
      <c r="A1765">
        <v>1759</v>
      </c>
      <c r="B1765" t="s">
        <v>29</v>
      </c>
      <c r="C1765" s="6">
        <v>1511693.2150000001</v>
      </c>
      <c r="D1765" s="6">
        <v>694078.84400000004</v>
      </c>
      <c r="E1765" s="2" t="s">
        <v>35</v>
      </c>
      <c r="F1765" s="1">
        <v>24</v>
      </c>
      <c r="G1765" s="2" t="s">
        <v>50</v>
      </c>
      <c r="J1765"/>
      <c r="K1765" s="19"/>
      <c r="L1765" s="21"/>
      <c r="M1765" s="27"/>
      <c r="N1765" s="19"/>
      <c r="O1765" s="21"/>
      <c r="Q1765" s="7">
        <f>Table2[[#This Row],[Elevation
PILE TOP]]-Table2[[#This Row],[LENGTH(m.)
(Actual)]]</f>
        <v>0</v>
      </c>
      <c r="R1765" s="2"/>
      <c r="S1765" s="7">
        <f>Table2[[#This Row],[N]]+Table2[[#This Row],[Pile 
Deviation 
N (m)]]</f>
        <v>1511693.2150000001</v>
      </c>
      <c r="T1765" s="7">
        <f>Table2[[#This Row],[E]]+Table2[[#This Row],[Pile 
Deviation 
E (m)]]</f>
        <v>694078.84400000004</v>
      </c>
      <c r="W1765" s="7">
        <v>0.24</v>
      </c>
      <c r="X1765" s="2" t="s">
        <v>51</v>
      </c>
    </row>
    <row r="1766" spans="1:27" hidden="1" x14ac:dyDescent="0.65">
      <c r="A1766">
        <v>1760</v>
      </c>
      <c r="B1766" t="s">
        <v>29</v>
      </c>
      <c r="C1766" s="6">
        <v>1511693.2050000001</v>
      </c>
      <c r="D1766" s="6">
        <v>694059.99600000004</v>
      </c>
      <c r="E1766" s="2" t="s">
        <v>35</v>
      </c>
      <c r="F1766" s="1">
        <v>24</v>
      </c>
      <c r="G1766" s="2" t="s">
        <v>50</v>
      </c>
      <c r="J1766"/>
      <c r="K1766" s="19"/>
      <c r="L1766" s="21"/>
      <c r="M1766" s="27"/>
      <c r="N1766" s="19"/>
      <c r="O1766" s="21"/>
      <c r="Q1766" s="7">
        <f>Table2[[#This Row],[Elevation
PILE TOP]]-Table2[[#This Row],[LENGTH(m.)
(Actual)]]</f>
        <v>0</v>
      </c>
      <c r="R1766" s="2"/>
      <c r="S1766" s="7">
        <f>Table2[[#This Row],[N]]+Table2[[#This Row],[Pile 
Deviation 
N (m)]]</f>
        <v>1511693.2050000001</v>
      </c>
      <c r="T1766" s="7">
        <f>Table2[[#This Row],[E]]+Table2[[#This Row],[Pile 
Deviation 
E (m)]]</f>
        <v>694059.99600000004</v>
      </c>
      <c r="W1766" s="7">
        <v>0.24</v>
      </c>
      <c r="X1766" s="2" t="s">
        <v>51</v>
      </c>
    </row>
    <row r="1767" spans="1:27" ht="13.95" hidden="1" customHeight="1" x14ac:dyDescent="0.65">
      <c r="A1767">
        <v>1761</v>
      </c>
      <c r="B1767" t="s">
        <v>29</v>
      </c>
      <c r="C1767" s="6">
        <v>1511693.105</v>
      </c>
      <c r="D1767" s="6">
        <v>693856.55299999996</v>
      </c>
      <c r="E1767" s="2" t="s">
        <v>35</v>
      </c>
      <c r="F1767" s="1">
        <v>24</v>
      </c>
      <c r="G1767" s="2" t="s">
        <v>50</v>
      </c>
      <c r="J1767"/>
      <c r="K1767" s="19"/>
      <c r="L1767" s="21"/>
      <c r="M1767" s="27"/>
      <c r="N1767" s="19"/>
      <c r="O1767" s="21"/>
      <c r="Q1767" s="7">
        <f>Table2[[#This Row],[Elevation
PILE TOP]]-Table2[[#This Row],[LENGTH(m.)
(Actual)]]</f>
        <v>0</v>
      </c>
      <c r="R1767" s="2"/>
      <c r="S1767" s="7">
        <f>Table2[[#This Row],[N]]+Table2[[#This Row],[Pile 
Deviation 
N (m)]]</f>
        <v>1511693.105</v>
      </c>
      <c r="T1767" s="7">
        <f>Table2[[#This Row],[E]]+Table2[[#This Row],[Pile 
Deviation 
E (m)]]</f>
        <v>693856.55299999996</v>
      </c>
      <c r="W1767" s="7">
        <v>0.24</v>
      </c>
      <c r="X1767" s="2" t="s">
        <v>51</v>
      </c>
      <c r="AA1767" s="9">
        <v>46210</v>
      </c>
    </row>
    <row r="1768" spans="1:27" hidden="1" x14ac:dyDescent="0.65">
      <c r="A1768">
        <v>1762</v>
      </c>
      <c r="B1768" t="s">
        <v>29</v>
      </c>
      <c r="C1768" s="6">
        <v>1511693.102</v>
      </c>
      <c r="D1768" s="6">
        <v>694018.74899999995</v>
      </c>
      <c r="E1768" s="2" t="s">
        <v>35</v>
      </c>
      <c r="F1768" s="1">
        <v>24</v>
      </c>
      <c r="G1768" s="2" t="s">
        <v>50</v>
      </c>
      <c r="J1768"/>
      <c r="K1768" s="19"/>
      <c r="L1768" s="21"/>
      <c r="M1768" s="27"/>
      <c r="N1768" s="19"/>
      <c r="O1768" s="21"/>
      <c r="Q1768" s="7">
        <f>Table2[[#This Row],[Elevation
PILE TOP]]-Table2[[#This Row],[LENGTH(m.)
(Actual)]]</f>
        <v>0</v>
      </c>
      <c r="R1768" s="2"/>
      <c r="S1768" s="7">
        <f>Table2[[#This Row],[N]]+Table2[[#This Row],[Pile 
Deviation 
N (m)]]</f>
        <v>1511693.102</v>
      </c>
      <c r="T1768" s="7">
        <f>Table2[[#This Row],[E]]+Table2[[#This Row],[Pile 
Deviation 
E (m)]]</f>
        <v>694018.74899999995</v>
      </c>
      <c r="W1768" s="7">
        <v>0.24</v>
      </c>
      <c r="X1768" s="2" t="s">
        <v>51</v>
      </c>
    </row>
    <row r="1769" spans="1:27" ht="13.95" hidden="1" customHeight="1" x14ac:dyDescent="0.65">
      <c r="A1769">
        <v>1763</v>
      </c>
      <c r="B1769" t="s">
        <v>29</v>
      </c>
      <c r="C1769" s="6">
        <v>1511692.942</v>
      </c>
      <c r="D1769" s="6">
        <v>694044.84900000005</v>
      </c>
      <c r="E1769" s="2" t="s">
        <v>35</v>
      </c>
      <c r="F1769" s="1">
        <v>24</v>
      </c>
      <c r="G1769" s="2" t="s">
        <v>50</v>
      </c>
      <c r="J1769"/>
      <c r="K1769" s="19"/>
      <c r="L1769" s="21"/>
      <c r="M1769" s="27"/>
      <c r="N1769" s="19"/>
      <c r="O1769" s="21"/>
      <c r="Q1769" s="7">
        <f>Table2[[#This Row],[Elevation
PILE TOP]]-Table2[[#This Row],[LENGTH(m.)
(Actual)]]</f>
        <v>0</v>
      </c>
      <c r="R1769" s="2"/>
      <c r="S1769" s="7">
        <f>Table2[[#This Row],[N]]+Table2[[#This Row],[Pile 
Deviation 
N (m)]]</f>
        <v>1511692.942</v>
      </c>
      <c r="T1769" s="7">
        <f>Table2[[#This Row],[E]]+Table2[[#This Row],[Pile 
Deviation 
E (m)]]</f>
        <v>694044.84900000005</v>
      </c>
      <c r="W1769" s="7">
        <v>0.24</v>
      </c>
      <c r="X1769" s="2" t="s">
        <v>51</v>
      </c>
    </row>
    <row r="1770" spans="1:27" hidden="1" x14ac:dyDescent="0.65">
      <c r="A1770">
        <v>1764</v>
      </c>
      <c r="B1770" t="s">
        <v>29</v>
      </c>
      <c r="C1770" s="6">
        <v>1511692.7490000001</v>
      </c>
      <c r="D1770" s="6">
        <v>694004.00399999996</v>
      </c>
      <c r="E1770" s="2" t="s">
        <v>35</v>
      </c>
      <c r="F1770" s="1">
        <v>24</v>
      </c>
      <c r="G1770" s="2" t="s">
        <v>50</v>
      </c>
      <c r="J1770"/>
      <c r="K1770" s="19"/>
      <c r="L1770" s="21"/>
      <c r="M1770" s="27"/>
      <c r="N1770" s="19"/>
      <c r="O1770" s="21"/>
      <c r="Q1770" s="7">
        <f>Table2[[#This Row],[Elevation
PILE TOP]]-Table2[[#This Row],[LENGTH(m.)
(Actual)]]</f>
        <v>0</v>
      </c>
      <c r="R1770" s="2"/>
      <c r="S1770" s="7">
        <f>Table2[[#This Row],[N]]+Table2[[#This Row],[Pile 
Deviation 
N (m)]]</f>
        <v>1511692.7490000001</v>
      </c>
      <c r="T1770" s="7">
        <f>Table2[[#This Row],[E]]+Table2[[#This Row],[Pile 
Deviation 
E (m)]]</f>
        <v>694004.00399999996</v>
      </c>
      <c r="W1770" s="7">
        <v>0.24</v>
      </c>
      <c r="X1770" s="2" t="s">
        <v>51</v>
      </c>
    </row>
    <row r="1771" spans="1:27" ht="13.95" hidden="1" customHeight="1" x14ac:dyDescent="0.65">
      <c r="A1771">
        <v>1765</v>
      </c>
      <c r="B1771" t="s">
        <v>29</v>
      </c>
      <c r="C1771" s="6">
        <v>1511692.699</v>
      </c>
      <c r="D1771" s="6">
        <v>694029.81</v>
      </c>
      <c r="E1771" s="2" t="s">
        <v>35</v>
      </c>
      <c r="F1771" s="1">
        <v>24</v>
      </c>
      <c r="G1771" s="2" t="s">
        <v>50</v>
      </c>
      <c r="J1771"/>
      <c r="K1771" s="19"/>
      <c r="L1771" s="21"/>
      <c r="M1771" s="27"/>
      <c r="N1771" s="19"/>
      <c r="O1771" s="21"/>
      <c r="Q1771" s="7">
        <f>Table2[[#This Row],[Elevation
PILE TOP]]-Table2[[#This Row],[LENGTH(m.)
(Actual)]]</f>
        <v>0</v>
      </c>
      <c r="R1771" s="2"/>
      <c r="S1771" s="7">
        <f>Table2[[#This Row],[N]]+Table2[[#This Row],[Pile 
Deviation 
N (m)]]</f>
        <v>1511692.699</v>
      </c>
      <c r="T1771" s="7">
        <f>Table2[[#This Row],[E]]+Table2[[#This Row],[Pile 
Deviation 
E (m)]]</f>
        <v>694029.81</v>
      </c>
      <c r="W1771" s="7">
        <v>0.24</v>
      </c>
      <c r="X1771" s="2" t="s">
        <v>51</v>
      </c>
    </row>
    <row r="1772" spans="1:27" x14ac:dyDescent="0.65">
      <c r="A1772">
        <v>1766</v>
      </c>
      <c r="B1772" t="s">
        <v>29</v>
      </c>
      <c r="C1772" s="6">
        <v>1511692.6629999999</v>
      </c>
      <c r="D1772" s="6">
        <v>693970.00100000005</v>
      </c>
      <c r="E1772" s="2" t="s">
        <v>35</v>
      </c>
      <c r="F1772" s="1">
        <v>24</v>
      </c>
      <c r="G1772" s="2" t="s">
        <v>50</v>
      </c>
      <c r="J1772"/>
      <c r="K1772" s="19"/>
      <c r="L1772" s="21"/>
      <c r="M1772" s="27"/>
      <c r="N1772" s="19"/>
      <c r="O1772" s="21"/>
      <c r="Q1772" s="7">
        <f>Table2[[#This Row],[Elevation
PILE TOP]]-Table2[[#This Row],[LENGTH(m.)
(Actual)]]</f>
        <v>0</v>
      </c>
      <c r="R1772" s="2"/>
      <c r="S1772" s="7">
        <f>Table2[[#This Row],[N]]+Table2[[#This Row],[Pile 
Deviation 
N (m)]]</f>
        <v>1511692.6629999999</v>
      </c>
      <c r="T1772" s="7">
        <f>Table2[[#This Row],[E]]+Table2[[#This Row],[Pile 
Deviation 
E (m)]]</f>
        <v>693970.00100000005</v>
      </c>
      <c r="W1772" s="7">
        <v>0.24</v>
      </c>
      <c r="X1772" s="2" t="s">
        <v>51</v>
      </c>
      <c r="AA1772" s="9">
        <v>46200</v>
      </c>
    </row>
    <row r="1773" spans="1:27" ht="13.95" hidden="1" customHeight="1" x14ac:dyDescent="0.65">
      <c r="A1773">
        <v>1767</v>
      </c>
      <c r="B1773" t="s">
        <v>29</v>
      </c>
      <c r="C1773" s="6">
        <v>1511692.63</v>
      </c>
      <c r="D1773" s="6">
        <v>693993.31599999999</v>
      </c>
      <c r="E1773" s="2" t="s">
        <v>35</v>
      </c>
      <c r="F1773" s="1">
        <v>24</v>
      </c>
      <c r="G1773" s="2" t="s">
        <v>50</v>
      </c>
      <c r="J1773"/>
      <c r="K1773" s="19"/>
      <c r="L1773" s="21"/>
      <c r="M1773" s="27"/>
      <c r="N1773" s="19"/>
      <c r="O1773" s="21"/>
      <c r="Q1773" s="7">
        <f>Table2[[#This Row],[Elevation
PILE TOP]]-Table2[[#This Row],[LENGTH(m.)
(Actual)]]</f>
        <v>0</v>
      </c>
      <c r="R1773" s="2"/>
      <c r="S1773" s="7">
        <f>Table2[[#This Row],[N]]+Table2[[#This Row],[Pile 
Deviation 
N (m)]]</f>
        <v>1511692.63</v>
      </c>
      <c r="T1773" s="7">
        <f>Table2[[#This Row],[E]]+Table2[[#This Row],[Pile 
Deviation 
E (m)]]</f>
        <v>693993.31599999999</v>
      </c>
      <c r="W1773" s="7">
        <v>0.24</v>
      </c>
      <c r="X1773" s="2" t="s">
        <v>51</v>
      </c>
    </row>
    <row r="1774" spans="1:27" hidden="1" x14ac:dyDescent="0.65">
      <c r="A1774">
        <v>1768</v>
      </c>
      <c r="B1774" t="s">
        <v>29</v>
      </c>
      <c r="C1774" s="6">
        <v>1511692.5970000001</v>
      </c>
      <c r="D1774" s="6">
        <v>693975.46900000004</v>
      </c>
      <c r="E1774" s="2" t="s">
        <v>35</v>
      </c>
      <c r="F1774" s="1">
        <v>24</v>
      </c>
      <c r="G1774" s="2" t="s">
        <v>50</v>
      </c>
      <c r="J1774"/>
      <c r="K1774" s="19"/>
      <c r="L1774" s="21"/>
      <c r="M1774" s="27"/>
      <c r="N1774" s="19"/>
      <c r="O1774" s="21"/>
      <c r="Q1774" s="7">
        <f>Table2[[#This Row],[Elevation
PILE TOP]]-Table2[[#This Row],[LENGTH(m.)
(Actual)]]</f>
        <v>0</v>
      </c>
      <c r="R1774" s="2"/>
      <c r="S1774" s="7">
        <f>Table2[[#This Row],[N]]+Table2[[#This Row],[Pile 
Deviation 
N (m)]]</f>
        <v>1511692.5970000001</v>
      </c>
      <c r="T1774" s="7">
        <f>Table2[[#This Row],[E]]+Table2[[#This Row],[Pile 
Deviation 
E (m)]]</f>
        <v>693975.46900000004</v>
      </c>
      <c r="W1774" s="7">
        <v>0.24</v>
      </c>
      <c r="X1774" s="2" t="s">
        <v>51</v>
      </c>
    </row>
    <row r="1775" spans="1:27" ht="13.95" hidden="1" customHeight="1" x14ac:dyDescent="0.65">
      <c r="A1775">
        <v>1769</v>
      </c>
      <c r="B1775" t="s">
        <v>29</v>
      </c>
      <c r="C1775" s="6">
        <v>1511692.5819999999</v>
      </c>
      <c r="D1775" s="6">
        <v>694108.74100000004</v>
      </c>
      <c r="E1775" s="2" t="s">
        <v>35</v>
      </c>
      <c r="F1775" s="1">
        <v>24</v>
      </c>
      <c r="G1775" s="2" t="s">
        <v>50</v>
      </c>
      <c r="J1775"/>
      <c r="K1775" s="19"/>
      <c r="L1775" s="21"/>
      <c r="M1775" s="27"/>
      <c r="N1775" s="19"/>
      <c r="O1775" s="21"/>
      <c r="Q1775" s="7">
        <f>Table2[[#This Row],[Elevation
PILE TOP]]-Table2[[#This Row],[LENGTH(m.)
(Actual)]]</f>
        <v>0</v>
      </c>
      <c r="R1775" s="2"/>
      <c r="S1775" s="7">
        <f>Table2[[#This Row],[N]]+Table2[[#This Row],[Pile 
Deviation 
N (m)]]</f>
        <v>1511692.5819999999</v>
      </c>
      <c r="T1775" s="7">
        <f>Table2[[#This Row],[E]]+Table2[[#This Row],[Pile 
Deviation 
E (m)]]</f>
        <v>694108.74100000004</v>
      </c>
      <c r="W1775" s="7">
        <v>0.24</v>
      </c>
      <c r="X1775" s="2" t="s">
        <v>51</v>
      </c>
    </row>
    <row r="1776" spans="1:27" hidden="1" x14ac:dyDescent="0.65">
      <c r="A1776">
        <v>1770</v>
      </c>
      <c r="B1776" t="s">
        <v>29</v>
      </c>
      <c r="C1776" s="6">
        <v>1511692.571</v>
      </c>
      <c r="D1776" s="6">
        <v>694089.89300000004</v>
      </c>
      <c r="E1776" s="2" t="s">
        <v>35</v>
      </c>
      <c r="F1776" s="1">
        <v>24</v>
      </c>
      <c r="G1776" s="2" t="s">
        <v>50</v>
      </c>
      <c r="J1776"/>
      <c r="K1776" s="19"/>
      <c r="L1776" s="21"/>
      <c r="M1776" s="27"/>
      <c r="N1776" s="19"/>
      <c r="O1776" s="21"/>
      <c r="Q1776" s="7">
        <f>Table2[[#This Row],[Elevation
PILE TOP]]-Table2[[#This Row],[LENGTH(m.)
(Actual)]]</f>
        <v>0</v>
      </c>
      <c r="R1776" s="2"/>
      <c r="S1776" s="7">
        <f>Table2[[#This Row],[N]]+Table2[[#This Row],[Pile 
Deviation 
N (m)]]</f>
        <v>1511692.571</v>
      </c>
      <c r="T1776" s="7">
        <f>Table2[[#This Row],[E]]+Table2[[#This Row],[Pile 
Deviation 
E (m)]]</f>
        <v>694089.89300000004</v>
      </c>
      <c r="W1776" s="7">
        <v>0.24</v>
      </c>
      <c r="X1776" s="2" t="s">
        <v>51</v>
      </c>
    </row>
    <row r="1777" spans="1:27" ht="13.95" hidden="1" customHeight="1" x14ac:dyDescent="0.65">
      <c r="A1777">
        <v>1771</v>
      </c>
      <c r="B1777" t="s">
        <v>29</v>
      </c>
      <c r="C1777" s="6">
        <v>1511692.561</v>
      </c>
      <c r="D1777" s="6">
        <v>694071.04500000004</v>
      </c>
      <c r="E1777" s="2" t="s">
        <v>35</v>
      </c>
      <c r="F1777" s="1">
        <v>24</v>
      </c>
      <c r="G1777" s="2" t="s">
        <v>50</v>
      </c>
      <c r="J1777"/>
      <c r="K1777" s="19"/>
      <c r="L1777" s="21"/>
      <c r="M1777" s="27"/>
      <c r="N1777" s="19"/>
      <c r="O1777" s="21"/>
      <c r="Q1777" s="7">
        <f>Table2[[#This Row],[Elevation
PILE TOP]]-Table2[[#This Row],[LENGTH(m.)
(Actual)]]</f>
        <v>0</v>
      </c>
      <c r="R1777" s="2"/>
      <c r="S1777" s="7">
        <f>Table2[[#This Row],[N]]+Table2[[#This Row],[Pile 
Deviation 
N (m)]]</f>
        <v>1511692.561</v>
      </c>
      <c r="T1777" s="7">
        <f>Table2[[#This Row],[E]]+Table2[[#This Row],[Pile 
Deviation 
E (m)]]</f>
        <v>694071.04500000004</v>
      </c>
      <c r="W1777" s="7">
        <v>0.24</v>
      </c>
      <c r="X1777" s="2" t="s">
        <v>51</v>
      </c>
    </row>
    <row r="1778" spans="1:27" hidden="1" x14ac:dyDescent="0.65">
      <c r="A1778">
        <v>1772</v>
      </c>
      <c r="B1778" t="s">
        <v>29</v>
      </c>
      <c r="C1778" s="6">
        <v>1511692.55</v>
      </c>
      <c r="D1778" s="6">
        <v>694052.19700000004</v>
      </c>
      <c r="E1778" s="2" t="s">
        <v>35</v>
      </c>
      <c r="F1778" s="1">
        <v>24</v>
      </c>
      <c r="G1778" s="2" t="s">
        <v>50</v>
      </c>
      <c r="J1778"/>
      <c r="K1778" s="19"/>
      <c r="L1778" s="21"/>
      <c r="M1778" s="27"/>
      <c r="N1778" s="19"/>
      <c r="O1778" s="21"/>
      <c r="Q1778" s="7">
        <f>Table2[[#This Row],[Elevation
PILE TOP]]-Table2[[#This Row],[LENGTH(m.)
(Actual)]]</f>
        <v>0</v>
      </c>
      <c r="R1778" s="2"/>
      <c r="S1778" s="7">
        <f>Table2[[#This Row],[N]]+Table2[[#This Row],[Pile 
Deviation 
N (m)]]</f>
        <v>1511692.55</v>
      </c>
      <c r="T1778" s="7">
        <f>Table2[[#This Row],[E]]+Table2[[#This Row],[Pile 
Deviation 
E (m)]]</f>
        <v>694052.19700000004</v>
      </c>
      <c r="W1778" s="7">
        <v>0.24</v>
      </c>
      <c r="X1778" s="2" t="s">
        <v>51</v>
      </c>
    </row>
    <row r="1779" spans="1:27" ht="13.95" hidden="1" customHeight="1" x14ac:dyDescent="0.65">
      <c r="A1779">
        <v>1773</v>
      </c>
      <c r="B1779" t="s">
        <v>29</v>
      </c>
      <c r="C1779" s="6">
        <v>1511692.5490000001</v>
      </c>
      <c r="D1779" s="6">
        <v>693930.57499999995</v>
      </c>
      <c r="E1779" s="2" t="s">
        <v>35</v>
      </c>
      <c r="F1779" s="1">
        <v>24</v>
      </c>
      <c r="G1779" s="2" t="s">
        <v>50</v>
      </c>
      <c r="J1779"/>
      <c r="K1779" s="19"/>
      <c r="L1779" s="21"/>
      <c r="M1779" s="27"/>
      <c r="N1779" s="19"/>
      <c r="O1779" s="21"/>
      <c r="Q1779" s="7">
        <f>Table2[[#This Row],[Elevation
PILE TOP]]-Table2[[#This Row],[LENGTH(m.)
(Actual)]]</f>
        <v>0</v>
      </c>
      <c r="R1779" s="2"/>
      <c r="S1779" s="7">
        <f>Table2[[#This Row],[N]]+Table2[[#This Row],[Pile 
Deviation 
N (m)]]</f>
        <v>1511692.5490000001</v>
      </c>
      <c r="T1779" s="7">
        <f>Table2[[#This Row],[E]]+Table2[[#This Row],[Pile 
Deviation 
E (m)]]</f>
        <v>693930.57499999995</v>
      </c>
      <c r="W1779" s="7">
        <v>0.24</v>
      </c>
      <c r="X1779" s="2" t="s">
        <v>51</v>
      </c>
      <c r="AA1779" s="9">
        <v>46204</v>
      </c>
    </row>
    <row r="1780" spans="1:27" hidden="1" x14ac:dyDescent="0.65">
      <c r="A1780">
        <v>1774</v>
      </c>
      <c r="B1780" t="s">
        <v>29</v>
      </c>
      <c r="C1780" s="6">
        <v>1511692.5120000001</v>
      </c>
      <c r="D1780" s="6">
        <v>693914.16</v>
      </c>
      <c r="E1780" s="2" t="s">
        <v>35</v>
      </c>
      <c r="F1780" s="1">
        <v>24</v>
      </c>
      <c r="G1780" s="2" t="s">
        <v>50</v>
      </c>
      <c r="J1780"/>
      <c r="K1780" s="19"/>
      <c r="L1780" s="21"/>
      <c r="M1780" s="27"/>
      <c r="N1780" s="19"/>
      <c r="O1780" s="21"/>
      <c r="Q1780" s="7">
        <f>Table2[[#This Row],[Elevation
PILE TOP]]-Table2[[#This Row],[LENGTH(m.)
(Actual)]]</f>
        <v>0</v>
      </c>
      <c r="R1780" s="2"/>
      <c r="S1780" s="7">
        <f>Table2[[#This Row],[N]]+Table2[[#This Row],[Pile 
Deviation 
N (m)]]</f>
        <v>1511692.5120000001</v>
      </c>
      <c r="T1780" s="7">
        <f>Table2[[#This Row],[E]]+Table2[[#This Row],[Pile 
Deviation 
E (m)]]</f>
        <v>693914.16</v>
      </c>
      <c r="W1780" s="7">
        <v>0.24</v>
      </c>
      <c r="X1780" s="2" t="s">
        <v>51</v>
      </c>
    </row>
    <row r="1781" spans="1:27" ht="13.95" hidden="1" customHeight="1" x14ac:dyDescent="0.65">
      <c r="A1781">
        <v>1775</v>
      </c>
      <c r="B1781" t="s">
        <v>29</v>
      </c>
      <c r="C1781" s="6">
        <v>1511692.2960000001</v>
      </c>
      <c r="D1781" s="6">
        <v>694040.87</v>
      </c>
      <c r="E1781" s="2" t="s">
        <v>35</v>
      </c>
      <c r="F1781" s="1">
        <v>24</v>
      </c>
      <c r="G1781" s="2" t="s">
        <v>50</v>
      </c>
      <c r="J1781"/>
      <c r="K1781" s="19"/>
      <c r="L1781" s="21"/>
      <c r="M1781" s="27"/>
      <c r="N1781" s="19"/>
      <c r="O1781" s="21"/>
      <c r="Q1781" s="7">
        <f>Table2[[#This Row],[Elevation
PILE TOP]]-Table2[[#This Row],[LENGTH(m.)
(Actual)]]</f>
        <v>0</v>
      </c>
      <c r="R1781" s="2"/>
      <c r="S1781" s="7">
        <f>Table2[[#This Row],[N]]+Table2[[#This Row],[Pile 
Deviation 
N (m)]]</f>
        <v>1511692.2960000001</v>
      </c>
      <c r="T1781" s="7">
        <f>Table2[[#This Row],[E]]+Table2[[#This Row],[Pile 
Deviation 
E (m)]]</f>
        <v>694040.87</v>
      </c>
      <c r="W1781" s="7">
        <v>0.24</v>
      </c>
      <c r="X1781" s="2" t="s">
        <v>51</v>
      </c>
    </row>
    <row r="1782" spans="1:27" hidden="1" x14ac:dyDescent="0.65">
      <c r="A1782">
        <v>1776</v>
      </c>
      <c r="B1782" t="s">
        <v>29</v>
      </c>
      <c r="C1782" s="6">
        <v>1511692.2779999999</v>
      </c>
      <c r="D1782" s="6">
        <v>694010.96600000001</v>
      </c>
      <c r="E1782" s="2" t="s">
        <v>35</v>
      </c>
      <c r="F1782" s="1">
        <v>24</v>
      </c>
      <c r="G1782" s="2" t="s">
        <v>50</v>
      </c>
      <c r="J1782"/>
      <c r="K1782" s="19"/>
      <c r="L1782" s="21"/>
      <c r="M1782" s="27"/>
      <c r="N1782" s="19"/>
      <c r="O1782" s="21"/>
      <c r="Q1782" s="7">
        <f>Table2[[#This Row],[Elevation
PILE TOP]]-Table2[[#This Row],[LENGTH(m.)
(Actual)]]</f>
        <v>0</v>
      </c>
      <c r="R1782" s="2"/>
      <c r="S1782" s="7">
        <f>Table2[[#This Row],[N]]+Table2[[#This Row],[Pile 
Deviation 
N (m)]]</f>
        <v>1511692.2779999999</v>
      </c>
      <c r="T1782" s="7">
        <f>Table2[[#This Row],[E]]+Table2[[#This Row],[Pile 
Deviation 
E (m)]]</f>
        <v>694010.96600000001</v>
      </c>
      <c r="W1782" s="7">
        <v>0.24</v>
      </c>
      <c r="X1782" s="2" t="s">
        <v>51</v>
      </c>
    </row>
    <row r="1783" spans="1:27" ht="13.95" hidden="1" customHeight="1" x14ac:dyDescent="0.65">
      <c r="A1783">
        <v>1777</v>
      </c>
      <c r="B1783" t="s">
        <v>29</v>
      </c>
      <c r="C1783" s="6">
        <v>1511692.267</v>
      </c>
      <c r="D1783" s="6">
        <v>694000.53</v>
      </c>
      <c r="E1783" s="2" t="s">
        <v>35</v>
      </c>
      <c r="F1783" s="1">
        <v>24</v>
      </c>
      <c r="G1783" s="2" t="s">
        <v>50</v>
      </c>
      <c r="J1783"/>
      <c r="K1783" s="19"/>
      <c r="L1783" s="21"/>
      <c r="M1783" s="27"/>
      <c r="N1783" s="19"/>
      <c r="O1783" s="21"/>
      <c r="Q1783" s="7">
        <f>Table2[[#This Row],[Elevation
PILE TOP]]-Table2[[#This Row],[LENGTH(m.)
(Actual)]]</f>
        <v>0</v>
      </c>
      <c r="R1783" s="2"/>
      <c r="S1783" s="7">
        <f>Table2[[#This Row],[N]]+Table2[[#This Row],[Pile 
Deviation 
N (m)]]</f>
        <v>1511692.267</v>
      </c>
      <c r="T1783" s="7">
        <f>Table2[[#This Row],[E]]+Table2[[#This Row],[Pile 
Deviation 
E (m)]]</f>
        <v>694000.53</v>
      </c>
      <c r="W1783" s="7">
        <v>0.24</v>
      </c>
      <c r="X1783" s="2" t="s">
        <v>51</v>
      </c>
    </row>
    <row r="1784" spans="1:27" hidden="1" x14ac:dyDescent="0.65">
      <c r="A1784">
        <v>1778</v>
      </c>
      <c r="B1784" t="s">
        <v>29</v>
      </c>
      <c r="C1784" s="6">
        <v>1511691.94</v>
      </c>
      <c r="D1784" s="6">
        <v>693859.85400000005</v>
      </c>
      <c r="E1784" s="2" t="s">
        <v>35</v>
      </c>
      <c r="F1784" s="1">
        <v>24</v>
      </c>
      <c r="G1784" s="2" t="s">
        <v>50</v>
      </c>
      <c r="J1784"/>
      <c r="K1784" s="19"/>
      <c r="L1784" s="21"/>
      <c r="M1784" s="27"/>
      <c r="N1784" s="19"/>
      <c r="O1784" s="21"/>
      <c r="Q1784" s="7">
        <f>Table2[[#This Row],[Elevation
PILE TOP]]-Table2[[#This Row],[LENGTH(m.)
(Actual)]]</f>
        <v>0</v>
      </c>
      <c r="R1784" s="2"/>
      <c r="S1784" s="7">
        <f>Table2[[#This Row],[N]]+Table2[[#This Row],[Pile 
Deviation 
N (m)]]</f>
        <v>1511691.94</v>
      </c>
      <c r="T1784" s="7">
        <f>Table2[[#This Row],[E]]+Table2[[#This Row],[Pile 
Deviation 
E (m)]]</f>
        <v>693859.85400000005</v>
      </c>
      <c r="W1784" s="7">
        <v>0.24</v>
      </c>
      <c r="X1784" s="2" t="s">
        <v>51</v>
      </c>
      <c r="AA1784" s="9">
        <v>46210</v>
      </c>
    </row>
    <row r="1785" spans="1:27" ht="13.95" hidden="1" customHeight="1" x14ac:dyDescent="0.65">
      <c r="A1785">
        <v>1779</v>
      </c>
      <c r="B1785" t="s">
        <v>29</v>
      </c>
      <c r="C1785" s="6">
        <v>1511691.9380000001</v>
      </c>
      <c r="D1785" s="6">
        <v>694119.79099999997</v>
      </c>
      <c r="E1785" s="2" t="s">
        <v>35</v>
      </c>
      <c r="F1785" s="1">
        <v>24</v>
      </c>
      <c r="G1785" s="2" t="s">
        <v>50</v>
      </c>
      <c r="J1785"/>
      <c r="K1785" s="19"/>
      <c r="L1785" s="21"/>
      <c r="M1785" s="27"/>
      <c r="N1785" s="19"/>
      <c r="O1785" s="21"/>
      <c r="Q1785" s="7">
        <f>Table2[[#This Row],[Elevation
PILE TOP]]-Table2[[#This Row],[LENGTH(m.)
(Actual)]]</f>
        <v>0</v>
      </c>
      <c r="R1785" s="2"/>
      <c r="S1785" s="7">
        <f>Table2[[#This Row],[N]]+Table2[[#This Row],[Pile 
Deviation 
N (m)]]</f>
        <v>1511691.9380000001</v>
      </c>
      <c r="T1785" s="7">
        <f>Table2[[#This Row],[E]]+Table2[[#This Row],[Pile 
Deviation 
E (m)]]</f>
        <v>694119.79099999997</v>
      </c>
      <c r="W1785" s="7">
        <v>0.24</v>
      </c>
      <c r="X1785" s="2" t="s">
        <v>51</v>
      </c>
    </row>
    <row r="1786" spans="1:27" hidden="1" x14ac:dyDescent="0.65">
      <c r="A1786">
        <v>1780</v>
      </c>
      <c r="B1786" t="s">
        <v>29</v>
      </c>
      <c r="C1786" s="6">
        <v>1511691.9369999999</v>
      </c>
      <c r="D1786" s="6">
        <v>693989.88500000001</v>
      </c>
      <c r="E1786" s="2" t="s">
        <v>35</v>
      </c>
      <c r="F1786" s="1">
        <v>24</v>
      </c>
      <c r="G1786" s="2" t="s">
        <v>50</v>
      </c>
      <c r="J1786"/>
      <c r="K1786" s="19"/>
      <c r="L1786" s="21"/>
      <c r="M1786" s="27"/>
      <c r="N1786" s="19"/>
      <c r="O1786" s="21"/>
      <c r="Q1786" s="7">
        <f>Table2[[#This Row],[Elevation
PILE TOP]]-Table2[[#This Row],[LENGTH(m.)
(Actual)]]</f>
        <v>0</v>
      </c>
      <c r="R1786" s="2"/>
      <c r="S1786" s="7">
        <f>Table2[[#This Row],[N]]+Table2[[#This Row],[Pile 
Deviation 
N (m)]]</f>
        <v>1511691.9369999999</v>
      </c>
      <c r="T1786" s="7">
        <f>Table2[[#This Row],[E]]+Table2[[#This Row],[Pile 
Deviation 
E (m)]]</f>
        <v>693989.88500000001</v>
      </c>
      <c r="W1786" s="7">
        <v>0.24</v>
      </c>
      <c r="X1786" s="2" t="s">
        <v>51</v>
      </c>
    </row>
    <row r="1787" spans="1:27" ht="13.95" hidden="1" customHeight="1" x14ac:dyDescent="0.65">
      <c r="A1787">
        <v>1781</v>
      </c>
      <c r="B1787" t="s">
        <v>29</v>
      </c>
      <c r="C1787" s="6">
        <v>1511691.9269999999</v>
      </c>
      <c r="D1787" s="6">
        <v>694100.94299999997</v>
      </c>
      <c r="E1787" s="2" t="s">
        <v>35</v>
      </c>
      <c r="F1787" s="1">
        <v>24</v>
      </c>
      <c r="G1787" s="2" t="s">
        <v>50</v>
      </c>
      <c r="J1787"/>
      <c r="K1787" s="19"/>
      <c r="L1787" s="21"/>
      <c r="M1787" s="27"/>
      <c r="N1787" s="19"/>
      <c r="O1787" s="21"/>
      <c r="Q1787" s="7">
        <f>Table2[[#This Row],[Elevation
PILE TOP]]-Table2[[#This Row],[LENGTH(m.)
(Actual)]]</f>
        <v>0</v>
      </c>
      <c r="R1787" s="2"/>
      <c r="S1787" s="7">
        <f>Table2[[#This Row],[N]]+Table2[[#This Row],[Pile 
Deviation 
N (m)]]</f>
        <v>1511691.9269999999</v>
      </c>
      <c r="T1787" s="7">
        <f>Table2[[#This Row],[E]]+Table2[[#This Row],[Pile 
Deviation 
E (m)]]</f>
        <v>694100.94299999997</v>
      </c>
      <c r="W1787" s="7">
        <v>0.24</v>
      </c>
      <c r="X1787" s="2" t="s">
        <v>51</v>
      </c>
    </row>
    <row r="1788" spans="1:27" hidden="1" x14ac:dyDescent="0.65">
      <c r="A1788">
        <v>1782</v>
      </c>
      <c r="B1788" t="s">
        <v>29</v>
      </c>
      <c r="C1788" s="6">
        <v>1511691.9169999999</v>
      </c>
      <c r="D1788" s="6">
        <v>694082.09400000004</v>
      </c>
      <c r="E1788" s="2" t="s">
        <v>35</v>
      </c>
      <c r="F1788" s="1">
        <v>24</v>
      </c>
      <c r="G1788" s="2" t="s">
        <v>50</v>
      </c>
      <c r="J1788"/>
      <c r="K1788" s="19"/>
      <c r="L1788" s="21"/>
      <c r="M1788" s="27"/>
      <c r="N1788" s="19"/>
      <c r="O1788" s="21"/>
      <c r="Q1788" s="7">
        <f>Table2[[#This Row],[Elevation
PILE TOP]]-Table2[[#This Row],[LENGTH(m.)
(Actual)]]</f>
        <v>0</v>
      </c>
      <c r="R1788" s="2"/>
      <c r="S1788" s="7">
        <f>Table2[[#This Row],[N]]+Table2[[#This Row],[Pile 
Deviation 
N (m)]]</f>
        <v>1511691.9169999999</v>
      </c>
      <c r="T1788" s="7">
        <f>Table2[[#This Row],[E]]+Table2[[#This Row],[Pile 
Deviation 
E (m)]]</f>
        <v>694082.09400000004</v>
      </c>
      <c r="W1788" s="7">
        <v>0.24</v>
      </c>
      <c r="X1788" s="2" t="s">
        <v>51</v>
      </c>
    </row>
    <row r="1789" spans="1:27" ht="13.95" hidden="1" customHeight="1" x14ac:dyDescent="0.65">
      <c r="A1789">
        <v>1783</v>
      </c>
      <c r="B1789" t="s">
        <v>29</v>
      </c>
      <c r="C1789" s="6">
        <v>1511691.9069999999</v>
      </c>
      <c r="D1789" s="6">
        <v>694063.24600000004</v>
      </c>
      <c r="E1789" s="2" t="s">
        <v>35</v>
      </c>
      <c r="F1789" s="1">
        <v>24</v>
      </c>
      <c r="G1789" s="2" t="s">
        <v>50</v>
      </c>
      <c r="J1789"/>
      <c r="K1789" s="19"/>
      <c r="L1789" s="21"/>
      <c r="M1789" s="27"/>
      <c r="N1789" s="19"/>
      <c r="O1789" s="21"/>
      <c r="Q1789" s="7">
        <f>Table2[[#This Row],[Elevation
PILE TOP]]-Table2[[#This Row],[LENGTH(m.)
(Actual)]]</f>
        <v>0</v>
      </c>
      <c r="R1789" s="2"/>
      <c r="S1789" s="7">
        <f>Table2[[#This Row],[N]]+Table2[[#This Row],[Pile 
Deviation 
N (m)]]</f>
        <v>1511691.9069999999</v>
      </c>
      <c r="T1789" s="7">
        <f>Table2[[#This Row],[E]]+Table2[[#This Row],[Pile 
Deviation 
E (m)]]</f>
        <v>694063.24600000004</v>
      </c>
      <c r="W1789" s="7">
        <v>0.24</v>
      </c>
      <c r="X1789" s="2" t="s">
        <v>51</v>
      </c>
    </row>
    <row r="1790" spans="1:27" x14ac:dyDescent="0.65">
      <c r="A1790">
        <v>1784</v>
      </c>
      <c r="B1790" t="s">
        <v>29</v>
      </c>
      <c r="C1790" s="6">
        <v>1511691.9010000001</v>
      </c>
      <c r="D1790" s="6">
        <v>693972.03700000001</v>
      </c>
      <c r="E1790" s="2" t="s">
        <v>35</v>
      </c>
      <c r="F1790" s="1">
        <v>24</v>
      </c>
      <c r="G1790" s="2" t="s">
        <v>50</v>
      </c>
      <c r="J1790"/>
      <c r="K1790" s="19"/>
      <c r="L1790" s="21"/>
      <c r="M1790" s="27"/>
      <c r="N1790" s="19"/>
      <c r="O1790" s="21"/>
      <c r="Q1790" s="7">
        <f>Table2[[#This Row],[Elevation
PILE TOP]]-Table2[[#This Row],[LENGTH(m.)
(Actual)]]</f>
        <v>0</v>
      </c>
      <c r="R1790" s="2"/>
      <c r="S1790" s="7">
        <f>Table2[[#This Row],[N]]+Table2[[#This Row],[Pile 
Deviation 
N (m)]]</f>
        <v>1511691.9010000001</v>
      </c>
      <c r="T1790" s="7">
        <f>Table2[[#This Row],[E]]+Table2[[#This Row],[Pile 
Deviation 
E (m)]]</f>
        <v>693972.03700000001</v>
      </c>
      <c r="W1790" s="7">
        <v>0.24</v>
      </c>
      <c r="X1790" s="2" t="s">
        <v>51</v>
      </c>
      <c r="AA1790" s="9">
        <v>46200</v>
      </c>
    </row>
    <row r="1791" spans="1:27" ht="13.95" hidden="1" customHeight="1" x14ac:dyDescent="0.65">
      <c r="A1791">
        <v>1785</v>
      </c>
      <c r="B1791" t="s">
        <v>29</v>
      </c>
      <c r="C1791" s="6">
        <v>1511691.875</v>
      </c>
      <c r="D1791" s="6">
        <v>694022.027</v>
      </c>
      <c r="E1791" s="2" t="s">
        <v>35</v>
      </c>
      <c r="F1791" s="1">
        <v>24</v>
      </c>
      <c r="G1791" s="2" t="s">
        <v>50</v>
      </c>
      <c r="J1791"/>
      <c r="K1791" s="19"/>
      <c r="L1791" s="21"/>
      <c r="M1791" s="27"/>
      <c r="N1791" s="19"/>
      <c r="O1791" s="21"/>
      <c r="Q1791" s="7">
        <f>Table2[[#This Row],[Elevation
PILE TOP]]-Table2[[#This Row],[LENGTH(m.)
(Actual)]]</f>
        <v>0</v>
      </c>
      <c r="R1791" s="2"/>
      <c r="S1791" s="7">
        <f>Table2[[#This Row],[N]]+Table2[[#This Row],[Pile 
Deviation 
N (m)]]</f>
        <v>1511691.875</v>
      </c>
      <c r="T1791" s="7">
        <f>Table2[[#This Row],[E]]+Table2[[#This Row],[Pile 
Deviation 
E (m)]]</f>
        <v>694022.027</v>
      </c>
      <c r="W1791" s="7">
        <v>0.24</v>
      </c>
      <c r="X1791" s="2" t="s">
        <v>51</v>
      </c>
    </row>
    <row r="1792" spans="1:27" hidden="1" x14ac:dyDescent="0.65">
      <c r="A1792">
        <v>1786</v>
      </c>
      <c r="B1792" t="s">
        <v>29</v>
      </c>
      <c r="C1792" s="6">
        <v>1511691.7150000001</v>
      </c>
      <c r="D1792" s="6">
        <v>694048.12699999998</v>
      </c>
      <c r="E1792" s="2" t="s">
        <v>35</v>
      </c>
      <c r="F1792" s="1">
        <v>24</v>
      </c>
      <c r="G1792" s="2" t="s">
        <v>50</v>
      </c>
      <c r="J1792"/>
      <c r="K1792" s="19"/>
      <c r="L1792" s="21"/>
      <c r="M1792" s="27"/>
      <c r="N1792" s="19"/>
      <c r="O1792" s="21"/>
      <c r="Q1792" s="7">
        <f>Table2[[#This Row],[Elevation
PILE TOP]]-Table2[[#This Row],[LENGTH(m.)
(Actual)]]</f>
        <v>0</v>
      </c>
      <c r="R1792" s="2"/>
      <c r="S1792" s="7">
        <f>Table2[[#This Row],[N]]+Table2[[#This Row],[Pile 
Deviation 
N (m)]]</f>
        <v>1511691.7150000001</v>
      </c>
      <c r="T1792" s="7">
        <f>Table2[[#This Row],[E]]+Table2[[#This Row],[Pile 
Deviation 
E (m)]]</f>
        <v>694048.12699999998</v>
      </c>
      <c r="W1792" s="7">
        <v>0.24</v>
      </c>
      <c r="X1792" s="2" t="s">
        <v>51</v>
      </c>
    </row>
    <row r="1793" spans="1:27" ht="13.95" hidden="1" customHeight="1" x14ac:dyDescent="0.65">
      <c r="A1793">
        <v>1787</v>
      </c>
      <c r="B1793" t="s">
        <v>29</v>
      </c>
      <c r="C1793" s="6">
        <v>1511691.632</v>
      </c>
      <c r="D1793" s="6">
        <v>694006.98699999996</v>
      </c>
      <c r="E1793" s="2" t="s">
        <v>35</v>
      </c>
      <c r="F1793" s="1">
        <v>24</v>
      </c>
      <c r="G1793" s="2" t="s">
        <v>50</v>
      </c>
      <c r="J1793"/>
      <c r="K1793" s="19"/>
      <c r="L1793" s="21"/>
      <c r="M1793" s="27"/>
      <c r="N1793" s="19"/>
      <c r="O1793" s="21"/>
      <c r="Q1793" s="7">
        <f>Table2[[#This Row],[Elevation
PILE TOP]]-Table2[[#This Row],[LENGTH(m.)
(Actual)]]</f>
        <v>0</v>
      </c>
      <c r="R1793" s="2"/>
      <c r="S1793" s="7">
        <f>Table2[[#This Row],[N]]+Table2[[#This Row],[Pile 
Deviation 
N (m)]]</f>
        <v>1511691.632</v>
      </c>
      <c r="T1793" s="7">
        <f>Table2[[#This Row],[E]]+Table2[[#This Row],[Pile 
Deviation 
E (m)]]</f>
        <v>694006.98699999996</v>
      </c>
      <c r="W1793" s="7">
        <v>0.24</v>
      </c>
      <c r="X1793" s="2" t="s">
        <v>51</v>
      </c>
    </row>
    <row r="1794" spans="1:27" hidden="1" x14ac:dyDescent="0.65">
      <c r="A1794">
        <v>1788</v>
      </c>
      <c r="B1794" t="s">
        <v>29</v>
      </c>
      <c r="C1794" s="6">
        <v>1511691.4720000001</v>
      </c>
      <c r="D1794" s="6">
        <v>694033.08700000006</v>
      </c>
      <c r="E1794" s="2" t="s">
        <v>35</v>
      </c>
      <c r="F1794" s="1">
        <v>24</v>
      </c>
      <c r="G1794" s="2" t="s">
        <v>50</v>
      </c>
      <c r="J1794"/>
      <c r="K1794" s="19"/>
      <c r="L1794" s="21"/>
      <c r="M1794" s="27"/>
      <c r="N1794" s="19"/>
      <c r="O1794" s="21"/>
      <c r="Q1794" s="7">
        <f>Table2[[#This Row],[Elevation
PILE TOP]]-Table2[[#This Row],[LENGTH(m.)
(Actual)]]</f>
        <v>0</v>
      </c>
      <c r="R1794" s="2"/>
      <c r="S1794" s="7">
        <f>Table2[[#This Row],[N]]+Table2[[#This Row],[Pile 
Deviation 
N (m)]]</f>
        <v>1511691.4720000001</v>
      </c>
      <c r="T1794" s="7">
        <f>Table2[[#This Row],[E]]+Table2[[#This Row],[Pile 
Deviation 
E (m)]]</f>
        <v>694033.08700000006</v>
      </c>
      <c r="W1794" s="7">
        <v>0.24</v>
      </c>
      <c r="X1794" s="2" t="s">
        <v>51</v>
      </c>
    </row>
    <row r="1795" spans="1:27" ht="13.95" customHeight="1" x14ac:dyDescent="0.65">
      <c r="A1795">
        <v>1789</v>
      </c>
      <c r="B1795" t="s">
        <v>29</v>
      </c>
      <c r="C1795" s="6">
        <v>1511691.436</v>
      </c>
      <c r="D1795" s="6">
        <v>693973.27899999998</v>
      </c>
      <c r="E1795" s="2" t="s">
        <v>35</v>
      </c>
      <c r="F1795" s="1">
        <v>24</v>
      </c>
      <c r="G1795" s="2" t="s">
        <v>50</v>
      </c>
      <c r="J1795"/>
      <c r="K1795" s="19"/>
      <c r="L1795" s="21"/>
      <c r="M1795" s="27"/>
      <c r="N1795" s="19"/>
      <c r="O1795" s="21"/>
      <c r="Q1795" s="7">
        <f>Table2[[#This Row],[Elevation
PILE TOP]]-Table2[[#This Row],[LENGTH(m.)
(Actual)]]</f>
        <v>0</v>
      </c>
      <c r="R1795" s="2"/>
      <c r="S1795" s="7">
        <f>Table2[[#This Row],[N]]+Table2[[#This Row],[Pile 
Deviation 
N (m)]]</f>
        <v>1511691.436</v>
      </c>
      <c r="T1795" s="7">
        <f>Table2[[#This Row],[E]]+Table2[[#This Row],[Pile 
Deviation 
E (m)]]</f>
        <v>693973.27899999998</v>
      </c>
      <c r="W1795" s="7">
        <v>0.24</v>
      </c>
      <c r="X1795" s="2" t="s">
        <v>51</v>
      </c>
      <c r="AA1795" s="9">
        <v>46200</v>
      </c>
    </row>
    <row r="1796" spans="1:27" hidden="1" x14ac:dyDescent="0.65">
      <c r="A1796">
        <v>1790</v>
      </c>
      <c r="B1796" t="s">
        <v>29</v>
      </c>
      <c r="C1796" s="6">
        <v>1511691.294</v>
      </c>
      <c r="D1796" s="6">
        <v>693997.15599999996</v>
      </c>
      <c r="E1796" s="2" t="s">
        <v>35</v>
      </c>
      <c r="F1796" s="1">
        <v>24</v>
      </c>
      <c r="G1796" s="2" t="s">
        <v>50</v>
      </c>
      <c r="J1796"/>
      <c r="K1796" s="19"/>
      <c r="L1796" s="21"/>
      <c r="M1796" s="27"/>
      <c r="N1796" s="19"/>
      <c r="O1796" s="21"/>
      <c r="Q1796" s="7">
        <f>Table2[[#This Row],[Elevation
PILE TOP]]-Table2[[#This Row],[LENGTH(m.)
(Actual)]]</f>
        <v>0</v>
      </c>
      <c r="R1796" s="2"/>
      <c r="S1796" s="7">
        <f>Table2[[#This Row],[N]]+Table2[[#This Row],[Pile 
Deviation 
N (m)]]</f>
        <v>1511691.294</v>
      </c>
      <c r="T1796" s="7">
        <f>Table2[[#This Row],[E]]+Table2[[#This Row],[Pile 
Deviation 
E (m)]]</f>
        <v>693997.15599999996</v>
      </c>
      <c r="W1796" s="7">
        <v>0.24</v>
      </c>
      <c r="X1796" s="2" t="s">
        <v>51</v>
      </c>
    </row>
    <row r="1797" spans="1:27" ht="13.95" hidden="1" customHeight="1" x14ac:dyDescent="0.65">
      <c r="A1797">
        <v>1791</v>
      </c>
      <c r="B1797" t="s">
        <v>29</v>
      </c>
      <c r="C1797" s="6">
        <v>1511691.284</v>
      </c>
      <c r="D1797" s="6">
        <v>694111.99199999997</v>
      </c>
      <c r="E1797" s="2" t="s">
        <v>35</v>
      </c>
      <c r="F1797" s="1">
        <v>24</v>
      </c>
      <c r="G1797" s="2" t="s">
        <v>50</v>
      </c>
      <c r="J1797"/>
      <c r="K1797" s="19"/>
      <c r="L1797" s="21"/>
      <c r="M1797" s="27"/>
      <c r="N1797" s="19"/>
      <c r="O1797" s="21"/>
      <c r="Q1797" s="7">
        <f>Table2[[#This Row],[Elevation
PILE TOP]]-Table2[[#This Row],[LENGTH(m.)
(Actual)]]</f>
        <v>0</v>
      </c>
      <c r="R1797" s="2"/>
      <c r="S1797" s="7">
        <f>Table2[[#This Row],[N]]+Table2[[#This Row],[Pile 
Deviation 
N (m)]]</f>
        <v>1511691.284</v>
      </c>
      <c r="T1797" s="7">
        <f>Table2[[#This Row],[E]]+Table2[[#This Row],[Pile 
Deviation 
E (m)]]</f>
        <v>694111.99199999997</v>
      </c>
      <c r="W1797" s="7">
        <v>0.24</v>
      </c>
      <c r="X1797" s="2" t="s">
        <v>51</v>
      </c>
    </row>
    <row r="1798" spans="1:27" hidden="1" x14ac:dyDescent="0.65">
      <c r="A1798">
        <v>1792</v>
      </c>
      <c r="B1798" t="s">
        <v>29</v>
      </c>
      <c r="C1798" s="6">
        <v>1511691.273</v>
      </c>
      <c r="D1798" s="6">
        <v>694093.14399999997</v>
      </c>
      <c r="E1798" s="2" t="s">
        <v>35</v>
      </c>
      <c r="F1798" s="1">
        <v>24</v>
      </c>
      <c r="G1798" s="2" t="s">
        <v>50</v>
      </c>
      <c r="J1798"/>
      <c r="K1798" s="19"/>
      <c r="L1798" s="21"/>
      <c r="M1798" s="27"/>
      <c r="N1798" s="19"/>
      <c r="O1798" s="21"/>
      <c r="Q1798" s="7">
        <f>Table2[[#This Row],[Elevation
PILE TOP]]-Table2[[#This Row],[LENGTH(m.)
(Actual)]]</f>
        <v>0</v>
      </c>
      <c r="R1798" s="2"/>
      <c r="S1798" s="7">
        <f>Table2[[#This Row],[N]]+Table2[[#This Row],[Pile 
Deviation 
N (m)]]</f>
        <v>1511691.273</v>
      </c>
      <c r="T1798" s="7">
        <f>Table2[[#This Row],[E]]+Table2[[#This Row],[Pile 
Deviation 
E (m)]]</f>
        <v>694093.14399999997</v>
      </c>
      <c r="W1798" s="7">
        <v>0.24</v>
      </c>
      <c r="X1798" s="2" t="s">
        <v>51</v>
      </c>
    </row>
    <row r="1799" spans="1:27" ht="13.95" hidden="1" customHeight="1" x14ac:dyDescent="0.65">
      <c r="A1799">
        <v>1793</v>
      </c>
      <c r="B1799" t="s">
        <v>29</v>
      </c>
      <c r="C1799" s="6">
        <v>1511691.263</v>
      </c>
      <c r="D1799" s="6">
        <v>694074.29599999997</v>
      </c>
      <c r="E1799" s="2" t="s">
        <v>35</v>
      </c>
      <c r="F1799" s="1">
        <v>24</v>
      </c>
      <c r="G1799" s="2" t="s">
        <v>50</v>
      </c>
      <c r="J1799"/>
      <c r="K1799" s="19"/>
      <c r="L1799" s="21"/>
      <c r="M1799" s="27"/>
      <c r="N1799" s="19"/>
      <c r="O1799" s="21"/>
      <c r="Q1799" s="7">
        <f>Table2[[#This Row],[Elevation
PILE TOP]]-Table2[[#This Row],[LENGTH(m.)
(Actual)]]</f>
        <v>0</v>
      </c>
      <c r="R1799" s="2"/>
      <c r="S1799" s="7">
        <f>Table2[[#This Row],[N]]+Table2[[#This Row],[Pile 
Deviation 
N (m)]]</f>
        <v>1511691.263</v>
      </c>
      <c r="T1799" s="7">
        <f>Table2[[#This Row],[E]]+Table2[[#This Row],[Pile 
Deviation 
E (m)]]</f>
        <v>694074.29599999997</v>
      </c>
      <c r="W1799" s="7">
        <v>0.24</v>
      </c>
      <c r="X1799" s="2" t="s">
        <v>51</v>
      </c>
    </row>
    <row r="1800" spans="1:27" hidden="1" x14ac:dyDescent="0.65">
      <c r="A1800">
        <v>1794</v>
      </c>
      <c r="B1800" t="s">
        <v>29</v>
      </c>
      <c r="C1800" s="6">
        <v>1511691.2520000001</v>
      </c>
      <c r="D1800" s="6">
        <v>694055.44799999997</v>
      </c>
      <c r="E1800" s="2" t="s">
        <v>35</v>
      </c>
      <c r="F1800" s="1">
        <v>24</v>
      </c>
      <c r="G1800" s="2" t="s">
        <v>50</v>
      </c>
      <c r="J1800"/>
      <c r="K1800" s="19"/>
      <c r="L1800" s="21"/>
      <c r="M1800" s="27"/>
      <c r="N1800" s="19"/>
      <c r="O1800" s="21"/>
      <c r="Q1800" s="7">
        <f>Table2[[#This Row],[Elevation
PILE TOP]]-Table2[[#This Row],[LENGTH(m.)
(Actual)]]</f>
        <v>0</v>
      </c>
      <c r="R1800" s="2"/>
      <c r="S1800" s="7">
        <f>Table2[[#This Row],[N]]+Table2[[#This Row],[Pile 
Deviation 
N (m)]]</f>
        <v>1511691.2520000001</v>
      </c>
      <c r="T1800" s="7">
        <f>Table2[[#This Row],[E]]+Table2[[#This Row],[Pile 
Deviation 
E (m)]]</f>
        <v>694055.44799999997</v>
      </c>
      <c r="W1800" s="7">
        <v>0.24</v>
      </c>
      <c r="X1800" s="2" t="s">
        <v>51</v>
      </c>
    </row>
    <row r="1801" spans="1:27" ht="13.95" hidden="1" customHeight="1" x14ac:dyDescent="0.65">
      <c r="A1801">
        <v>1795</v>
      </c>
      <c r="B1801" t="s">
        <v>29</v>
      </c>
      <c r="C1801" s="6">
        <v>1511691.2439999999</v>
      </c>
      <c r="D1801" s="6">
        <v>693986.45400000003</v>
      </c>
      <c r="E1801" s="2" t="s">
        <v>35</v>
      </c>
      <c r="F1801" s="1">
        <v>24</v>
      </c>
      <c r="G1801" s="2" t="s">
        <v>50</v>
      </c>
      <c r="J1801"/>
      <c r="K1801" s="19"/>
      <c r="L1801" s="21"/>
      <c r="M1801" s="27"/>
      <c r="N1801" s="19"/>
      <c r="O1801" s="21"/>
      <c r="Q1801" s="7">
        <f>Table2[[#This Row],[Elevation
PILE TOP]]-Table2[[#This Row],[LENGTH(m.)
(Actual)]]</f>
        <v>0</v>
      </c>
      <c r="R1801" s="2"/>
      <c r="S1801" s="7">
        <f>Table2[[#This Row],[N]]+Table2[[#This Row],[Pile 
Deviation 
N (m)]]</f>
        <v>1511691.2439999999</v>
      </c>
      <c r="T1801" s="7">
        <f>Table2[[#This Row],[E]]+Table2[[#This Row],[Pile 
Deviation 
E (m)]]</f>
        <v>693986.45400000003</v>
      </c>
      <c r="W1801" s="7">
        <v>0.24</v>
      </c>
      <c r="X1801" s="2" t="s">
        <v>51</v>
      </c>
    </row>
    <row r="1802" spans="1:27" hidden="1" x14ac:dyDescent="0.65">
      <c r="A1802">
        <v>1796</v>
      </c>
      <c r="B1802" t="s">
        <v>29</v>
      </c>
      <c r="C1802" s="6">
        <v>1511691.0689999999</v>
      </c>
      <c r="D1802" s="6">
        <v>694044.14800000004</v>
      </c>
      <c r="E1802" s="2" t="s">
        <v>35</v>
      </c>
      <c r="F1802" s="1">
        <v>24</v>
      </c>
      <c r="G1802" s="2" t="s">
        <v>50</v>
      </c>
      <c r="J1802"/>
      <c r="K1802" s="19"/>
      <c r="L1802" s="21"/>
      <c r="M1802" s="27"/>
      <c r="N1802" s="19"/>
      <c r="O1802" s="21"/>
      <c r="Q1802" s="7">
        <f>Table2[[#This Row],[Elevation
PILE TOP]]-Table2[[#This Row],[LENGTH(m.)
(Actual)]]</f>
        <v>0</v>
      </c>
      <c r="R1802" s="2"/>
      <c r="S1802" s="7">
        <f>Table2[[#This Row],[N]]+Table2[[#This Row],[Pile 
Deviation 
N (m)]]</f>
        <v>1511691.0689999999</v>
      </c>
      <c r="T1802" s="7">
        <f>Table2[[#This Row],[E]]+Table2[[#This Row],[Pile 
Deviation 
E (m)]]</f>
        <v>694044.14800000004</v>
      </c>
      <c r="W1802" s="7">
        <v>0.24</v>
      </c>
      <c r="X1802" s="2" t="s">
        <v>51</v>
      </c>
    </row>
    <row r="1803" spans="1:27" ht="13.95" hidden="1" customHeight="1" x14ac:dyDescent="0.65">
      <c r="A1803">
        <v>1797</v>
      </c>
      <c r="B1803" t="s">
        <v>29</v>
      </c>
      <c r="C1803" s="6">
        <v>1511691.051</v>
      </c>
      <c r="D1803" s="6">
        <v>694014.24399999995</v>
      </c>
      <c r="E1803" s="2" t="s">
        <v>35</v>
      </c>
      <c r="F1803" s="1">
        <v>24</v>
      </c>
      <c r="G1803" s="2" t="s">
        <v>50</v>
      </c>
      <c r="J1803"/>
      <c r="K1803" s="19"/>
      <c r="L1803" s="21"/>
      <c r="M1803" s="27"/>
      <c r="N1803" s="19"/>
      <c r="O1803" s="21"/>
      <c r="Q1803" s="7">
        <f>Table2[[#This Row],[Elevation
PILE TOP]]-Table2[[#This Row],[LENGTH(m.)
(Actual)]]</f>
        <v>0</v>
      </c>
      <c r="R1803" s="2"/>
      <c r="S1803" s="7">
        <f>Table2[[#This Row],[N]]+Table2[[#This Row],[Pile 
Deviation 
N (m)]]</f>
        <v>1511691.051</v>
      </c>
      <c r="T1803" s="7">
        <f>Table2[[#This Row],[E]]+Table2[[#This Row],[Pile 
Deviation 
E (m)]]</f>
        <v>694014.24399999995</v>
      </c>
      <c r="W1803" s="7">
        <v>0.24</v>
      </c>
      <c r="X1803" s="2" t="s">
        <v>51</v>
      </c>
    </row>
    <row r="1804" spans="1:27" hidden="1" x14ac:dyDescent="0.65">
      <c r="A1804">
        <v>1798</v>
      </c>
      <c r="B1804" t="s">
        <v>29</v>
      </c>
      <c r="C1804" s="6">
        <v>1511690.7749999999</v>
      </c>
      <c r="D1804" s="6">
        <v>693863.15399999998</v>
      </c>
      <c r="E1804" s="2" t="s">
        <v>35</v>
      </c>
      <c r="F1804" s="1">
        <v>24</v>
      </c>
      <c r="G1804" s="2" t="s">
        <v>50</v>
      </c>
      <c r="J1804"/>
      <c r="K1804" s="19"/>
      <c r="L1804" s="21"/>
      <c r="M1804" s="27"/>
      <c r="N1804" s="19"/>
      <c r="O1804" s="21"/>
      <c r="Q1804" s="7">
        <f>Table2[[#This Row],[Elevation
PILE TOP]]-Table2[[#This Row],[LENGTH(m.)
(Actual)]]</f>
        <v>0</v>
      </c>
      <c r="R1804" s="2"/>
      <c r="S1804" s="7">
        <f>Table2[[#This Row],[N]]+Table2[[#This Row],[Pile 
Deviation 
N (m)]]</f>
        <v>1511690.7749999999</v>
      </c>
      <c r="T1804" s="7">
        <f>Table2[[#This Row],[E]]+Table2[[#This Row],[Pile 
Deviation 
E (m)]]</f>
        <v>693863.15399999998</v>
      </c>
      <c r="W1804" s="7">
        <v>0.24</v>
      </c>
      <c r="X1804" s="2" t="s">
        <v>51</v>
      </c>
      <c r="AA1804" s="9">
        <v>46210</v>
      </c>
    </row>
    <row r="1805" spans="1:27" ht="13.95" hidden="1" customHeight="1" x14ac:dyDescent="0.65">
      <c r="A1805">
        <v>1799</v>
      </c>
      <c r="B1805" t="s">
        <v>29</v>
      </c>
      <c r="C1805" s="6">
        <v>1511690.726</v>
      </c>
      <c r="D1805" s="6">
        <v>693980.16799999995</v>
      </c>
      <c r="E1805" s="2" t="s">
        <v>35</v>
      </c>
      <c r="F1805" s="1">
        <v>24</v>
      </c>
      <c r="G1805" s="2" t="s">
        <v>50</v>
      </c>
      <c r="J1805"/>
      <c r="K1805" s="19"/>
      <c r="L1805" s="21"/>
      <c r="M1805" s="27"/>
      <c r="N1805" s="19"/>
      <c r="O1805" s="21"/>
      <c r="Q1805" s="7">
        <f>Table2[[#This Row],[Elevation
PILE TOP]]-Table2[[#This Row],[LENGTH(m.)
(Actual)]]</f>
        <v>0</v>
      </c>
      <c r="R1805" s="2"/>
      <c r="S1805" s="7">
        <f>Table2[[#This Row],[N]]+Table2[[#This Row],[Pile 
Deviation 
N (m)]]</f>
        <v>1511690.726</v>
      </c>
      <c r="T1805" s="7">
        <f>Table2[[#This Row],[E]]+Table2[[#This Row],[Pile 
Deviation 
E (m)]]</f>
        <v>693980.16799999995</v>
      </c>
      <c r="W1805" s="7">
        <v>0.24</v>
      </c>
      <c r="X1805" s="2" t="s">
        <v>51</v>
      </c>
    </row>
    <row r="1806" spans="1:27" hidden="1" x14ac:dyDescent="0.65">
      <c r="A1806">
        <v>1800</v>
      </c>
      <c r="B1806" t="s">
        <v>29</v>
      </c>
      <c r="C1806" s="6">
        <v>1511690.648</v>
      </c>
      <c r="D1806" s="6">
        <v>694025.30500000005</v>
      </c>
      <c r="E1806" s="2" t="s">
        <v>35</v>
      </c>
      <c r="F1806" s="1">
        <v>24</v>
      </c>
      <c r="G1806" s="2" t="s">
        <v>50</v>
      </c>
      <c r="J1806"/>
      <c r="K1806" s="19"/>
      <c r="L1806" s="21"/>
      <c r="M1806" s="27"/>
      <c r="N1806" s="19"/>
      <c r="O1806" s="21"/>
      <c r="Q1806" s="7">
        <f>Table2[[#This Row],[Elevation
PILE TOP]]-Table2[[#This Row],[LENGTH(m.)
(Actual)]]</f>
        <v>0</v>
      </c>
      <c r="R1806" s="2"/>
      <c r="S1806" s="7">
        <f>Table2[[#This Row],[N]]+Table2[[#This Row],[Pile 
Deviation 
N (m)]]</f>
        <v>1511690.648</v>
      </c>
      <c r="T1806" s="7">
        <f>Table2[[#This Row],[E]]+Table2[[#This Row],[Pile 
Deviation 
E (m)]]</f>
        <v>694025.30500000005</v>
      </c>
      <c r="W1806" s="7">
        <v>0.24</v>
      </c>
      <c r="X1806" s="2" t="s">
        <v>51</v>
      </c>
    </row>
    <row r="1807" spans="1:27" ht="13.95" hidden="1" customHeight="1" x14ac:dyDescent="0.65">
      <c r="A1807">
        <v>1801</v>
      </c>
      <c r="B1807" t="s">
        <v>29</v>
      </c>
      <c r="C1807" s="6">
        <v>1511690.64</v>
      </c>
      <c r="D1807" s="6">
        <v>694123.04099999997</v>
      </c>
      <c r="E1807" s="2" t="s">
        <v>35</v>
      </c>
      <c r="F1807" s="1">
        <v>24</v>
      </c>
      <c r="G1807" s="2" t="s">
        <v>50</v>
      </c>
      <c r="J1807"/>
      <c r="K1807" s="19"/>
      <c r="L1807" s="21"/>
      <c r="M1807" s="27"/>
      <c r="N1807" s="19"/>
      <c r="O1807" s="21"/>
      <c r="Q1807" s="7">
        <f>Table2[[#This Row],[Elevation
PILE TOP]]-Table2[[#This Row],[LENGTH(m.)
(Actual)]]</f>
        <v>0</v>
      </c>
      <c r="R1807" s="2"/>
      <c r="S1807" s="7">
        <f>Table2[[#This Row],[N]]+Table2[[#This Row],[Pile 
Deviation 
N (m)]]</f>
        <v>1511690.64</v>
      </c>
      <c r="T1807" s="7">
        <f>Table2[[#This Row],[E]]+Table2[[#This Row],[Pile 
Deviation 
E (m)]]</f>
        <v>694123.04099999997</v>
      </c>
      <c r="W1807" s="7">
        <v>0.24</v>
      </c>
      <c r="X1807" s="2" t="s">
        <v>51</v>
      </c>
    </row>
    <row r="1808" spans="1:27" hidden="1" x14ac:dyDescent="0.65">
      <c r="A1808">
        <v>1802</v>
      </c>
      <c r="B1808" t="s">
        <v>29</v>
      </c>
      <c r="C1808" s="6">
        <v>1511690.629</v>
      </c>
      <c r="D1808" s="6">
        <v>694104.19299999997</v>
      </c>
      <c r="E1808" s="2" t="s">
        <v>35</v>
      </c>
      <c r="F1808" s="1">
        <v>24</v>
      </c>
      <c r="G1808" s="2" t="s">
        <v>50</v>
      </c>
      <c r="J1808"/>
      <c r="K1808" s="19"/>
      <c r="L1808" s="21"/>
      <c r="M1808" s="27"/>
      <c r="N1808" s="19"/>
      <c r="O1808" s="21"/>
      <c r="Q1808" s="7">
        <f>Table2[[#This Row],[Elevation
PILE TOP]]-Table2[[#This Row],[LENGTH(m.)
(Actual)]]</f>
        <v>0</v>
      </c>
      <c r="R1808" s="2"/>
      <c r="S1808" s="7">
        <f>Table2[[#This Row],[N]]+Table2[[#This Row],[Pile 
Deviation 
N (m)]]</f>
        <v>1511690.629</v>
      </c>
      <c r="T1808" s="7">
        <f>Table2[[#This Row],[E]]+Table2[[#This Row],[Pile 
Deviation 
E (m)]]</f>
        <v>694104.19299999997</v>
      </c>
      <c r="W1808" s="7">
        <v>0.24</v>
      </c>
      <c r="X1808" s="2" t="s">
        <v>51</v>
      </c>
    </row>
    <row r="1809" spans="1:27" ht="13.95" hidden="1" customHeight="1" x14ac:dyDescent="0.65">
      <c r="A1809">
        <v>1803</v>
      </c>
      <c r="B1809" t="s">
        <v>29</v>
      </c>
      <c r="C1809" s="6">
        <v>1511690.6189999999</v>
      </c>
      <c r="D1809" s="6">
        <v>694085.34499999997</v>
      </c>
      <c r="E1809" s="2" t="s">
        <v>35</v>
      </c>
      <c r="F1809" s="1">
        <v>24</v>
      </c>
      <c r="G1809" s="2" t="s">
        <v>50</v>
      </c>
      <c r="J1809"/>
      <c r="K1809" s="19"/>
      <c r="L1809" s="21"/>
      <c r="M1809" s="27"/>
      <c r="N1809" s="19"/>
      <c r="O1809" s="21"/>
      <c r="Q1809" s="7">
        <f>Table2[[#This Row],[Elevation
PILE TOP]]-Table2[[#This Row],[LENGTH(m.)
(Actual)]]</f>
        <v>0</v>
      </c>
      <c r="R1809" s="2"/>
      <c r="S1809" s="7">
        <f>Table2[[#This Row],[N]]+Table2[[#This Row],[Pile 
Deviation 
N (m)]]</f>
        <v>1511690.6189999999</v>
      </c>
      <c r="T1809" s="7">
        <f>Table2[[#This Row],[E]]+Table2[[#This Row],[Pile 
Deviation 
E (m)]]</f>
        <v>694085.34499999997</v>
      </c>
      <c r="W1809" s="7">
        <v>0.24</v>
      </c>
      <c r="X1809" s="2" t="s">
        <v>51</v>
      </c>
    </row>
    <row r="1810" spans="1:27" hidden="1" x14ac:dyDescent="0.65">
      <c r="A1810">
        <v>1804</v>
      </c>
      <c r="B1810" t="s">
        <v>29</v>
      </c>
      <c r="C1810" s="6">
        <v>1511690.608</v>
      </c>
      <c r="D1810" s="6">
        <v>694066.49699999997</v>
      </c>
      <c r="E1810" s="2" t="s">
        <v>35</v>
      </c>
      <c r="F1810" s="1">
        <v>24</v>
      </c>
      <c r="G1810" s="2" t="s">
        <v>50</v>
      </c>
      <c r="J1810"/>
      <c r="K1810" s="19"/>
      <c r="L1810" s="21"/>
      <c r="M1810" s="27"/>
      <c r="N1810" s="19"/>
      <c r="O1810" s="21"/>
      <c r="Q1810" s="7">
        <f>Table2[[#This Row],[Elevation
PILE TOP]]-Table2[[#This Row],[LENGTH(m.)
(Actual)]]</f>
        <v>0</v>
      </c>
      <c r="R1810" s="2"/>
      <c r="S1810" s="7">
        <f>Table2[[#This Row],[N]]+Table2[[#This Row],[Pile 
Deviation 
N (m)]]</f>
        <v>1511690.608</v>
      </c>
      <c r="T1810" s="7">
        <f>Table2[[#This Row],[E]]+Table2[[#This Row],[Pile 
Deviation 
E (m)]]</f>
        <v>694066.49699999997</v>
      </c>
      <c r="W1810" s="7">
        <v>0.24</v>
      </c>
      <c r="X1810" s="2" t="s">
        <v>51</v>
      </c>
    </row>
    <row r="1811" spans="1:27" ht="13.95" hidden="1" customHeight="1" x14ac:dyDescent="0.65">
      <c r="A1811">
        <v>1805</v>
      </c>
      <c r="B1811" t="s">
        <v>29</v>
      </c>
      <c r="C1811" s="6">
        <v>1511690.5519999999</v>
      </c>
      <c r="D1811" s="6">
        <v>693983.02300000004</v>
      </c>
      <c r="E1811" s="2" t="s">
        <v>35</v>
      </c>
      <c r="F1811" s="1">
        <v>24</v>
      </c>
      <c r="G1811" s="2" t="s">
        <v>50</v>
      </c>
      <c r="J1811"/>
      <c r="K1811" s="19"/>
      <c r="L1811" s="21"/>
      <c r="M1811" s="27"/>
      <c r="N1811" s="19"/>
      <c r="O1811" s="21"/>
      <c r="Q1811" s="7">
        <f>Table2[[#This Row],[Elevation
PILE TOP]]-Table2[[#This Row],[LENGTH(m.)
(Actual)]]</f>
        <v>0</v>
      </c>
      <c r="R1811" s="2"/>
      <c r="S1811" s="7">
        <f>Table2[[#This Row],[N]]+Table2[[#This Row],[Pile 
Deviation 
N (m)]]</f>
        <v>1511690.5519999999</v>
      </c>
      <c r="T1811" s="7">
        <f>Table2[[#This Row],[E]]+Table2[[#This Row],[Pile 
Deviation 
E (m)]]</f>
        <v>693983.02300000004</v>
      </c>
      <c r="W1811" s="7">
        <v>0.24</v>
      </c>
      <c r="X1811" s="2" t="s">
        <v>51</v>
      </c>
    </row>
    <row r="1812" spans="1:27" hidden="1" x14ac:dyDescent="0.65">
      <c r="A1812">
        <v>1806</v>
      </c>
      <c r="B1812" t="s">
        <v>29</v>
      </c>
      <c r="C1812" s="6">
        <v>1511690.4879999999</v>
      </c>
      <c r="D1812" s="6">
        <v>694051.40500000003</v>
      </c>
      <c r="E1812" s="2" t="s">
        <v>35</v>
      </c>
      <c r="F1812" s="1">
        <v>24</v>
      </c>
      <c r="G1812" s="2" t="s">
        <v>50</v>
      </c>
      <c r="J1812"/>
      <c r="K1812" s="19"/>
      <c r="L1812" s="21"/>
      <c r="M1812" s="27"/>
      <c r="N1812" s="19"/>
      <c r="O1812" s="21"/>
      <c r="Q1812" s="7">
        <f>Table2[[#This Row],[Elevation
PILE TOP]]-Table2[[#This Row],[LENGTH(m.)
(Actual)]]</f>
        <v>0</v>
      </c>
      <c r="R1812" s="2"/>
      <c r="S1812" s="7">
        <f>Table2[[#This Row],[N]]+Table2[[#This Row],[Pile 
Deviation 
N (m)]]</f>
        <v>1511690.4879999999</v>
      </c>
      <c r="T1812" s="7">
        <f>Table2[[#This Row],[E]]+Table2[[#This Row],[Pile 
Deviation 
E (m)]]</f>
        <v>694051.40500000003</v>
      </c>
      <c r="W1812" s="7">
        <v>0.24</v>
      </c>
      <c r="X1812" s="2" t="s">
        <v>51</v>
      </c>
    </row>
    <row r="1813" spans="1:27" ht="13.95" hidden="1" customHeight="1" x14ac:dyDescent="0.65">
      <c r="A1813">
        <v>1807</v>
      </c>
      <c r="B1813" t="s">
        <v>29</v>
      </c>
      <c r="C1813" s="6">
        <v>1511690.405</v>
      </c>
      <c r="D1813" s="6">
        <v>694010.26500000001</v>
      </c>
      <c r="E1813" s="2" t="s">
        <v>35</v>
      </c>
      <c r="F1813" s="1">
        <v>24</v>
      </c>
      <c r="G1813" s="2" t="s">
        <v>50</v>
      </c>
      <c r="J1813"/>
      <c r="K1813" s="19"/>
      <c r="L1813" s="21"/>
      <c r="M1813" s="27"/>
      <c r="N1813" s="19"/>
      <c r="O1813" s="21"/>
      <c r="Q1813" s="7">
        <f>Table2[[#This Row],[Elevation
PILE TOP]]-Table2[[#This Row],[LENGTH(m.)
(Actual)]]</f>
        <v>0</v>
      </c>
      <c r="R1813" s="2"/>
      <c r="S1813" s="7">
        <f>Table2[[#This Row],[N]]+Table2[[#This Row],[Pile 
Deviation 
N (m)]]</f>
        <v>1511690.405</v>
      </c>
      <c r="T1813" s="7">
        <f>Table2[[#This Row],[E]]+Table2[[#This Row],[Pile 
Deviation 
E (m)]]</f>
        <v>694010.26500000001</v>
      </c>
      <c r="W1813" s="7">
        <v>0.24</v>
      </c>
      <c r="X1813" s="2" t="s">
        <v>51</v>
      </c>
    </row>
    <row r="1814" spans="1:27" hidden="1" x14ac:dyDescent="0.65">
      <c r="A1814">
        <v>1808</v>
      </c>
      <c r="B1814" t="s">
        <v>29</v>
      </c>
      <c r="C1814" s="6">
        <v>1511690.3219999999</v>
      </c>
      <c r="D1814" s="6">
        <v>693993.78200000001</v>
      </c>
      <c r="E1814" s="2" t="s">
        <v>35</v>
      </c>
      <c r="F1814" s="1">
        <v>24</v>
      </c>
      <c r="G1814" s="2" t="s">
        <v>50</v>
      </c>
      <c r="J1814"/>
      <c r="K1814" s="19"/>
      <c r="L1814" s="21"/>
      <c r="M1814" s="27"/>
      <c r="N1814" s="19"/>
      <c r="O1814" s="21"/>
      <c r="Q1814" s="7">
        <f>Table2[[#This Row],[Elevation
PILE TOP]]-Table2[[#This Row],[LENGTH(m.)
(Actual)]]</f>
        <v>0</v>
      </c>
      <c r="R1814" s="2"/>
      <c r="S1814" s="7">
        <f>Table2[[#This Row],[N]]+Table2[[#This Row],[Pile 
Deviation 
N (m)]]</f>
        <v>1511690.3219999999</v>
      </c>
      <c r="T1814" s="7">
        <f>Table2[[#This Row],[E]]+Table2[[#This Row],[Pile 
Deviation 
E (m)]]</f>
        <v>693993.78200000001</v>
      </c>
      <c r="W1814" s="7">
        <v>0.24</v>
      </c>
      <c r="X1814" s="2" t="s">
        <v>51</v>
      </c>
    </row>
    <row r="1815" spans="1:27" ht="13.95" hidden="1" customHeight="1" x14ac:dyDescent="0.65">
      <c r="A1815">
        <v>1809</v>
      </c>
      <c r="B1815" t="s">
        <v>29</v>
      </c>
      <c r="C1815" s="6">
        <v>1511690.2450000001</v>
      </c>
      <c r="D1815" s="6">
        <v>694036.36499999999</v>
      </c>
      <c r="E1815" s="2" t="s">
        <v>35</v>
      </c>
      <c r="F1815" s="1">
        <v>24</v>
      </c>
      <c r="G1815" s="2" t="s">
        <v>50</v>
      </c>
      <c r="J1815"/>
      <c r="K1815" s="19"/>
      <c r="L1815" s="21"/>
      <c r="M1815" s="27"/>
      <c r="N1815" s="19"/>
      <c r="O1815" s="21"/>
      <c r="Q1815" s="7">
        <f>Table2[[#This Row],[Elevation
PILE TOP]]-Table2[[#This Row],[LENGTH(m.)
(Actual)]]</f>
        <v>0</v>
      </c>
      <c r="R1815" s="2"/>
      <c r="S1815" s="7">
        <f>Table2[[#This Row],[N]]+Table2[[#This Row],[Pile 
Deviation 
N (m)]]</f>
        <v>1511690.2450000001</v>
      </c>
      <c r="T1815" s="7">
        <f>Table2[[#This Row],[E]]+Table2[[#This Row],[Pile 
Deviation 
E (m)]]</f>
        <v>694036.36499999999</v>
      </c>
      <c r="W1815" s="7">
        <v>0.24</v>
      </c>
      <c r="X1815" s="2" t="s">
        <v>51</v>
      </c>
    </row>
    <row r="1816" spans="1:27" x14ac:dyDescent="0.65">
      <c r="A1816">
        <v>1810</v>
      </c>
      <c r="B1816" t="s">
        <v>29</v>
      </c>
      <c r="C1816" s="6">
        <v>1511690.209</v>
      </c>
      <c r="D1816" s="6">
        <v>693976.55700000003</v>
      </c>
      <c r="E1816" s="2" t="s">
        <v>35</v>
      </c>
      <c r="F1816" s="1">
        <v>24</v>
      </c>
      <c r="G1816" s="2" t="s">
        <v>50</v>
      </c>
      <c r="J1816"/>
      <c r="K1816" s="19"/>
      <c r="L1816" s="21"/>
      <c r="M1816" s="27"/>
      <c r="N1816" s="19"/>
      <c r="O1816" s="21"/>
      <c r="Q1816" s="7">
        <f>Table2[[#This Row],[Elevation
PILE TOP]]-Table2[[#This Row],[LENGTH(m.)
(Actual)]]</f>
        <v>0</v>
      </c>
      <c r="R1816" s="2"/>
      <c r="S1816" s="7">
        <f>Table2[[#This Row],[N]]+Table2[[#This Row],[Pile 
Deviation 
N (m)]]</f>
        <v>1511690.209</v>
      </c>
      <c r="T1816" s="7">
        <f>Table2[[#This Row],[E]]+Table2[[#This Row],[Pile 
Deviation 
E (m)]]</f>
        <v>693976.55700000003</v>
      </c>
      <c r="W1816" s="7">
        <v>0.24</v>
      </c>
      <c r="X1816" s="2" t="s">
        <v>51</v>
      </c>
      <c r="AA1816" s="9">
        <v>46200</v>
      </c>
    </row>
    <row r="1817" spans="1:27" ht="13.95" hidden="1" customHeight="1" x14ac:dyDescent="0.65">
      <c r="A1817">
        <v>1811</v>
      </c>
      <c r="B1817" t="s">
        <v>29</v>
      </c>
      <c r="C1817" s="6">
        <v>1511689.986</v>
      </c>
      <c r="D1817" s="6">
        <v>694115.24199999997</v>
      </c>
      <c r="E1817" s="2" t="s">
        <v>35</v>
      </c>
      <c r="F1817" s="1">
        <v>24</v>
      </c>
      <c r="G1817" s="2" t="s">
        <v>50</v>
      </c>
      <c r="J1817"/>
      <c r="K1817" s="19"/>
      <c r="L1817" s="21"/>
      <c r="M1817" s="27"/>
      <c r="N1817" s="19"/>
      <c r="O1817" s="21"/>
      <c r="Q1817" s="7">
        <f>Table2[[#This Row],[Elevation
PILE TOP]]-Table2[[#This Row],[LENGTH(m.)
(Actual)]]</f>
        <v>0</v>
      </c>
      <c r="R1817" s="2"/>
      <c r="S1817" s="7">
        <f>Table2[[#This Row],[N]]+Table2[[#This Row],[Pile 
Deviation 
N (m)]]</f>
        <v>1511689.986</v>
      </c>
      <c r="T1817" s="7">
        <f>Table2[[#This Row],[E]]+Table2[[#This Row],[Pile 
Deviation 
E (m)]]</f>
        <v>694115.24199999997</v>
      </c>
      <c r="W1817" s="7">
        <v>0.24</v>
      </c>
      <c r="X1817" s="2" t="s">
        <v>51</v>
      </c>
    </row>
    <row r="1818" spans="1:27" hidden="1" x14ac:dyDescent="0.65">
      <c r="A1818">
        <v>1812</v>
      </c>
      <c r="B1818" t="s">
        <v>29</v>
      </c>
      <c r="C1818" s="6">
        <v>1511689.9750000001</v>
      </c>
      <c r="D1818" s="6">
        <v>694096.39399999997</v>
      </c>
      <c r="E1818" s="2" t="s">
        <v>35</v>
      </c>
      <c r="F1818" s="1">
        <v>24</v>
      </c>
      <c r="G1818" s="2" t="s">
        <v>50</v>
      </c>
      <c r="J1818"/>
      <c r="K1818" s="19"/>
      <c r="L1818" s="21"/>
      <c r="M1818" s="27"/>
      <c r="N1818" s="19"/>
      <c r="O1818" s="21"/>
      <c r="Q1818" s="7">
        <f>Table2[[#This Row],[Elevation
PILE TOP]]-Table2[[#This Row],[LENGTH(m.)
(Actual)]]</f>
        <v>0</v>
      </c>
      <c r="R1818" s="2"/>
      <c r="S1818" s="7">
        <f>Table2[[#This Row],[N]]+Table2[[#This Row],[Pile 
Deviation 
N (m)]]</f>
        <v>1511689.9750000001</v>
      </c>
      <c r="T1818" s="7">
        <f>Table2[[#This Row],[E]]+Table2[[#This Row],[Pile 
Deviation 
E (m)]]</f>
        <v>694096.39399999997</v>
      </c>
      <c r="W1818" s="7">
        <v>0.24</v>
      </c>
      <c r="X1818" s="2" t="s">
        <v>51</v>
      </c>
    </row>
    <row r="1819" spans="1:27" ht="13.95" hidden="1" customHeight="1" x14ac:dyDescent="0.65">
      <c r="A1819">
        <v>1813</v>
      </c>
      <c r="B1819" t="s">
        <v>29</v>
      </c>
      <c r="C1819" s="6">
        <v>1511689.9650000001</v>
      </c>
      <c r="D1819" s="6">
        <v>694077.54599999997</v>
      </c>
      <c r="E1819" s="2" t="s">
        <v>35</v>
      </c>
      <c r="F1819" s="1">
        <v>24</v>
      </c>
      <c r="G1819" s="2" t="s">
        <v>50</v>
      </c>
      <c r="J1819"/>
      <c r="K1819" s="19"/>
      <c r="L1819" s="21"/>
      <c r="M1819" s="27"/>
      <c r="N1819" s="19"/>
      <c r="O1819" s="21"/>
      <c r="Q1819" s="7">
        <f>Table2[[#This Row],[Elevation
PILE TOP]]-Table2[[#This Row],[LENGTH(m.)
(Actual)]]</f>
        <v>0</v>
      </c>
      <c r="R1819" s="2"/>
      <c r="S1819" s="7">
        <f>Table2[[#This Row],[N]]+Table2[[#This Row],[Pile 
Deviation 
N (m)]]</f>
        <v>1511689.9650000001</v>
      </c>
      <c r="T1819" s="7">
        <f>Table2[[#This Row],[E]]+Table2[[#This Row],[Pile 
Deviation 
E (m)]]</f>
        <v>694077.54599999997</v>
      </c>
      <c r="W1819" s="7">
        <v>0.24</v>
      </c>
      <c r="X1819" s="2" t="s">
        <v>51</v>
      </c>
    </row>
    <row r="1820" spans="1:27" hidden="1" x14ac:dyDescent="0.65">
      <c r="A1820">
        <v>1814</v>
      </c>
      <c r="B1820" t="s">
        <v>29</v>
      </c>
      <c r="C1820" s="6">
        <v>1511689.9539999999</v>
      </c>
      <c r="D1820" s="6">
        <v>694058.69799999997</v>
      </c>
      <c r="E1820" s="2" t="s">
        <v>35</v>
      </c>
      <c r="F1820" s="1">
        <v>24</v>
      </c>
      <c r="G1820" s="2" t="s">
        <v>50</v>
      </c>
      <c r="J1820"/>
      <c r="K1820" s="19"/>
      <c r="L1820" s="21"/>
      <c r="M1820" s="27"/>
      <c r="N1820" s="19"/>
      <c r="O1820" s="21"/>
      <c r="Q1820" s="7">
        <f>Table2[[#This Row],[Elevation
PILE TOP]]-Table2[[#This Row],[LENGTH(m.)
(Actual)]]</f>
        <v>0</v>
      </c>
      <c r="R1820" s="2"/>
      <c r="S1820" s="7">
        <f>Table2[[#This Row],[N]]+Table2[[#This Row],[Pile 
Deviation 
N (m)]]</f>
        <v>1511689.9539999999</v>
      </c>
      <c r="T1820" s="7">
        <f>Table2[[#This Row],[E]]+Table2[[#This Row],[Pile 
Deviation 
E (m)]]</f>
        <v>694058.69799999997</v>
      </c>
      <c r="W1820" s="7">
        <v>0.24</v>
      </c>
      <c r="X1820" s="2" t="s">
        <v>51</v>
      </c>
    </row>
    <row r="1821" spans="1:27" ht="13.95" hidden="1" customHeight="1" x14ac:dyDescent="0.65">
      <c r="A1821">
        <v>1815</v>
      </c>
      <c r="B1821" t="s">
        <v>29</v>
      </c>
      <c r="C1821" s="6">
        <v>1511689.8419999999</v>
      </c>
      <c r="D1821" s="6">
        <v>694047.42599999998</v>
      </c>
      <c r="E1821" s="2" t="s">
        <v>35</v>
      </c>
      <c r="F1821" s="1">
        <v>24</v>
      </c>
      <c r="G1821" s="2" t="s">
        <v>50</v>
      </c>
      <c r="J1821"/>
      <c r="K1821" s="19"/>
      <c r="L1821" s="21"/>
      <c r="M1821" s="27"/>
      <c r="N1821" s="19"/>
      <c r="O1821" s="21"/>
      <c r="Q1821" s="7">
        <f>Table2[[#This Row],[Elevation
PILE TOP]]-Table2[[#This Row],[LENGTH(m.)
(Actual)]]</f>
        <v>0</v>
      </c>
      <c r="R1821" s="2"/>
      <c r="S1821" s="7">
        <f>Table2[[#This Row],[N]]+Table2[[#This Row],[Pile 
Deviation 
N (m)]]</f>
        <v>1511689.8419999999</v>
      </c>
      <c r="T1821" s="7">
        <f>Table2[[#This Row],[E]]+Table2[[#This Row],[Pile 
Deviation 
E (m)]]</f>
        <v>694047.42599999998</v>
      </c>
      <c r="W1821" s="7">
        <v>0.24</v>
      </c>
      <c r="X1821" s="2" t="s">
        <v>51</v>
      </c>
    </row>
    <row r="1822" spans="1:27" hidden="1" x14ac:dyDescent="0.65">
      <c r="A1822">
        <v>1816</v>
      </c>
      <c r="B1822" t="s">
        <v>29</v>
      </c>
      <c r="C1822" s="6">
        <v>1511689.824</v>
      </c>
      <c r="D1822" s="6">
        <v>694017.522</v>
      </c>
      <c r="E1822" s="2" t="s">
        <v>35</v>
      </c>
      <c r="F1822" s="1">
        <v>24</v>
      </c>
      <c r="G1822" s="2" t="s">
        <v>50</v>
      </c>
      <c r="J1822"/>
      <c r="K1822" s="19"/>
      <c r="L1822" s="21"/>
      <c r="M1822" s="27"/>
      <c r="N1822" s="19"/>
      <c r="O1822" s="21"/>
      <c r="Q1822" s="7">
        <f>Table2[[#This Row],[Elevation
PILE TOP]]-Table2[[#This Row],[LENGTH(m.)
(Actual)]]</f>
        <v>0</v>
      </c>
      <c r="R1822" s="2"/>
      <c r="S1822" s="7">
        <f>Table2[[#This Row],[N]]+Table2[[#This Row],[Pile 
Deviation 
N (m)]]</f>
        <v>1511689.824</v>
      </c>
      <c r="T1822" s="7">
        <f>Table2[[#This Row],[E]]+Table2[[#This Row],[Pile 
Deviation 
E (m)]]</f>
        <v>694017.522</v>
      </c>
      <c r="W1822" s="7">
        <v>0.24</v>
      </c>
      <c r="X1822" s="2" t="s">
        <v>51</v>
      </c>
    </row>
    <row r="1823" spans="1:27" ht="13.95" hidden="1" customHeight="1" x14ac:dyDescent="0.65">
      <c r="A1823">
        <v>1817</v>
      </c>
      <c r="B1823" t="s">
        <v>29</v>
      </c>
      <c r="C1823" s="6">
        <v>1511689.61</v>
      </c>
      <c r="D1823" s="6">
        <v>693866.45499999996</v>
      </c>
      <c r="E1823" s="2" t="s">
        <v>35</v>
      </c>
      <c r="F1823" s="1">
        <v>24</v>
      </c>
      <c r="G1823" s="2" t="s">
        <v>50</v>
      </c>
      <c r="J1823"/>
      <c r="K1823" s="19"/>
      <c r="L1823" s="21"/>
      <c r="M1823" s="27"/>
      <c r="N1823" s="19"/>
      <c r="O1823" s="21"/>
      <c r="Q1823" s="7">
        <f>Table2[[#This Row],[Elevation
PILE TOP]]-Table2[[#This Row],[LENGTH(m.)
(Actual)]]</f>
        <v>0</v>
      </c>
      <c r="R1823" s="2"/>
      <c r="S1823" s="7">
        <f>Table2[[#This Row],[N]]+Table2[[#This Row],[Pile 
Deviation 
N (m)]]</f>
        <v>1511689.61</v>
      </c>
      <c r="T1823" s="7">
        <f>Table2[[#This Row],[E]]+Table2[[#This Row],[Pile 
Deviation 
E (m)]]</f>
        <v>693866.45499999996</v>
      </c>
      <c r="W1823" s="7">
        <v>0.24</v>
      </c>
      <c r="X1823" s="2" t="s">
        <v>51</v>
      </c>
      <c r="AA1823" s="9">
        <v>46210</v>
      </c>
    </row>
    <row r="1824" spans="1:27" hidden="1" x14ac:dyDescent="0.65">
      <c r="A1824">
        <v>1818</v>
      </c>
      <c r="B1824" t="s">
        <v>29</v>
      </c>
      <c r="C1824" s="6">
        <v>1511689.4210000001</v>
      </c>
      <c r="D1824" s="6">
        <v>694028.58299999998</v>
      </c>
      <c r="E1824" s="2" t="s">
        <v>35</v>
      </c>
      <c r="F1824" s="1">
        <v>24</v>
      </c>
      <c r="G1824" s="2" t="s">
        <v>50</v>
      </c>
      <c r="J1824"/>
      <c r="K1824" s="19"/>
      <c r="L1824" s="21"/>
      <c r="M1824" s="27"/>
      <c r="N1824" s="19"/>
      <c r="O1824" s="21"/>
      <c r="Q1824" s="7">
        <f>Table2[[#This Row],[Elevation
PILE TOP]]-Table2[[#This Row],[LENGTH(m.)
(Actual)]]</f>
        <v>0</v>
      </c>
      <c r="R1824" s="2"/>
      <c r="S1824" s="7">
        <f>Table2[[#This Row],[N]]+Table2[[#This Row],[Pile 
Deviation 
N (m)]]</f>
        <v>1511689.4210000001</v>
      </c>
      <c r="T1824" s="7">
        <f>Table2[[#This Row],[E]]+Table2[[#This Row],[Pile 
Deviation 
E (m)]]</f>
        <v>694028.58299999998</v>
      </c>
      <c r="W1824" s="7">
        <v>0.24</v>
      </c>
      <c r="X1824" s="2" t="s">
        <v>51</v>
      </c>
    </row>
    <row r="1825" spans="1:27" ht="13.95" hidden="1" customHeight="1" x14ac:dyDescent="0.65">
      <c r="A1825">
        <v>1819</v>
      </c>
      <c r="B1825" t="s">
        <v>29</v>
      </c>
      <c r="C1825" s="6">
        <v>1511689.3489999999</v>
      </c>
      <c r="D1825" s="6">
        <v>693990.40700000001</v>
      </c>
      <c r="E1825" s="2" t="s">
        <v>35</v>
      </c>
      <c r="F1825" s="1">
        <v>24</v>
      </c>
      <c r="G1825" s="2" t="s">
        <v>50</v>
      </c>
      <c r="J1825"/>
      <c r="K1825" s="19"/>
      <c r="L1825" s="21"/>
      <c r="M1825" s="27"/>
      <c r="N1825" s="19"/>
      <c r="O1825" s="21"/>
      <c r="Q1825" s="7">
        <f>Table2[[#This Row],[Elevation
PILE TOP]]-Table2[[#This Row],[LENGTH(m.)
(Actual)]]</f>
        <v>0</v>
      </c>
      <c r="R1825" s="2"/>
      <c r="S1825" s="7">
        <f>Table2[[#This Row],[N]]+Table2[[#This Row],[Pile 
Deviation 
N (m)]]</f>
        <v>1511689.3489999999</v>
      </c>
      <c r="T1825" s="7">
        <f>Table2[[#This Row],[E]]+Table2[[#This Row],[Pile 
Deviation 
E (m)]]</f>
        <v>693990.40700000001</v>
      </c>
      <c r="W1825" s="7">
        <v>0.24</v>
      </c>
      <c r="X1825" s="2" t="s">
        <v>51</v>
      </c>
    </row>
    <row r="1826" spans="1:27" hidden="1" x14ac:dyDescent="0.65">
      <c r="A1826">
        <v>1820</v>
      </c>
      <c r="B1826" t="s">
        <v>29</v>
      </c>
      <c r="C1826" s="6">
        <v>1511689.3419999999</v>
      </c>
      <c r="D1826" s="6">
        <v>694126.29099999997</v>
      </c>
      <c r="E1826" s="2" t="s">
        <v>35</v>
      </c>
      <c r="F1826" s="1">
        <v>24</v>
      </c>
      <c r="G1826" s="2" t="s">
        <v>50</v>
      </c>
      <c r="J1826"/>
      <c r="K1826" s="19"/>
      <c r="L1826" s="21"/>
      <c r="M1826" s="27"/>
      <c r="N1826" s="19"/>
      <c r="O1826" s="21"/>
      <c r="Q1826" s="7">
        <f>Table2[[#This Row],[Elevation
PILE TOP]]-Table2[[#This Row],[LENGTH(m.)
(Actual)]]</f>
        <v>0</v>
      </c>
      <c r="R1826" s="2"/>
      <c r="S1826" s="7">
        <f>Table2[[#This Row],[N]]+Table2[[#This Row],[Pile 
Deviation 
N (m)]]</f>
        <v>1511689.3419999999</v>
      </c>
      <c r="T1826" s="7">
        <f>Table2[[#This Row],[E]]+Table2[[#This Row],[Pile 
Deviation 
E (m)]]</f>
        <v>694126.29099999997</v>
      </c>
      <c r="W1826" s="7">
        <v>0.24</v>
      </c>
      <c r="X1826" s="2" t="s">
        <v>51</v>
      </c>
    </row>
    <row r="1827" spans="1:27" ht="13.95" hidden="1" customHeight="1" x14ac:dyDescent="0.65">
      <c r="A1827">
        <v>1821</v>
      </c>
      <c r="B1827" t="s">
        <v>29</v>
      </c>
      <c r="C1827" s="6">
        <v>1511689.331</v>
      </c>
      <c r="D1827" s="6">
        <v>694107.44299999997</v>
      </c>
      <c r="E1827" s="2" t="s">
        <v>35</v>
      </c>
      <c r="F1827" s="1">
        <v>24</v>
      </c>
      <c r="G1827" s="2" t="s">
        <v>50</v>
      </c>
      <c r="J1827"/>
      <c r="K1827" s="19"/>
      <c r="L1827" s="21"/>
      <c r="M1827" s="27"/>
      <c r="N1827" s="19"/>
      <c r="O1827" s="21"/>
      <c r="Q1827" s="7">
        <f>Table2[[#This Row],[Elevation
PILE TOP]]-Table2[[#This Row],[LENGTH(m.)
(Actual)]]</f>
        <v>0</v>
      </c>
      <c r="R1827" s="2"/>
      <c r="S1827" s="7">
        <f>Table2[[#This Row],[N]]+Table2[[#This Row],[Pile 
Deviation 
N (m)]]</f>
        <v>1511689.331</v>
      </c>
      <c r="T1827" s="7">
        <f>Table2[[#This Row],[E]]+Table2[[#This Row],[Pile 
Deviation 
E (m)]]</f>
        <v>694107.44299999997</v>
      </c>
      <c r="W1827" s="7">
        <v>0.24</v>
      </c>
      <c r="X1827" s="2" t="s">
        <v>51</v>
      </c>
    </row>
    <row r="1828" spans="1:27" hidden="1" x14ac:dyDescent="0.65">
      <c r="A1828">
        <v>1822</v>
      </c>
      <c r="B1828" t="s">
        <v>29</v>
      </c>
      <c r="C1828" s="6">
        <v>1511689.321</v>
      </c>
      <c r="D1828" s="6">
        <v>694088.59499999997</v>
      </c>
      <c r="E1828" s="2" t="s">
        <v>35</v>
      </c>
      <c r="F1828" s="1">
        <v>24</v>
      </c>
      <c r="G1828" s="2" t="s">
        <v>50</v>
      </c>
      <c r="J1828"/>
      <c r="K1828" s="19"/>
      <c r="L1828" s="21"/>
      <c r="M1828" s="27"/>
      <c r="N1828" s="19"/>
      <c r="O1828" s="21"/>
      <c r="Q1828" s="7">
        <f>Table2[[#This Row],[Elevation
PILE TOP]]-Table2[[#This Row],[LENGTH(m.)
(Actual)]]</f>
        <v>0</v>
      </c>
      <c r="R1828" s="2"/>
      <c r="S1828" s="7">
        <f>Table2[[#This Row],[N]]+Table2[[#This Row],[Pile 
Deviation 
N (m)]]</f>
        <v>1511689.321</v>
      </c>
      <c r="T1828" s="7">
        <f>Table2[[#This Row],[E]]+Table2[[#This Row],[Pile 
Deviation 
E (m)]]</f>
        <v>694088.59499999997</v>
      </c>
      <c r="W1828" s="7">
        <v>0.24</v>
      </c>
      <c r="X1828" s="2" t="s">
        <v>51</v>
      </c>
    </row>
    <row r="1829" spans="1:27" ht="13.95" hidden="1" customHeight="1" x14ac:dyDescent="0.65">
      <c r="A1829">
        <v>1823</v>
      </c>
      <c r="B1829" t="s">
        <v>29</v>
      </c>
      <c r="C1829" s="6">
        <v>1511689.31</v>
      </c>
      <c r="D1829" s="6">
        <v>694069.74699999997</v>
      </c>
      <c r="E1829" s="2" t="s">
        <v>35</v>
      </c>
      <c r="F1829" s="1">
        <v>24</v>
      </c>
      <c r="G1829" s="2" t="s">
        <v>50</v>
      </c>
      <c r="J1829"/>
      <c r="K1829" s="19"/>
      <c r="L1829" s="21"/>
      <c r="M1829" s="27"/>
      <c r="N1829" s="19"/>
      <c r="O1829" s="21"/>
      <c r="Q1829" s="7">
        <f>Table2[[#This Row],[Elevation
PILE TOP]]-Table2[[#This Row],[LENGTH(m.)
(Actual)]]</f>
        <v>0</v>
      </c>
      <c r="R1829" s="2"/>
      <c r="S1829" s="7">
        <f>Table2[[#This Row],[N]]+Table2[[#This Row],[Pile 
Deviation 
N (m)]]</f>
        <v>1511689.31</v>
      </c>
      <c r="T1829" s="7">
        <f>Table2[[#This Row],[E]]+Table2[[#This Row],[Pile 
Deviation 
E (m)]]</f>
        <v>694069.74699999997</v>
      </c>
      <c r="W1829" s="7">
        <v>0.24</v>
      </c>
      <c r="X1829" s="2" t="s">
        <v>51</v>
      </c>
    </row>
    <row r="1830" spans="1:27" hidden="1" x14ac:dyDescent="0.65">
      <c r="A1830">
        <v>1824</v>
      </c>
      <c r="B1830" t="s">
        <v>29</v>
      </c>
      <c r="C1830" s="6">
        <v>1511689.2609999999</v>
      </c>
      <c r="D1830" s="6">
        <v>694054.68299999996</v>
      </c>
      <c r="E1830" s="2" t="s">
        <v>35</v>
      </c>
      <c r="F1830" s="1">
        <v>24</v>
      </c>
      <c r="G1830" s="2" t="s">
        <v>50</v>
      </c>
      <c r="J1830"/>
      <c r="K1830" s="19"/>
      <c r="L1830" s="21"/>
      <c r="M1830" s="27"/>
      <c r="N1830" s="19"/>
      <c r="O1830" s="21"/>
      <c r="Q1830" s="7">
        <f>Table2[[#This Row],[Elevation
PILE TOP]]-Table2[[#This Row],[LENGTH(m.)
(Actual)]]</f>
        <v>0</v>
      </c>
      <c r="R1830" s="2"/>
      <c r="S1830" s="7">
        <f>Table2[[#This Row],[N]]+Table2[[#This Row],[Pile 
Deviation 
N (m)]]</f>
        <v>1511689.2609999999</v>
      </c>
      <c r="T1830" s="7">
        <f>Table2[[#This Row],[E]]+Table2[[#This Row],[Pile 
Deviation 
E (m)]]</f>
        <v>694054.68299999996</v>
      </c>
      <c r="W1830" s="7">
        <v>0.24</v>
      </c>
      <c r="X1830" s="2" t="s">
        <v>51</v>
      </c>
    </row>
    <row r="1831" spans="1:27" ht="13.95" hidden="1" customHeight="1" x14ac:dyDescent="0.65">
      <c r="A1831">
        <v>1825</v>
      </c>
      <c r="B1831" t="s">
        <v>29</v>
      </c>
      <c r="C1831" s="6">
        <v>1511689.1780000001</v>
      </c>
      <c r="D1831" s="6">
        <v>694013.54299999995</v>
      </c>
      <c r="E1831" s="2" t="s">
        <v>35</v>
      </c>
      <c r="F1831" s="1">
        <v>24</v>
      </c>
      <c r="G1831" s="2" t="s">
        <v>50</v>
      </c>
      <c r="J1831"/>
      <c r="K1831" s="19"/>
      <c r="L1831" s="21"/>
      <c r="M1831" s="27"/>
      <c r="N1831" s="19"/>
      <c r="O1831" s="21"/>
      <c r="Q1831" s="7">
        <f>Table2[[#This Row],[Elevation
PILE TOP]]-Table2[[#This Row],[LENGTH(m.)
(Actual)]]</f>
        <v>0</v>
      </c>
      <c r="R1831" s="2"/>
      <c r="S1831" s="7">
        <f>Table2[[#This Row],[N]]+Table2[[#This Row],[Pile 
Deviation 
N (m)]]</f>
        <v>1511689.1780000001</v>
      </c>
      <c r="T1831" s="7">
        <f>Table2[[#This Row],[E]]+Table2[[#This Row],[Pile 
Deviation 
E (m)]]</f>
        <v>694013.54299999995</v>
      </c>
      <c r="W1831" s="7">
        <v>0.24</v>
      </c>
      <c r="X1831" s="2" t="s">
        <v>51</v>
      </c>
    </row>
    <row r="1832" spans="1:27" hidden="1" x14ac:dyDescent="0.65">
      <c r="A1832">
        <v>1826</v>
      </c>
      <c r="B1832" t="s">
        <v>29</v>
      </c>
      <c r="C1832" s="6">
        <v>1511689.1640000001</v>
      </c>
      <c r="D1832" s="6">
        <v>693929.68599999999</v>
      </c>
      <c r="E1832" s="2" t="s">
        <v>35</v>
      </c>
      <c r="F1832" s="1">
        <v>24</v>
      </c>
      <c r="G1832" s="2" t="s">
        <v>50</v>
      </c>
      <c r="J1832"/>
      <c r="K1832" s="19"/>
      <c r="L1832" s="21"/>
      <c r="M1832" s="27"/>
      <c r="N1832" s="19"/>
      <c r="O1832" s="21"/>
      <c r="Q1832" s="7">
        <f>Table2[[#This Row],[Elevation
PILE TOP]]-Table2[[#This Row],[LENGTH(m.)
(Actual)]]</f>
        <v>0</v>
      </c>
      <c r="R1832" s="2"/>
      <c r="S1832" s="7">
        <f>Table2[[#This Row],[N]]+Table2[[#This Row],[Pile 
Deviation 
N (m)]]</f>
        <v>1511689.1640000001</v>
      </c>
      <c r="T1832" s="7">
        <f>Table2[[#This Row],[E]]+Table2[[#This Row],[Pile 
Deviation 
E (m)]]</f>
        <v>693929.68599999999</v>
      </c>
      <c r="W1832" s="7">
        <v>0.24</v>
      </c>
      <c r="X1832" s="2" t="s">
        <v>51</v>
      </c>
      <c r="AA1832" s="9">
        <v>46204</v>
      </c>
    </row>
    <row r="1833" spans="1:27" ht="13.95" hidden="1" customHeight="1" x14ac:dyDescent="0.65">
      <c r="A1833">
        <v>1827</v>
      </c>
      <c r="B1833" t="s">
        <v>29</v>
      </c>
      <c r="C1833" s="6">
        <v>1511689.0179999999</v>
      </c>
      <c r="D1833" s="6">
        <v>694039.64300000004</v>
      </c>
      <c r="E1833" s="2" t="s">
        <v>35</v>
      </c>
      <c r="F1833" s="1">
        <v>24</v>
      </c>
      <c r="G1833" s="2" t="s">
        <v>50</v>
      </c>
      <c r="J1833"/>
      <c r="K1833" s="19"/>
      <c r="L1833" s="21"/>
      <c r="M1833" s="27"/>
      <c r="N1833" s="19"/>
      <c r="O1833" s="21"/>
      <c r="Q1833" s="7">
        <f>Table2[[#This Row],[Elevation
PILE TOP]]-Table2[[#This Row],[LENGTH(m.)
(Actual)]]</f>
        <v>0</v>
      </c>
      <c r="R1833" s="2"/>
      <c r="S1833" s="7">
        <f>Table2[[#This Row],[N]]+Table2[[#This Row],[Pile 
Deviation 
N (m)]]</f>
        <v>1511689.0179999999</v>
      </c>
      <c r="T1833" s="7">
        <f>Table2[[#This Row],[E]]+Table2[[#This Row],[Pile 
Deviation 
E (m)]]</f>
        <v>694039.64300000004</v>
      </c>
      <c r="W1833" s="7">
        <v>0.24</v>
      </c>
      <c r="X1833" s="2" t="s">
        <v>51</v>
      </c>
    </row>
    <row r="1834" spans="1:27" x14ac:dyDescent="0.65">
      <c r="A1834">
        <v>1828</v>
      </c>
      <c r="B1834" t="s">
        <v>29</v>
      </c>
      <c r="C1834" s="6">
        <v>1511688.9820000001</v>
      </c>
      <c r="D1834" s="6">
        <v>693979.83499999996</v>
      </c>
      <c r="E1834" s="2" t="s">
        <v>35</v>
      </c>
      <c r="F1834" s="1">
        <v>24</v>
      </c>
      <c r="G1834" s="2" t="s">
        <v>50</v>
      </c>
      <c r="J1834"/>
      <c r="K1834" s="19"/>
      <c r="L1834" s="21"/>
      <c r="M1834" s="27"/>
      <c r="N1834" s="19"/>
      <c r="O1834" s="21"/>
      <c r="Q1834" s="7">
        <f>Table2[[#This Row],[Elevation
PILE TOP]]-Table2[[#This Row],[LENGTH(m.)
(Actual)]]</f>
        <v>0</v>
      </c>
      <c r="R1834" s="2"/>
      <c r="S1834" s="7">
        <f>Table2[[#This Row],[N]]+Table2[[#This Row],[Pile 
Deviation 
N (m)]]</f>
        <v>1511688.9820000001</v>
      </c>
      <c r="T1834" s="7">
        <f>Table2[[#This Row],[E]]+Table2[[#This Row],[Pile 
Deviation 
E (m)]]</f>
        <v>693979.83499999996</v>
      </c>
      <c r="W1834" s="7">
        <v>0.24</v>
      </c>
      <c r="X1834" s="2" t="s">
        <v>51</v>
      </c>
      <c r="AA1834" s="9">
        <v>46200</v>
      </c>
    </row>
    <row r="1835" spans="1:27" ht="13.95" hidden="1" customHeight="1" x14ac:dyDescent="0.65">
      <c r="A1835">
        <v>1829</v>
      </c>
      <c r="B1835" t="s">
        <v>29</v>
      </c>
      <c r="C1835" s="6">
        <v>1511688.6869999999</v>
      </c>
      <c r="D1835" s="6">
        <v>694118.49300000002</v>
      </c>
      <c r="E1835" s="2" t="s">
        <v>35</v>
      </c>
      <c r="F1835" s="1">
        <v>24</v>
      </c>
      <c r="G1835" s="2" t="s">
        <v>50</v>
      </c>
      <c r="J1835"/>
      <c r="K1835" s="19"/>
      <c r="L1835" s="21"/>
      <c r="M1835" s="27"/>
      <c r="N1835" s="19"/>
      <c r="O1835" s="21"/>
      <c r="Q1835" s="7">
        <f>Table2[[#This Row],[Elevation
PILE TOP]]-Table2[[#This Row],[LENGTH(m.)
(Actual)]]</f>
        <v>0</v>
      </c>
      <c r="R1835" s="2"/>
      <c r="S1835" s="7">
        <f>Table2[[#This Row],[N]]+Table2[[#This Row],[Pile 
Deviation 
N (m)]]</f>
        <v>1511688.6869999999</v>
      </c>
      <c r="T1835" s="7">
        <f>Table2[[#This Row],[E]]+Table2[[#This Row],[Pile 
Deviation 
E (m)]]</f>
        <v>694118.49300000002</v>
      </c>
      <c r="W1835" s="7">
        <v>0.24</v>
      </c>
      <c r="X1835" s="2" t="s">
        <v>51</v>
      </c>
    </row>
    <row r="1836" spans="1:27" hidden="1" x14ac:dyDescent="0.65">
      <c r="A1836">
        <v>1830</v>
      </c>
      <c r="B1836" t="s">
        <v>29</v>
      </c>
      <c r="C1836" s="6">
        <v>1511688.6769999999</v>
      </c>
      <c r="D1836" s="6">
        <v>694099.64399999997</v>
      </c>
      <c r="E1836" s="2" t="s">
        <v>35</v>
      </c>
      <c r="F1836" s="1">
        <v>24</v>
      </c>
      <c r="G1836" s="2" t="s">
        <v>50</v>
      </c>
      <c r="J1836"/>
      <c r="K1836" s="19"/>
      <c r="L1836" s="21"/>
      <c r="M1836" s="27"/>
      <c r="N1836" s="19"/>
      <c r="O1836" s="21"/>
      <c r="Q1836" s="7">
        <f>Table2[[#This Row],[Elevation
PILE TOP]]-Table2[[#This Row],[LENGTH(m.)
(Actual)]]</f>
        <v>0</v>
      </c>
      <c r="R1836" s="2"/>
      <c r="S1836" s="7">
        <f>Table2[[#This Row],[N]]+Table2[[#This Row],[Pile 
Deviation 
N (m)]]</f>
        <v>1511688.6769999999</v>
      </c>
      <c r="T1836" s="7">
        <f>Table2[[#This Row],[E]]+Table2[[#This Row],[Pile 
Deviation 
E (m)]]</f>
        <v>694099.64399999997</v>
      </c>
      <c r="W1836" s="7">
        <v>0.24</v>
      </c>
      <c r="X1836" s="2" t="s">
        <v>51</v>
      </c>
    </row>
    <row r="1837" spans="1:27" ht="13.95" hidden="1" customHeight="1" x14ac:dyDescent="0.65">
      <c r="A1837">
        <v>1831</v>
      </c>
      <c r="B1837" t="s">
        <v>29</v>
      </c>
      <c r="C1837" s="6">
        <v>1511688.6669999999</v>
      </c>
      <c r="D1837" s="6">
        <v>694080.79599999997</v>
      </c>
      <c r="E1837" s="2" t="s">
        <v>35</v>
      </c>
      <c r="F1837" s="1">
        <v>24</v>
      </c>
      <c r="G1837" s="2" t="s">
        <v>50</v>
      </c>
      <c r="J1837"/>
      <c r="K1837" s="19"/>
      <c r="L1837" s="21"/>
      <c r="M1837" s="27"/>
      <c r="N1837" s="19"/>
      <c r="O1837" s="21"/>
      <c r="Q1837" s="7">
        <f>Table2[[#This Row],[Elevation
PILE TOP]]-Table2[[#This Row],[LENGTH(m.)
(Actual)]]</f>
        <v>0</v>
      </c>
      <c r="R1837" s="2"/>
      <c r="S1837" s="7">
        <f>Table2[[#This Row],[N]]+Table2[[#This Row],[Pile 
Deviation 
N (m)]]</f>
        <v>1511688.6669999999</v>
      </c>
      <c r="T1837" s="7">
        <f>Table2[[#This Row],[E]]+Table2[[#This Row],[Pile 
Deviation 
E (m)]]</f>
        <v>694080.79599999997</v>
      </c>
      <c r="W1837" s="7">
        <v>0.24</v>
      </c>
      <c r="X1837" s="2" t="s">
        <v>51</v>
      </c>
    </row>
    <row r="1838" spans="1:27" hidden="1" x14ac:dyDescent="0.65">
      <c r="A1838">
        <v>1832</v>
      </c>
      <c r="B1838" t="s">
        <v>29</v>
      </c>
      <c r="C1838" s="6">
        <v>1511688.656</v>
      </c>
      <c r="D1838" s="6">
        <v>694061.94799999997</v>
      </c>
      <c r="E1838" s="2" t="s">
        <v>35</v>
      </c>
      <c r="F1838" s="1">
        <v>24</v>
      </c>
      <c r="G1838" s="2" t="s">
        <v>50</v>
      </c>
      <c r="J1838"/>
      <c r="K1838" s="19"/>
      <c r="L1838" s="21"/>
      <c r="M1838" s="27"/>
      <c r="N1838" s="19"/>
      <c r="O1838" s="21"/>
      <c r="Q1838" s="7">
        <f>Table2[[#This Row],[Elevation
PILE TOP]]-Table2[[#This Row],[LENGTH(m.)
(Actual)]]</f>
        <v>0</v>
      </c>
      <c r="R1838" s="2"/>
      <c r="S1838" s="7">
        <f>Table2[[#This Row],[N]]+Table2[[#This Row],[Pile 
Deviation 
N (m)]]</f>
        <v>1511688.656</v>
      </c>
      <c r="T1838" s="7">
        <f>Table2[[#This Row],[E]]+Table2[[#This Row],[Pile 
Deviation 
E (m)]]</f>
        <v>694061.94799999997</v>
      </c>
      <c r="W1838" s="7">
        <v>0.24</v>
      </c>
      <c r="X1838" s="2" t="s">
        <v>51</v>
      </c>
    </row>
    <row r="1839" spans="1:27" ht="13.95" hidden="1" customHeight="1" x14ac:dyDescent="0.65">
      <c r="A1839">
        <v>1833</v>
      </c>
      <c r="B1839" t="s">
        <v>29</v>
      </c>
      <c r="C1839" s="6">
        <v>1511688.615</v>
      </c>
      <c r="D1839" s="6">
        <v>694050.70400000003</v>
      </c>
      <c r="E1839" s="2" t="s">
        <v>35</v>
      </c>
      <c r="F1839" s="1">
        <v>24</v>
      </c>
      <c r="G1839" s="2" t="s">
        <v>50</v>
      </c>
      <c r="J1839"/>
      <c r="K1839" s="19"/>
      <c r="L1839" s="21"/>
      <c r="M1839" s="27"/>
      <c r="N1839" s="19"/>
      <c r="O1839" s="21"/>
      <c r="Q1839" s="7">
        <f>Table2[[#This Row],[Elevation
PILE TOP]]-Table2[[#This Row],[LENGTH(m.)
(Actual)]]</f>
        <v>0</v>
      </c>
      <c r="R1839" s="2"/>
      <c r="S1839" s="7">
        <f>Table2[[#This Row],[N]]+Table2[[#This Row],[Pile 
Deviation 
N (m)]]</f>
        <v>1511688.615</v>
      </c>
      <c r="T1839" s="7">
        <f>Table2[[#This Row],[E]]+Table2[[#This Row],[Pile 
Deviation 
E (m)]]</f>
        <v>694050.70400000003</v>
      </c>
      <c r="W1839" s="7">
        <v>0.24</v>
      </c>
      <c r="X1839" s="2" t="s">
        <v>51</v>
      </c>
    </row>
    <row r="1840" spans="1:27" hidden="1" x14ac:dyDescent="0.65">
      <c r="A1840">
        <v>1834</v>
      </c>
      <c r="B1840" t="s">
        <v>29</v>
      </c>
      <c r="C1840" s="6">
        <v>1511688.5970000001</v>
      </c>
      <c r="D1840" s="6">
        <v>694020.8</v>
      </c>
      <c r="E1840" s="2" t="s">
        <v>35</v>
      </c>
      <c r="F1840" s="1">
        <v>24</v>
      </c>
      <c r="G1840" s="2" t="s">
        <v>50</v>
      </c>
      <c r="J1840"/>
      <c r="K1840" s="19"/>
      <c r="L1840" s="21"/>
      <c r="M1840" s="27"/>
      <c r="N1840" s="19"/>
      <c r="O1840" s="21"/>
      <c r="Q1840" s="7">
        <f>Table2[[#This Row],[Elevation
PILE TOP]]-Table2[[#This Row],[LENGTH(m.)
(Actual)]]</f>
        <v>0</v>
      </c>
      <c r="R1840" s="2"/>
      <c r="S1840" s="7">
        <f>Table2[[#This Row],[N]]+Table2[[#This Row],[Pile 
Deviation 
N (m)]]</f>
        <v>1511688.5970000001</v>
      </c>
      <c r="T1840" s="7">
        <f>Table2[[#This Row],[E]]+Table2[[#This Row],[Pile 
Deviation 
E (m)]]</f>
        <v>694020.8</v>
      </c>
      <c r="W1840" s="7">
        <v>0.24</v>
      </c>
      <c r="X1840" s="2" t="s">
        <v>51</v>
      </c>
    </row>
    <row r="1841" spans="1:27" ht="13.95" hidden="1" customHeight="1" x14ac:dyDescent="0.65">
      <c r="A1841">
        <v>1835</v>
      </c>
      <c r="B1841" t="s">
        <v>29</v>
      </c>
      <c r="C1841" s="6">
        <v>1511688.4450000001</v>
      </c>
      <c r="D1841" s="6">
        <v>693869.755</v>
      </c>
      <c r="E1841" s="2" t="s">
        <v>35</v>
      </c>
      <c r="F1841" s="1">
        <v>24</v>
      </c>
      <c r="G1841" s="2" t="s">
        <v>50</v>
      </c>
      <c r="J1841"/>
      <c r="K1841" s="19"/>
      <c r="L1841" s="21"/>
      <c r="M1841" s="27"/>
      <c r="N1841" s="19"/>
      <c r="O1841" s="21"/>
      <c r="Q1841" s="7">
        <f>Table2[[#This Row],[Elevation
PILE TOP]]-Table2[[#This Row],[LENGTH(m.)
(Actual)]]</f>
        <v>0</v>
      </c>
      <c r="R1841" s="2"/>
      <c r="S1841" s="7">
        <f>Table2[[#This Row],[N]]+Table2[[#This Row],[Pile 
Deviation 
N (m)]]</f>
        <v>1511688.4450000001</v>
      </c>
      <c r="T1841" s="7">
        <f>Table2[[#This Row],[E]]+Table2[[#This Row],[Pile 
Deviation 
E (m)]]</f>
        <v>693869.755</v>
      </c>
      <c r="W1841" s="7">
        <v>0.24</v>
      </c>
      <c r="X1841" s="2" t="s">
        <v>51</v>
      </c>
      <c r="AA1841" s="9">
        <v>46209</v>
      </c>
    </row>
    <row r="1842" spans="1:27" hidden="1" x14ac:dyDescent="0.65">
      <c r="A1842">
        <v>1836</v>
      </c>
      <c r="B1842" t="s">
        <v>29</v>
      </c>
      <c r="C1842" s="6">
        <v>1511688.3770000001</v>
      </c>
      <c r="D1842" s="6">
        <v>693987.03300000005</v>
      </c>
      <c r="E1842" s="2" t="s">
        <v>35</v>
      </c>
      <c r="F1842" s="1">
        <v>24</v>
      </c>
      <c r="G1842" s="2" t="s">
        <v>50</v>
      </c>
      <c r="J1842"/>
      <c r="K1842" s="19"/>
      <c r="L1842" s="21"/>
      <c r="M1842" s="27"/>
      <c r="N1842" s="19"/>
      <c r="O1842" s="21"/>
      <c r="Q1842" s="7">
        <f>Table2[[#This Row],[Elevation
PILE TOP]]-Table2[[#This Row],[LENGTH(m.)
(Actual)]]</f>
        <v>0</v>
      </c>
      <c r="R1842" s="2"/>
      <c r="S1842" s="7">
        <f>Table2[[#This Row],[N]]+Table2[[#This Row],[Pile 
Deviation 
N (m)]]</f>
        <v>1511688.3770000001</v>
      </c>
      <c r="T1842" s="7">
        <f>Table2[[#This Row],[E]]+Table2[[#This Row],[Pile 
Deviation 
E (m)]]</f>
        <v>693987.03300000005</v>
      </c>
      <c r="W1842" s="7">
        <v>0.24</v>
      </c>
      <c r="X1842" s="2" t="s">
        <v>51</v>
      </c>
    </row>
    <row r="1843" spans="1:27" ht="13.95" hidden="1" customHeight="1" x14ac:dyDescent="0.65">
      <c r="A1843">
        <v>1837</v>
      </c>
      <c r="B1843" t="s">
        <v>29</v>
      </c>
      <c r="C1843" s="6">
        <v>1511688.1939999999</v>
      </c>
      <c r="D1843" s="6">
        <v>694031.86100000003</v>
      </c>
      <c r="E1843" s="2" t="s">
        <v>35</v>
      </c>
      <c r="F1843" s="1">
        <v>24</v>
      </c>
      <c r="G1843" s="2" t="s">
        <v>50</v>
      </c>
      <c r="J1843"/>
      <c r="K1843" s="19"/>
      <c r="L1843" s="21"/>
      <c r="M1843" s="27"/>
      <c r="N1843" s="19"/>
      <c r="O1843" s="21"/>
      <c r="Q1843" s="7">
        <f>Table2[[#This Row],[Elevation
PILE TOP]]-Table2[[#This Row],[LENGTH(m.)
(Actual)]]</f>
        <v>0</v>
      </c>
      <c r="R1843" s="2"/>
      <c r="S1843" s="7">
        <f>Table2[[#This Row],[N]]+Table2[[#This Row],[Pile 
Deviation 
N (m)]]</f>
        <v>1511688.1939999999</v>
      </c>
      <c r="T1843" s="7">
        <f>Table2[[#This Row],[E]]+Table2[[#This Row],[Pile 
Deviation 
E (m)]]</f>
        <v>694031.86100000003</v>
      </c>
      <c r="W1843" s="7">
        <v>0.24</v>
      </c>
      <c r="X1843" s="2" t="s">
        <v>51</v>
      </c>
    </row>
    <row r="1844" spans="1:27" hidden="1" x14ac:dyDescent="0.65">
      <c r="A1844">
        <v>1838</v>
      </c>
      <c r="B1844" t="s">
        <v>29</v>
      </c>
      <c r="C1844" s="6">
        <v>1511688.044</v>
      </c>
      <c r="D1844" s="6">
        <v>694129.54200000002</v>
      </c>
      <c r="E1844" s="2" t="s">
        <v>35</v>
      </c>
      <c r="F1844" s="1">
        <v>24</v>
      </c>
      <c r="G1844" s="2" t="s">
        <v>50</v>
      </c>
      <c r="J1844"/>
      <c r="K1844" s="19"/>
      <c r="L1844" s="21"/>
      <c r="M1844" s="27"/>
      <c r="N1844" s="19"/>
      <c r="O1844" s="21"/>
      <c r="Q1844" s="7">
        <f>Table2[[#This Row],[Elevation
PILE TOP]]-Table2[[#This Row],[LENGTH(m.)
(Actual)]]</f>
        <v>0</v>
      </c>
      <c r="R1844" s="2"/>
      <c r="S1844" s="7">
        <f>Table2[[#This Row],[N]]+Table2[[#This Row],[Pile 
Deviation 
N (m)]]</f>
        <v>1511688.044</v>
      </c>
      <c r="T1844" s="7">
        <f>Table2[[#This Row],[E]]+Table2[[#This Row],[Pile 
Deviation 
E (m)]]</f>
        <v>694129.54200000002</v>
      </c>
      <c r="W1844" s="7">
        <v>0.24</v>
      </c>
      <c r="X1844" s="2" t="s">
        <v>51</v>
      </c>
    </row>
    <row r="1845" spans="1:27" ht="13.95" hidden="1" customHeight="1" x14ac:dyDescent="0.65">
      <c r="A1845">
        <v>1839</v>
      </c>
      <c r="B1845" t="s">
        <v>29</v>
      </c>
      <c r="C1845" s="6">
        <v>1511688.034</v>
      </c>
      <c r="D1845" s="6">
        <v>694057.96100000001</v>
      </c>
      <c r="E1845" s="2" t="s">
        <v>35</v>
      </c>
      <c r="F1845" s="1">
        <v>24</v>
      </c>
      <c r="G1845" s="2" t="s">
        <v>50</v>
      </c>
      <c r="J1845"/>
      <c r="K1845" s="19"/>
      <c r="L1845" s="21"/>
      <c r="M1845" s="27"/>
      <c r="N1845" s="19"/>
      <c r="O1845" s="21"/>
      <c r="Q1845" s="7">
        <f>Table2[[#This Row],[Elevation
PILE TOP]]-Table2[[#This Row],[LENGTH(m.)
(Actual)]]</f>
        <v>0</v>
      </c>
      <c r="R1845" s="2"/>
      <c r="S1845" s="7">
        <f>Table2[[#This Row],[N]]+Table2[[#This Row],[Pile 
Deviation 
N (m)]]</f>
        <v>1511688.034</v>
      </c>
      <c r="T1845" s="7">
        <f>Table2[[#This Row],[E]]+Table2[[#This Row],[Pile 
Deviation 
E (m)]]</f>
        <v>694057.96100000001</v>
      </c>
      <c r="W1845" s="7">
        <v>0.24</v>
      </c>
      <c r="X1845" s="2" t="s">
        <v>51</v>
      </c>
    </row>
    <row r="1846" spans="1:27" hidden="1" x14ac:dyDescent="0.65">
      <c r="A1846">
        <v>1840</v>
      </c>
      <c r="B1846" t="s">
        <v>29</v>
      </c>
      <c r="C1846" s="6">
        <v>1511688.0330000001</v>
      </c>
      <c r="D1846" s="6">
        <v>694110.69400000002</v>
      </c>
      <c r="E1846" s="2" t="s">
        <v>35</v>
      </c>
      <c r="F1846" s="1">
        <v>24</v>
      </c>
      <c r="G1846" s="2" t="s">
        <v>50</v>
      </c>
      <c r="J1846"/>
      <c r="K1846" s="19"/>
      <c r="L1846" s="21"/>
      <c r="M1846" s="27"/>
      <c r="N1846" s="19"/>
      <c r="O1846" s="21"/>
      <c r="Q1846" s="7">
        <f>Table2[[#This Row],[Elevation
PILE TOP]]-Table2[[#This Row],[LENGTH(m.)
(Actual)]]</f>
        <v>0</v>
      </c>
      <c r="R1846" s="2"/>
      <c r="S1846" s="7">
        <f>Table2[[#This Row],[N]]+Table2[[#This Row],[Pile 
Deviation 
N (m)]]</f>
        <v>1511688.0330000001</v>
      </c>
      <c r="T1846" s="7">
        <f>Table2[[#This Row],[E]]+Table2[[#This Row],[Pile 
Deviation 
E (m)]]</f>
        <v>694110.69400000002</v>
      </c>
      <c r="W1846" s="7">
        <v>0.24</v>
      </c>
      <c r="X1846" s="2" t="s">
        <v>51</v>
      </c>
    </row>
    <row r="1847" spans="1:27" ht="13.95" hidden="1" customHeight="1" x14ac:dyDescent="0.65">
      <c r="A1847">
        <v>1841</v>
      </c>
      <c r="B1847" t="s">
        <v>29</v>
      </c>
      <c r="C1847" s="6">
        <v>1511688.023</v>
      </c>
      <c r="D1847" s="6">
        <v>694091.84600000002</v>
      </c>
      <c r="E1847" s="2" t="s">
        <v>35</v>
      </c>
      <c r="F1847" s="1">
        <v>24</v>
      </c>
      <c r="G1847" s="2" t="s">
        <v>50</v>
      </c>
      <c r="J1847"/>
      <c r="K1847" s="19"/>
      <c r="L1847" s="21"/>
      <c r="M1847" s="27"/>
      <c r="N1847" s="19"/>
      <c r="O1847" s="21"/>
      <c r="Q1847" s="7">
        <f>Table2[[#This Row],[Elevation
PILE TOP]]-Table2[[#This Row],[LENGTH(m.)
(Actual)]]</f>
        <v>0</v>
      </c>
      <c r="R1847" s="2"/>
      <c r="S1847" s="7">
        <f>Table2[[#This Row],[N]]+Table2[[#This Row],[Pile 
Deviation 
N (m)]]</f>
        <v>1511688.023</v>
      </c>
      <c r="T1847" s="7">
        <f>Table2[[#This Row],[E]]+Table2[[#This Row],[Pile 
Deviation 
E (m)]]</f>
        <v>694091.84600000002</v>
      </c>
      <c r="W1847" s="7">
        <v>0.24</v>
      </c>
      <c r="X1847" s="2" t="s">
        <v>51</v>
      </c>
    </row>
    <row r="1848" spans="1:27" hidden="1" x14ac:dyDescent="0.65">
      <c r="A1848">
        <v>1842</v>
      </c>
      <c r="B1848" t="s">
        <v>29</v>
      </c>
      <c r="C1848" s="6">
        <v>1511688.0120000001</v>
      </c>
      <c r="D1848" s="6">
        <v>694072.99800000002</v>
      </c>
      <c r="E1848" s="2" t="s">
        <v>35</v>
      </c>
      <c r="F1848" s="1">
        <v>24</v>
      </c>
      <c r="G1848" s="2" t="s">
        <v>50</v>
      </c>
      <c r="J1848"/>
      <c r="K1848" s="19"/>
      <c r="L1848" s="21"/>
      <c r="M1848" s="27"/>
      <c r="N1848" s="19"/>
      <c r="O1848" s="21"/>
      <c r="Q1848" s="7">
        <f>Table2[[#This Row],[Elevation
PILE TOP]]-Table2[[#This Row],[LENGTH(m.)
(Actual)]]</f>
        <v>0</v>
      </c>
      <c r="R1848" s="2"/>
      <c r="S1848" s="7">
        <f>Table2[[#This Row],[N]]+Table2[[#This Row],[Pile 
Deviation 
N (m)]]</f>
        <v>1511688.0120000001</v>
      </c>
      <c r="T1848" s="7">
        <f>Table2[[#This Row],[E]]+Table2[[#This Row],[Pile 
Deviation 
E (m)]]</f>
        <v>694072.99800000002</v>
      </c>
      <c r="W1848" s="7">
        <v>0.24</v>
      </c>
      <c r="X1848" s="2" t="s">
        <v>51</v>
      </c>
    </row>
    <row r="1849" spans="1:27" ht="13.95" hidden="1" customHeight="1" x14ac:dyDescent="0.65">
      <c r="A1849">
        <v>1843</v>
      </c>
      <c r="B1849" t="s">
        <v>29</v>
      </c>
      <c r="C1849" s="6">
        <v>1511687.791</v>
      </c>
      <c r="D1849" s="6">
        <v>694042.92099999997</v>
      </c>
      <c r="E1849" s="2" t="s">
        <v>35</v>
      </c>
      <c r="F1849" s="1">
        <v>24</v>
      </c>
      <c r="G1849" s="2" t="s">
        <v>50</v>
      </c>
      <c r="J1849"/>
      <c r="K1849" s="19"/>
      <c r="L1849" s="21"/>
      <c r="M1849" s="27"/>
      <c r="N1849" s="19"/>
      <c r="O1849" s="21"/>
      <c r="Q1849" s="7">
        <f>Table2[[#This Row],[Elevation
PILE TOP]]-Table2[[#This Row],[LENGTH(m.)
(Actual)]]</f>
        <v>0</v>
      </c>
      <c r="R1849" s="2"/>
      <c r="S1849" s="7">
        <f>Table2[[#This Row],[N]]+Table2[[#This Row],[Pile 
Deviation 
N (m)]]</f>
        <v>1511687.791</v>
      </c>
      <c r="T1849" s="7">
        <f>Table2[[#This Row],[E]]+Table2[[#This Row],[Pile 
Deviation 
E (m)]]</f>
        <v>694042.92099999997</v>
      </c>
      <c r="W1849" s="7">
        <v>0.24</v>
      </c>
      <c r="X1849" s="2" t="s">
        <v>51</v>
      </c>
    </row>
    <row r="1850" spans="1:27" x14ac:dyDescent="0.65">
      <c r="A1850">
        <v>1844</v>
      </c>
      <c r="B1850" t="s">
        <v>29</v>
      </c>
      <c r="C1850" s="6">
        <v>1511687.5209999999</v>
      </c>
      <c r="D1850" s="6">
        <v>693983.02500000002</v>
      </c>
      <c r="E1850" s="2" t="s">
        <v>35</v>
      </c>
      <c r="F1850" s="1">
        <v>24</v>
      </c>
      <c r="G1850" s="2" t="s">
        <v>50</v>
      </c>
      <c r="J1850"/>
      <c r="K1850" s="19"/>
      <c r="L1850" s="21"/>
      <c r="M1850" s="27"/>
      <c r="N1850" s="19"/>
      <c r="O1850" s="21"/>
      <c r="Q1850" s="7">
        <f>Table2[[#This Row],[Elevation
PILE TOP]]-Table2[[#This Row],[LENGTH(m.)
(Actual)]]</f>
        <v>0</v>
      </c>
      <c r="R1850" s="2"/>
      <c r="S1850" s="7">
        <f>Table2[[#This Row],[N]]+Table2[[#This Row],[Pile 
Deviation 
N (m)]]</f>
        <v>1511687.5209999999</v>
      </c>
      <c r="T1850" s="7">
        <f>Table2[[#This Row],[E]]+Table2[[#This Row],[Pile 
Deviation 
E (m)]]</f>
        <v>693983.02500000002</v>
      </c>
      <c r="W1850" s="7">
        <v>0.24</v>
      </c>
      <c r="X1850" s="2" t="s">
        <v>51</v>
      </c>
      <c r="AA1850" s="9">
        <v>46200</v>
      </c>
    </row>
    <row r="1851" spans="1:27" ht="13.95" hidden="1" customHeight="1" x14ac:dyDescent="0.65">
      <c r="A1851">
        <v>1845</v>
      </c>
      <c r="B1851" t="s">
        <v>29</v>
      </c>
      <c r="C1851" s="6">
        <v>1511687.389</v>
      </c>
      <c r="D1851" s="6">
        <v>694121.74300000002</v>
      </c>
      <c r="E1851" s="2" t="s">
        <v>35</v>
      </c>
      <c r="F1851" s="1">
        <v>24</v>
      </c>
      <c r="G1851" s="2" t="s">
        <v>50</v>
      </c>
      <c r="J1851"/>
      <c r="K1851" s="19"/>
      <c r="L1851" s="21"/>
      <c r="M1851" s="27"/>
      <c r="N1851" s="19"/>
      <c r="O1851" s="21"/>
      <c r="Q1851" s="7">
        <f>Table2[[#This Row],[Elevation
PILE TOP]]-Table2[[#This Row],[LENGTH(m.)
(Actual)]]</f>
        <v>0</v>
      </c>
      <c r="R1851" s="2"/>
      <c r="S1851" s="7">
        <f>Table2[[#This Row],[N]]+Table2[[#This Row],[Pile 
Deviation 
N (m)]]</f>
        <v>1511687.389</v>
      </c>
      <c r="T1851" s="7">
        <f>Table2[[#This Row],[E]]+Table2[[#This Row],[Pile 
Deviation 
E (m)]]</f>
        <v>694121.74300000002</v>
      </c>
      <c r="W1851" s="7">
        <v>0.24</v>
      </c>
      <c r="X1851" s="2" t="s">
        <v>51</v>
      </c>
    </row>
    <row r="1852" spans="1:27" hidden="1" x14ac:dyDescent="0.65">
      <c r="A1852">
        <v>1846</v>
      </c>
      <c r="B1852" t="s">
        <v>29</v>
      </c>
      <c r="C1852" s="6">
        <v>1511687.388</v>
      </c>
      <c r="D1852" s="6">
        <v>694053.98199999996</v>
      </c>
      <c r="E1852" s="2" t="s">
        <v>35</v>
      </c>
      <c r="F1852" s="1">
        <v>24</v>
      </c>
      <c r="G1852" s="2" t="s">
        <v>50</v>
      </c>
      <c r="J1852"/>
      <c r="K1852" s="19"/>
      <c r="L1852" s="21"/>
      <c r="M1852" s="27"/>
      <c r="N1852" s="19"/>
      <c r="O1852" s="21"/>
      <c r="Q1852" s="7">
        <f>Table2[[#This Row],[Elevation
PILE TOP]]-Table2[[#This Row],[LENGTH(m.)
(Actual)]]</f>
        <v>0</v>
      </c>
      <c r="R1852" s="2"/>
      <c r="S1852" s="7">
        <f>Table2[[#This Row],[N]]+Table2[[#This Row],[Pile 
Deviation 
N (m)]]</f>
        <v>1511687.388</v>
      </c>
      <c r="T1852" s="7">
        <f>Table2[[#This Row],[E]]+Table2[[#This Row],[Pile 
Deviation 
E (m)]]</f>
        <v>694053.98199999996</v>
      </c>
      <c r="W1852" s="7">
        <v>0.24</v>
      </c>
      <c r="X1852" s="2" t="s">
        <v>51</v>
      </c>
    </row>
    <row r="1853" spans="1:27" ht="13.95" hidden="1" customHeight="1" x14ac:dyDescent="0.65">
      <c r="A1853">
        <v>1847</v>
      </c>
      <c r="B1853" t="s">
        <v>29</v>
      </c>
      <c r="C1853" s="6">
        <v>1511687.379</v>
      </c>
      <c r="D1853" s="6">
        <v>694102.89500000002</v>
      </c>
      <c r="E1853" s="2" t="s">
        <v>35</v>
      </c>
      <c r="F1853" s="1">
        <v>24</v>
      </c>
      <c r="G1853" s="2" t="s">
        <v>50</v>
      </c>
      <c r="J1853"/>
      <c r="K1853" s="19"/>
      <c r="L1853" s="21"/>
      <c r="M1853" s="27"/>
      <c r="N1853" s="19"/>
      <c r="O1853" s="21"/>
      <c r="Q1853" s="7">
        <f>Table2[[#This Row],[Elevation
PILE TOP]]-Table2[[#This Row],[LENGTH(m.)
(Actual)]]</f>
        <v>0</v>
      </c>
      <c r="R1853" s="2"/>
      <c r="S1853" s="7">
        <f>Table2[[#This Row],[N]]+Table2[[#This Row],[Pile 
Deviation 
N (m)]]</f>
        <v>1511687.379</v>
      </c>
      <c r="T1853" s="7">
        <f>Table2[[#This Row],[E]]+Table2[[#This Row],[Pile 
Deviation 
E (m)]]</f>
        <v>694102.89500000002</v>
      </c>
      <c r="W1853" s="7">
        <v>0.24</v>
      </c>
      <c r="X1853" s="2" t="s">
        <v>51</v>
      </c>
    </row>
    <row r="1854" spans="1:27" hidden="1" x14ac:dyDescent="0.65">
      <c r="A1854">
        <v>1848</v>
      </c>
      <c r="B1854" t="s">
        <v>29</v>
      </c>
      <c r="C1854" s="6">
        <v>1511687.37</v>
      </c>
      <c r="D1854" s="6">
        <v>694024.07799999998</v>
      </c>
      <c r="E1854" s="2" t="s">
        <v>35</v>
      </c>
      <c r="F1854" s="1">
        <v>24</v>
      </c>
      <c r="G1854" s="2" t="s">
        <v>50</v>
      </c>
      <c r="J1854"/>
      <c r="K1854" s="19"/>
      <c r="L1854" s="21"/>
      <c r="M1854" s="27"/>
      <c r="N1854" s="19"/>
      <c r="O1854" s="21"/>
      <c r="Q1854" s="7">
        <f>Table2[[#This Row],[Elevation
PILE TOP]]-Table2[[#This Row],[LENGTH(m.)
(Actual)]]</f>
        <v>0</v>
      </c>
      <c r="R1854" s="2"/>
      <c r="S1854" s="7">
        <f>Table2[[#This Row],[N]]+Table2[[#This Row],[Pile 
Deviation 
N (m)]]</f>
        <v>1511687.37</v>
      </c>
      <c r="T1854" s="7">
        <f>Table2[[#This Row],[E]]+Table2[[#This Row],[Pile 
Deviation 
E (m)]]</f>
        <v>694024.07799999998</v>
      </c>
      <c r="W1854" s="7">
        <v>0.24</v>
      </c>
      <c r="X1854" s="2" t="s">
        <v>51</v>
      </c>
    </row>
    <row r="1855" spans="1:27" ht="13.95" hidden="1" customHeight="1" x14ac:dyDescent="0.65">
      <c r="A1855">
        <v>1849</v>
      </c>
      <c r="B1855" t="s">
        <v>29</v>
      </c>
      <c r="C1855" s="6">
        <v>1511687.3689999999</v>
      </c>
      <c r="D1855" s="6">
        <v>694084.04700000002</v>
      </c>
      <c r="E1855" s="2" t="s">
        <v>35</v>
      </c>
      <c r="F1855" s="1">
        <v>24</v>
      </c>
      <c r="G1855" s="2" t="s">
        <v>50</v>
      </c>
      <c r="J1855"/>
      <c r="K1855" s="19"/>
      <c r="L1855" s="21"/>
      <c r="M1855" s="27"/>
      <c r="N1855" s="19"/>
      <c r="O1855" s="21"/>
      <c r="Q1855" s="7">
        <f>Table2[[#This Row],[Elevation
PILE TOP]]-Table2[[#This Row],[LENGTH(m.)
(Actual)]]</f>
        <v>0</v>
      </c>
      <c r="R1855" s="2"/>
      <c r="S1855" s="7">
        <f>Table2[[#This Row],[N]]+Table2[[#This Row],[Pile 
Deviation 
N (m)]]</f>
        <v>1511687.3689999999</v>
      </c>
      <c r="T1855" s="7">
        <f>Table2[[#This Row],[E]]+Table2[[#This Row],[Pile 
Deviation 
E (m)]]</f>
        <v>694084.04700000002</v>
      </c>
      <c r="W1855" s="7">
        <v>0.24</v>
      </c>
      <c r="X1855" s="2" t="s">
        <v>51</v>
      </c>
    </row>
    <row r="1856" spans="1:27" hidden="1" x14ac:dyDescent="0.65">
      <c r="A1856">
        <v>1850</v>
      </c>
      <c r="B1856" t="s">
        <v>29</v>
      </c>
      <c r="C1856" s="6">
        <v>1511687.358</v>
      </c>
      <c r="D1856" s="6">
        <v>694065.19900000002</v>
      </c>
      <c r="E1856" s="2" t="s">
        <v>35</v>
      </c>
      <c r="F1856" s="1">
        <v>24</v>
      </c>
      <c r="G1856" s="2" t="s">
        <v>50</v>
      </c>
      <c r="J1856"/>
      <c r="K1856" s="19"/>
      <c r="L1856" s="21"/>
      <c r="M1856" s="27"/>
      <c r="N1856" s="19"/>
      <c r="O1856" s="21"/>
      <c r="Q1856" s="7">
        <f>Table2[[#This Row],[Elevation
PILE TOP]]-Table2[[#This Row],[LENGTH(m.)
(Actual)]]</f>
        <v>0</v>
      </c>
      <c r="R1856" s="2"/>
      <c r="S1856" s="7">
        <f>Table2[[#This Row],[N]]+Table2[[#This Row],[Pile 
Deviation 
N (m)]]</f>
        <v>1511687.358</v>
      </c>
      <c r="T1856" s="7">
        <f>Table2[[#This Row],[E]]+Table2[[#This Row],[Pile 
Deviation 
E (m)]]</f>
        <v>694065.19900000002</v>
      </c>
      <c r="W1856" s="7">
        <v>0.24</v>
      </c>
      <c r="X1856" s="2" t="s">
        <v>51</v>
      </c>
    </row>
    <row r="1857" spans="1:27" ht="13.95" hidden="1" customHeight="1" x14ac:dyDescent="0.65">
      <c r="A1857">
        <v>1851</v>
      </c>
      <c r="B1857" t="s">
        <v>29</v>
      </c>
      <c r="C1857" s="6">
        <v>1511687.28</v>
      </c>
      <c r="D1857" s="6">
        <v>693873.05500000005</v>
      </c>
      <c r="E1857" s="2" t="s">
        <v>35</v>
      </c>
      <c r="F1857" s="1">
        <v>24</v>
      </c>
      <c r="G1857" s="2" t="s">
        <v>50</v>
      </c>
      <c r="J1857"/>
      <c r="K1857" s="19"/>
      <c r="L1857" s="21"/>
      <c r="M1857" s="27"/>
      <c r="N1857" s="19"/>
      <c r="O1857" s="21"/>
      <c r="Q1857" s="7">
        <f>Table2[[#This Row],[Elevation
PILE TOP]]-Table2[[#This Row],[LENGTH(m.)
(Actual)]]</f>
        <v>0</v>
      </c>
      <c r="R1857" s="2"/>
      <c r="S1857" s="7">
        <f>Table2[[#This Row],[N]]+Table2[[#This Row],[Pile 
Deviation 
N (m)]]</f>
        <v>1511687.28</v>
      </c>
      <c r="T1857" s="7">
        <f>Table2[[#This Row],[E]]+Table2[[#This Row],[Pile 
Deviation 
E (m)]]</f>
        <v>693873.05500000005</v>
      </c>
      <c r="W1857" s="7">
        <v>0.24</v>
      </c>
      <c r="X1857" s="2" t="s">
        <v>51</v>
      </c>
      <c r="AA1857" s="9">
        <v>46209</v>
      </c>
    </row>
    <row r="1858" spans="1:27" hidden="1" x14ac:dyDescent="0.65">
      <c r="A1858">
        <v>1852</v>
      </c>
      <c r="B1858" t="s">
        <v>29</v>
      </c>
      <c r="C1858" s="6">
        <v>1511686.9669999999</v>
      </c>
      <c r="D1858" s="6">
        <v>694035.13800000004</v>
      </c>
      <c r="E1858" s="2" t="s">
        <v>35</v>
      </c>
      <c r="F1858" s="1">
        <v>24</v>
      </c>
      <c r="G1858" s="2" t="s">
        <v>50</v>
      </c>
      <c r="J1858"/>
      <c r="K1858" s="19"/>
      <c r="L1858" s="21"/>
      <c r="M1858" s="27"/>
      <c r="N1858" s="19"/>
      <c r="O1858" s="21"/>
      <c r="Q1858" s="7">
        <f>Table2[[#This Row],[Elevation
PILE TOP]]-Table2[[#This Row],[LENGTH(m.)
(Actual)]]</f>
        <v>0</v>
      </c>
      <c r="R1858" s="2"/>
      <c r="S1858" s="7">
        <f>Table2[[#This Row],[N]]+Table2[[#This Row],[Pile 
Deviation 
N (m)]]</f>
        <v>1511686.9669999999</v>
      </c>
      <c r="T1858" s="7">
        <f>Table2[[#This Row],[E]]+Table2[[#This Row],[Pile 
Deviation 
E (m)]]</f>
        <v>694035.13800000004</v>
      </c>
      <c r="W1858" s="7">
        <v>0.24</v>
      </c>
      <c r="X1858" s="2" t="s">
        <v>51</v>
      </c>
    </row>
    <row r="1859" spans="1:27" ht="13.95" hidden="1" customHeight="1" x14ac:dyDescent="0.65">
      <c r="A1859">
        <v>1853</v>
      </c>
      <c r="B1859" t="s">
        <v>29</v>
      </c>
      <c r="C1859" s="6">
        <v>1511686.807</v>
      </c>
      <c r="D1859" s="6">
        <v>694061.23899999994</v>
      </c>
      <c r="E1859" s="2" t="s">
        <v>35</v>
      </c>
      <c r="F1859" s="1">
        <v>24</v>
      </c>
      <c r="G1859" s="2" t="s">
        <v>50</v>
      </c>
      <c r="J1859"/>
      <c r="K1859" s="19"/>
      <c r="L1859" s="21"/>
      <c r="M1859" s="27"/>
      <c r="N1859" s="19"/>
      <c r="O1859" s="21"/>
      <c r="Q1859" s="7">
        <f>Table2[[#This Row],[Elevation
PILE TOP]]-Table2[[#This Row],[LENGTH(m.)
(Actual)]]</f>
        <v>0</v>
      </c>
      <c r="R1859" s="2"/>
      <c r="S1859" s="7">
        <f>Table2[[#This Row],[N]]+Table2[[#This Row],[Pile 
Deviation 
N (m)]]</f>
        <v>1511686.807</v>
      </c>
      <c r="T1859" s="7">
        <f>Table2[[#This Row],[E]]+Table2[[#This Row],[Pile 
Deviation 
E (m)]]</f>
        <v>694061.23899999994</v>
      </c>
      <c r="W1859" s="7">
        <v>0.24</v>
      </c>
      <c r="X1859" s="2" t="s">
        <v>51</v>
      </c>
    </row>
    <row r="1860" spans="1:27" hidden="1" x14ac:dyDescent="0.65">
      <c r="A1860">
        <v>1854</v>
      </c>
      <c r="B1860" t="s">
        <v>29</v>
      </c>
      <c r="C1860" s="6">
        <v>1511686.746</v>
      </c>
      <c r="D1860" s="6">
        <v>694132.79200000002</v>
      </c>
      <c r="E1860" s="2" t="s">
        <v>35</v>
      </c>
      <c r="F1860" s="1">
        <v>24</v>
      </c>
      <c r="G1860" s="2" t="s">
        <v>50</v>
      </c>
      <c r="J1860"/>
      <c r="K1860" s="19"/>
      <c r="L1860" s="21"/>
      <c r="M1860" s="27"/>
      <c r="N1860" s="19"/>
      <c r="O1860" s="21"/>
      <c r="Q1860" s="7">
        <f>Table2[[#This Row],[Elevation
PILE TOP]]-Table2[[#This Row],[LENGTH(m.)
(Actual)]]</f>
        <v>0</v>
      </c>
      <c r="R1860" s="2"/>
      <c r="S1860" s="7">
        <f>Table2[[#This Row],[N]]+Table2[[#This Row],[Pile 
Deviation 
N (m)]]</f>
        <v>1511686.746</v>
      </c>
      <c r="T1860" s="7">
        <f>Table2[[#This Row],[E]]+Table2[[#This Row],[Pile 
Deviation 
E (m)]]</f>
        <v>694132.79200000002</v>
      </c>
      <c r="W1860" s="7">
        <v>0.24</v>
      </c>
      <c r="X1860" s="2" t="s">
        <v>51</v>
      </c>
    </row>
    <row r="1861" spans="1:27" ht="13.95" hidden="1" customHeight="1" x14ac:dyDescent="0.65">
      <c r="A1861">
        <v>1855</v>
      </c>
      <c r="B1861" t="s">
        <v>29</v>
      </c>
      <c r="C1861" s="6">
        <v>1511686.7350000001</v>
      </c>
      <c r="D1861" s="6">
        <v>694113.94400000002</v>
      </c>
      <c r="E1861" s="2" t="s">
        <v>35</v>
      </c>
      <c r="F1861" s="1">
        <v>24</v>
      </c>
      <c r="G1861" s="2" t="s">
        <v>50</v>
      </c>
      <c r="J1861"/>
      <c r="K1861" s="19"/>
      <c r="L1861" s="21"/>
      <c r="M1861" s="27"/>
      <c r="N1861" s="19"/>
      <c r="O1861" s="21"/>
      <c r="Q1861" s="7">
        <f>Table2[[#This Row],[Elevation
PILE TOP]]-Table2[[#This Row],[LENGTH(m.)
(Actual)]]</f>
        <v>0</v>
      </c>
      <c r="R1861" s="2"/>
      <c r="S1861" s="7">
        <f>Table2[[#This Row],[N]]+Table2[[#This Row],[Pile 
Deviation 
N (m)]]</f>
        <v>1511686.7350000001</v>
      </c>
      <c r="T1861" s="7">
        <f>Table2[[#This Row],[E]]+Table2[[#This Row],[Pile 
Deviation 
E (m)]]</f>
        <v>694113.94400000002</v>
      </c>
      <c r="W1861" s="7">
        <v>0.24</v>
      </c>
      <c r="X1861" s="2" t="s">
        <v>51</v>
      </c>
    </row>
    <row r="1862" spans="1:27" hidden="1" x14ac:dyDescent="0.65">
      <c r="A1862">
        <v>1856</v>
      </c>
      <c r="B1862" t="s">
        <v>29</v>
      </c>
      <c r="C1862" s="6">
        <v>1511686.7250000001</v>
      </c>
      <c r="D1862" s="6">
        <v>694095.09600000002</v>
      </c>
      <c r="E1862" s="2" t="s">
        <v>35</v>
      </c>
      <c r="F1862" s="1">
        <v>24</v>
      </c>
      <c r="G1862" s="2" t="s">
        <v>50</v>
      </c>
      <c r="J1862"/>
      <c r="K1862" s="19"/>
      <c r="L1862" s="21"/>
      <c r="M1862" s="27"/>
      <c r="N1862" s="19"/>
      <c r="O1862" s="21"/>
      <c r="Q1862" s="7">
        <f>Table2[[#This Row],[Elevation
PILE TOP]]-Table2[[#This Row],[LENGTH(m.)
(Actual)]]</f>
        <v>0</v>
      </c>
      <c r="R1862" s="2"/>
      <c r="S1862" s="7">
        <f>Table2[[#This Row],[N]]+Table2[[#This Row],[Pile 
Deviation 
N (m)]]</f>
        <v>1511686.7250000001</v>
      </c>
      <c r="T1862" s="7">
        <f>Table2[[#This Row],[E]]+Table2[[#This Row],[Pile 
Deviation 
E (m)]]</f>
        <v>694095.09600000002</v>
      </c>
      <c r="W1862" s="7">
        <v>0.24</v>
      </c>
      <c r="X1862" s="2" t="s">
        <v>51</v>
      </c>
    </row>
    <row r="1863" spans="1:27" ht="13.95" hidden="1" customHeight="1" x14ac:dyDescent="0.65">
      <c r="A1863">
        <v>1857</v>
      </c>
      <c r="B1863" t="s">
        <v>29</v>
      </c>
      <c r="C1863" s="6">
        <v>1511686.7139999999</v>
      </c>
      <c r="D1863" s="6">
        <v>694076.24800000002</v>
      </c>
      <c r="E1863" s="2" t="s">
        <v>35</v>
      </c>
      <c r="F1863" s="1">
        <v>24</v>
      </c>
      <c r="G1863" s="2" t="s">
        <v>50</v>
      </c>
      <c r="J1863"/>
      <c r="K1863" s="19"/>
      <c r="L1863" s="21"/>
      <c r="M1863" s="27"/>
      <c r="N1863" s="19"/>
      <c r="O1863" s="21"/>
      <c r="Q1863" s="7">
        <f>Table2[[#This Row],[Elevation
PILE TOP]]-Table2[[#This Row],[LENGTH(m.)
(Actual)]]</f>
        <v>0</v>
      </c>
      <c r="R1863" s="2"/>
      <c r="S1863" s="7">
        <f>Table2[[#This Row],[N]]+Table2[[#This Row],[Pile 
Deviation 
N (m)]]</f>
        <v>1511686.7139999999</v>
      </c>
      <c r="T1863" s="7">
        <f>Table2[[#This Row],[E]]+Table2[[#This Row],[Pile 
Deviation 
E (m)]]</f>
        <v>694076.24800000002</v>
      </c>
      <c r="W1863" s="7">
        <v>0.24</v>
      </c>
      <c r="X1863" s="2" t="s">
        <v>51</v>
      </c>
    </row>
    <row r="1864" spans="1:27" hidden="1" x14ac:dyDescent="0.65">
      <c r="A1864">
        <v>1858</v>
      </c>
      <c r="B1864" t="s">
        <v>29</v>
      </c>
      <c r="C1864" s="6">
        <v>1511686.564</v>
      </c>
      <c r="D1864" s="6">
        <v>694046.19900000002</v>
      </c>
      <c r="E1864" s="2" t="s">
        <v>35</v>
      </c>
      <c r="F1864" s="1">
        <v>24</v>
      </c>
      <c r="G1864" s="2" t="s">
        <v>50</v>
      </c>
      <c r="J1864"/>
      <c r="K1864" s="19"/>
      <c r="L1864" s="21"/>
      <c r="M1864" s="27"/>
      <c r="N1864" s="19"/>
      <c r="O1864" s="21"/>
      <c r="Q1864" s="7">
        <f>Table2[[#This Row],[Elevation
PILE TOP]]-Table2[[#This Row],[LENGTH(m.)
(Actual)]]</f>
        <v>0</v>
      </c>
      <c r="R1864" s="2"/>
      <c r="S1864" s="7">
        <f>Table2[[#This Row],[N]]+Table2[[#This Row],[Pile 
Deviation 
N (m)]]</f>
        <v>1511686.564</v>
      </c>
      <c r="T1864" s="7">
        <f>Table2[[#This Row],[E]]+Table2[[#This Row],[Pile 
Deviation 
E (m)]]</f>
        <v>694046.19900000002</v>
      </c>
      <c r="W1864" s="7">
        <v>0.24</v>
      </c>
      <c r="X1864" s="2" t="s">
        <v>51</v>
      </c>
    </row>
    <row r="1865" spans="1:27" ht="13.95" customHeight="1" x14ac:dyDescent="0.65">
      <c r="A1865">
        <v>1859</v>
      </c>
      <c r="B1865" t="s">
        <v>29</v>
      </c>
      <c r="C1865" s="6">
        <v>1511686.294</v>
      </c>
      <c r="D1865" s="6">
        <v>693986.30299999996</v>
      </c>
      <c r="E1865" s="2" t="s">
        <v>35</v>
      </c>
      <c r="F1865" s="1">
        <v>24</v>
      </c>
      <c r="G1865" s="2" t="s">
        <v>50</v>
      </c>
      <c r="J1865"/>
      <c r="K1865" s="19"/>
      <c r="L1865" s="21"/>
      <c r="M1865" s="27"/>
      <c r="N1865" s="19"/>
      <c r="O1865" s="21"/>
      <c r="Q1865" s="7">
        <f>Table2[[#This Row],[Elevation
PILE TOP]]-Table2[[#This Row],[LENGTH(m.)
(Actual)]]</f>
        <v>0</v>
      </c>
      <c r="R1865" s="2"/>
      <c r="S1865" s="7">
        <f>Table2[[#This Row],[N]]+Table2[[#This Row],[Pile 
Deviation 
N (m)]]</f>
        <v>1511686.294</v>
      </c>
      <c r="T1865" s="7">
        <f>Table2[[#This Row],[E]]+Table2[[#This Row],[Pile 
Deviation 
E (m)]]</f>
        <v>693986.30299999996</v>
      </c>
      <c r="W1865" s="7">
        <v>0.24</v>
      </c>
      <c r="X1865" s="2" t="s">
        <v>51</v>
      </c>
      <c r="AA1865" s="9">
        <v>46199</v>
      </c>
    </row>
    <row r="1866" spans="1:27" hidden="1" x14ac:dyDescent="0.65">
      <c r="A1866">
        <v>1860</v>
      </c>
      <c r="B1866" t="s">
        <v>29</v>
      </c>
      <c r="C1866" s="6">
        <v>1511686.3589999999</v>
      </c>
      <c r="D1866" s="6">
        <v>694016.79700000002</v>
      </c>
      <c r="E1866" s="2" t="s">
        <v>35</v>
      </c>
      <c r="F1866" s="1">
        <v>24</v>
      </c>
      <c r="G1866" s="2" t="s">
        <v>50</v>
      </c>
      <c r="J1866"/>
      <c r="K1866" s="19"/>
      <c r="L1866" s="21"/>
      <c r="M1866" s="27"/>
      <c r="N1866" s="19"/>
      <c r="O1866" s="21"/>
      <c r="Q1866" s="7">
        <f>Table2[[#This Row],[Elevation
PILE TOP]]-Table2[[#This Row],[LENGTH(m.)
(Actual)]]</f>
        <v>0</v>
      </c>
      <c r="R1866" s="2"/>
      <c r="S1866" s="7">
        <f>Table2[[#This Row],[N]]+Table2[[#This Row],[Pile 
Deviation 
N (m)]]</f>
        <v>1511686.3589999999</v>
      </c>
      <c r="T1866" s="7">
        <f>Table2[[#This Row],[E]]+Table2[[#This Row],[Pile 
Deviation 
E (m)]]</f>
        <v>694016.79700000002</v>
      </c>
      <c r="W1866" s="7">
        <v>0.24</v>
      </c>
      <c r="X1866" s="2" t="s">
        <v>51</v>
      </c>
    </row>
    <row r="1867" spans="1:27" ht="13.95" hidden="1" customHeight="1" x14ac:dyDescent="0.65">
      <c r="A1867">
        <v>1861</v>
      </c>
      <c r="B1867" t="s">
        <v>29</v>
      </c>
      <c r="C1867" s="6">
        <v>1511686.1610000001</v>
      </c>
      <c r="D1867" s="6">
        <v>694057.26</v>
      </c>
      <c r="E1867" s="2" t="s">
        <v>35</v>
      </c>
      <c r="F1867" s="1">
        <v>24</v>
      </c>
      <c r="G1867" s="2" t="s">
        <v>50</v>
      </c>
      <c r="J1867"/>
      <c r="K1867" s="19"/>
      <c r="L1867" s="21"/>
      <c r="M1867" s="27"/>
      <c r="N1867" s="19"/>
      <c r="O1867" s="21"/>
      <c r="Q1867" s="7">
        <f>Table2[[#This Row],[Elevation
PILE TOP]]-Table2[[#This Row],[LENGTH(m.)
(Actual)]]</f>
        <v>0</v>
      </c>
      <c r="R1867" s="2"/>
      <c r="S1867" s="7">
        <f>Table2[[#This Row],[N]]+Table2[[#This Row],[Pile 
Deviation 
N (m)]]</f>
        <v>1511686.1610000001</v>
      </c>
      <c r="T1867" s="7">
        <f>Table2[[#This Row],[E]]+Table2[[#This Row],[Pile 
Deviation 
E (m)]]</f>
        <v>694057.26</v>
      </c>
      <c r="W1867" s="7">
        <v>0.24</v>
      </c>
      <c r="X1867" s="2" t="s">
        <v>51</v>
      </c>
    </row>
    <row r="1868" spans="1:27" hidden="1" x14ac:dyDescent="0.65">
      <c r="A1868">
        <v>1862</v>
      </c>
      <c r="B1868" t="s">
        <v>29</v>
      </c>
      <c r="C1868" s="6">
        <v>1511686.1429999999</v>
      </c>
      <c r="D1868" s="6">
        <v>694027.35600000003</v>
      </c>
      <c r="E1868" s="2" t="s">
        <v>35</v>
      </c>
      <c r="F1868" s="1">
        <v>24</v>
      </c>
      <c r="G1868" s="2" t="s">
        <v>50</v>
      </c>
      <c r="J1868"/>
      <c r="K1868" s="19"/>
      <c r="L1868" s="21"/>
      <c r="M1868" s="27"/>
      <c r="N1868" s="19"/>
      <c r="O1868" s="21"/>
      <c r="Q1868" s="7">
        <f>Table2[[#This Row],[Elevation
PILE TOP]]-Table2[[#This Row],[LENGTH(m.)
(Actual)]]</f>
        <v>0</v>
      </c>
      <c r="R1868" s="2"/>
      <c r="S1868" s="7">
        <f>Table2[[#This Row],[N]]+Table2[[#This Row],[Pile 
Deviation 
N (m)]]</f>
        <v>1511686.1429999999</v>
      </c>
      <c r="T1868" s="7">
        <f>Table2[[#This Row],[E]]+Table2[[#This Row],[Pile 
Deviation 
E (m)]]</f>
        <v>694027.35600000003</v>
      </c>
      <c r="W1868" s="7">
        <v>0.24</v>
      </c>
      <c r="X1868" s="2" t="s">
        <v>51</v>
      </c>
    </row>
    <row r="1869" spans="1:27" ht="13.95" hidden="1" customHeight="1" x14ac:dyDescent="0.65">
      <c r="A1869">
        <v>1863</v>
      </c>
      <c r="B1869" t="s">
        <v>29</v>
      </c>
      <c r="C1869" s="6">
        <v>1511686.115</v>
      </c>
      <c r="D1869" s="6">
        <v>693876.35600000003</v>
      </c>
      <c r="E1869" s="2" t="s">
        <v>35</v>
      </c>
      <c r="F1869" s="1">
        <v>24</v>
      </c>
      <c r="G1869" s="2" t="s">
        <v>50</v>
      </c>
      <c r="J1869"/>
      <c r="K1869" s="19"/>
      <c r="L1869" s="21"/>
      <c r="M1869" s="27"/>
      <c r="N1869" s="19"/>
      <c r="O1869" s="21"/>
      <c r="Q1869" s="7">
        <f>Table2[[#This Row],[Elevation
PILE TOP]]-Table2[[#This Row],[LENGTH(m.)
(Actual)]]</f>
        <v>0</v>
      </c>
      <c r="R1869" s="2"/>
      <c r="S1869" s="7">
        <f>Table2[[#This Row],[N]]+Table2[[#This Row],[Pile 
Deviation 
N (m)]]</f>
        <v>1511686.115</v>
      </c>
      <c r="T1869" s="7">
        <f>Table2[[#This Row],[E]]+Table2[[#This Row],[Pile 
Deviation 
E (m)]]</f>
        <v>693876.35600000003</v>
      </c>
      <c r="W1869" s="7">
        <v>0.24</v>
      </c>
      <c r="X1869" s="2" t="s">
        <v>51</v>
      </c>
      <c r="AA1869" s="9">
        <v>46209</v>
      </c>
    </row>
    <row r="1870" spans="1:27" hidden="1" x14ac:dyDescent="0.65">
      <c r="A1870">
        <v>1864</v>
      </c>
      <c r="B1870" t="s">
        <v>29</v>
      </c>
      <c r="C1870" s="6">
        <v>1511686.091</v>
      </c>
      <c r="D1870" s="6">
        <v>694124.99300000002</v>
      </c>
      <c r="E1870" s="2" t="s">
        <v>35</v>
      </c>
      <c r="F1870" s="1">
        <v>24</v>
      </c>
      <c r="G1870" s="2" t="s">
        <v>50</v>
      </c>
      <c r="J1870"/>
      <c r="K1870" s="19"/>
      <c r="L1870" s="21"/>
      <c r="M1870" s="27"/>
      <c r="N1870" s="19"/>
      <c r="O1870" s="21"/>
      <c r="Q1870" s="7">
        <f>Table2[[#This Row],[Elevation
PILE TOP]]-Table2[[#This Row],[LENGTH(m.)
(Actual)]]</f>
        <v>0</v>
      </c>
      <c r="R1870" s="2"/>
      <c r="S1870" s="7">
        <f>Table2[[#This Row],[N]]+Table2[[#This Row],[Pile 
Deviation 
N (m)]]</f>
        <v>1511686.091</v>
      </c>
      <c r="T1870" s="7">
        <f>Table2[[#This Row],[E]]+Table2[[#This Row],[Pile 
Deviation 
E (m)]]</f>
        <v>694124.99300000002</v>
      </c>
      <c r="W1870" s="7">
        <v>0.24</v>
      </c>
      <c r="X1870" s="2" t="s">
        <v>51</v>
      </c>
    </row>
    <row r="1871" spans="1:27" ht="13.95" hidden="1" customHeight="1" x14ac:dyDescent="0.65">
      <c r="A1871">
        <v>1865</v>
      </c>
      <c r="B1871" t="s">
        <v>29</v>
      </c>
      <c r="C1871" s="6">
        <v>1511686.081</v>
      </c>
      <c r="D1871" s="6">
        <v>694106.14500000002</v>
      </c>
      <c r="E1871" s="2" t="s">
        <v>35</v>
      </c>
      <c r="F1871" s="1">
        <v>24</v>
      </c>
      <c r="G1871" s="2" t="s">
        <v>50</v>
      </c>
      <c r="J1871"/>
      <c r="K1871" s="19"/>
      <c r="L1871" s="21"/>
      <c r="M1871" s="27"/>
      <c r="N1871" s="19"/>
      <c r="O1871" s="21"/>
      <c r="Q1871" s="7">
        <f>Table2[[#This Row],[Elevation
PILE TOP]]-Table2[[#This Row],[LENGTH(m.)
(Actual)]]</f>
        <v>0</v>
      </c>
      <c r="R1871" s="2"/>
      <c r="S1871" s="7">
        <f>Table2[[#This Row],[N]]+Table2[[#This Row],[Pile 
Deviation 
N (m)]]</f>
        <v>1511686.081</v>
      </c>
      <c r="T1871" s="7">
        <f>Table2[[#This Row],[E]]+Table2[[#This Row],[Pile 
Deviation 
E (m)]]</f>
        <v>694106.14500000002</v>
      </c>
      <c r="W1871" s="7">
        <v>0.24</v>
      </c>
      <c r="X1871" s="2" t="s">
        <v>51</v>
      </c>
    </row>
    <row r="1872" spans="1:27" hidden="1" x14ac:dyDescent="0.65">
      <c r="A1872">
        <v>1866</v>
      </c>
      <c r="B1872" t="s">
        <v>29</v>
      </c>
      <c r="C1872" s="6">
        <v>1511686.07</v>
      </c>
      <c r="D1872" s="6">
        <v>694087.29700000002</v>
      </c>
      <c r="E1872" s="2" t="s">
        <v>35</v>
      </c>
      <c r="F1872" s="1">
        <v>24</v>
      </c>
      <c r="G1872" s="2" t="s">
        <v>50</v>
      </c>
      <c r="J1872"/>
      <c r="K1872" s="19"/>
      <c r="L1872" s="21"/>
      <c r="M1872" s="27"/>
      <c r="N1872" s="19"/>
      <c r="O1872" s="21"/>
      <c r="Q1872" s="7">
        <f>Table2[[#This Row],[Elevation
PILE TOP]]-Table2[[#This Row],[LENGTH(m.)
(Actual)]]</f>
        <v>0</v>
      </c>
      <c r="R1872" s="2"/>
      <c r="S1872" s="7">
        <f>Table2[[#This Row],[N]]+Table2[[#This Row],[Pile 
Deviation 
N (m)]]</f>
        <v>1511686.07</v>
      </c>
      <c r="T1872" s="7">
        <f>Table2[[#This Row],[E]]+Table2[[#This Row],[Pile 
Deviation 
E (m)]]</f>
        <v>694087.29700000002</v>
      </c>
      <c r="W1872" s="7">
        <v>0.24</v>
      </c>
      <c r="X1872" s="2" t="s">
        <v>51</v>
      </c>
    </row>
    <row r="1873" spans="1:27" ht="13.95" hidden="1" customHeight="1" x14ac:dyDescent="0.65">
      <c r="A1873">
        <v>1867</v>
      </c>
      <c r="B1873" t="s">
        <v>29</v>
      </c>
      <c r="C1873" s="6">
        <v>1511686.06</v>
      </c>
      <c r="D1873" s="6">
        <v>694068.44900000002</v>
      </c>
      <c r="E1873" s="2" t="s">
        <v>35</v>
      </c>
      <c r="F1873" s="1">
        <v>24</v>
      </c>
      <c r="G1873" s="2" t="s">
        <v>50</v>
      </c>
      <c r="J1873"/>
      <c r="K1873" s="19"/>
      <c r="L1873" s="21"/>
      <c r="M1873" s="27"/>
      <c r="N1873" s="19"/>
      <c r="O1873" s="21"/>
      <c r="Q1873" s="7">
        <f>Table2[[#This Row],[Elevation
PILE TOP]]-Table2[[#This Row],[LENGTH(m.)
(Actual)]]</f>
        <v>0</v>
      </c>
      <c r="R1873" s="2"/>
      <c r="S1873" s="7">
        <f>Table2[[#This Row],[N]]+Table2[[#This Row],[Pile 
Deviation 
N (m)]]</f>
        <v>1511686.06</v>
      </c>
      <c r="T1873" s="7">
        <f>Table2[[#This Row],[E]]+Table2[[#This Row],[Pile 
Deviation 
E (m)]]</f>
        <v>694068.44900000002</v>
      </c>
      <c r="W1873" s="7">
        <v>0.24</v>
      </c>
      <c r="X1873" s="2" t="s">
        <v>51</v>
      </c>
    </row>
    <row r="1874" spans="1:27" hidden="1" x14ac:dyDescent="0.65">
      <c r="A1874">
        <v>1868</v>
      </c>
      <c r="B1874" t="s">
        <v>29</v>
      </c>
      <c r="C1874" s="6">
        <v>1511685.7790000001</v>
      </c>
      <c r="D1874" s="6">
        <v>693928.79700000002</v>
      </c>
      <c r="E1874" s="2" t="s">
        <v>35</v>
      </c>
      <c r="F1874" s="1">
        <v>24</v>
      </c>
      <c r="G1874" s="2" t="s">
        <v>50</v>
      </c>
      <c r="J1874"/>
      <c r="K1874" s="19"/>
      <c r="L1874" s="21"/>
      <c r="M1874" s="27"/>
      <c r="N1874" s="19"/>
      <c r="O1874" s="21"/>
      <c r="Q1874" s="7">
        <f>Table2[[#This Row],[Elevation
PILE TOP]]-Table2[[#This Row],[LENGTH(m.)
(Actual)]]</f>
        <v>0</v>
      </c>
      <c r="R1874" s="2"/>
      <c r="S1874" s="7">
        <f>Table2[[#This Row],[N]]+Table2[[#This Row],[Pile 
Deviation 
N (m)]]</f>
        <v>1511685.7790000001</v>
      </c>
      <c r="T1874" s="7">
        <f>Table2[[#This Row],[E]]+Table2[[#This Row],[Pile 
Deviation 
E (m)]]</f>
        <v>693928.79700000002</v>
      </c>
      <c r="W1874" s="7">
        <v>0.24</v>
      </c>
      <c r="X1874" s="2" t="s">
        <v>51</v>
      </c>
      <c r="AA1874" s="9">
        <v>46204</v>
      </c>
    </row>
    <row r="1875" spans="1:27" ht="13.95" hidden="1" customHeight="1" x14ac:dyDescent="0.65">
      <c r="A1875">
        <v>1869</v>
      </c>
      <c r="B1875" t="s">
        <v>29</v>
      </c>
      <c r="C1875" s="6">
        <v>1511685.74</v>
      </c>
      <c r="D1875" s="6">
        <v>694038.41599999997</v>
      </c>
      <c r="E1875" s="2" t="s">
        <v>35</v>
      </c>
      <c r="F1875" s="1">
        <v>24</v>
      </c>
      <c r="G1875" s="2" t="s">
        <v>50</v>
      </c>
      <c r="J1875"/>
      <c r="K1875" s="19"/>
      <c r="L1875" s="21"/>
      <c r="M1875" s="27"/>
      <c r="N1875" s="19"/>
      <c r="O1875" s="21"/>
      <c r="Q1875" s="7">
        <f>Table2[[#This Row],[Elevation
PILE TOP]]-Table2[[#This Row],[LENGTH(m.)
(Actual)]]</f>
        <v>0</v>
      </c>
      <c r="R1875" s="2"/>
      <c r="S1875" s="7">
        <f>Table2[[#This Row],[N]]+Table2[[#This Row],[Pile 
Deviation 
N (m)]]</f>
        <v>1511685.74</v>
      </c>
      <c r="T1875" s="7">
        <f>Table2[[#This Row],[E]]+Table2[[#This Row],[Pile 
Deviation 
E (m)]]</f>
        <v>694038.41599999997</v>
      </c>
      <c r="W1875" s="7">
        <v>0.24</v>
      </c>
      <c r="X1875" s="2" t="s">
        <v>51</v>
      </c>
    </row>
    <row r="1876" spans="1:27" hidden="1" x14ac:dyDescent="0.65">
      <c r="A1876">
        <v>1870</v>
      </c>
      <c r="B1876" t="s">
        <v>29</v>
      </c>
      <c r="C1876" s="6">
        <v>1511685.58</v>
      </c>
      <c r="D1876" s="6">
        <v>694064.51599999995</v>
      </c>
      <c r="E1876" s="2" t="s">
        <v>35</v>
      </c>
      <c r="F1876" s="1">
        <v>24</v>
      </c>
      <c r="G1876" s="2" t="s">
        <v>50</v>
      </c>
      <c r="J1876"/>
      <c r="K1876" s="19"/>
      <c r="L1876" s="21"/>
      <c r="M1876" s="27"/>
      <c r="N1876" s="19"/>
      <c r="O1876" s="21"/>
      <c r="Q1876" s="7">
        <f>Table2[[#This Row],[Elevation
PILE TOP]]-Table2[[#This Row],[LENGTH(m.)
(Actual)]]</f>
        <v>0</v>
      </c>
      <c r="R1876" s="2"/>
      <c r="S1876" s="7">
        <f>Table2[[#This Row],[N]]+Table2[[#This Row],[Pile 
Deviation 
N (m)]]</f>
        <v>1511685.58</v>
      </c>
      <c r="T1876" s="7">
        <f>Table2[[#This Row],[E]]+Table2[[#This Row],[Pile 
Deviation 
E (m)]]</f>
        <v>694064.51599999995</v>
      </c>
      <c r="W1876" s="7">
        <v>0.24</v>
      </c>
      <c r="X1876" s="2" t="s">
        <v>51</v>
      </c>
    </row>
    <row r="1877" spans="1:27" ht="13.95" hidden="1" customHeight="1" x14ac:dyDescent="0.65">
      <c r="A1877">
        <v>1871</v>
      </c>
      <c r="B1877" t="s">
        <v>29</v>
      </c>
      <c r="C1877" s="6">
        <v>1511685.4480000001</v>
      </c>
      <c r="D1877" s="6">
        <v>694136.04299999995</v>
      </c>
      <c r="E1877" s="2" t="s">
        <v>35</v>
      </c>
      <c r="F1877" s="1">
        <v>24</v>
      </c>
      <c r="G1877" s="2" t="s">
        <v>50</v>
      </c>
      <c r="J1877"/>
      <c r="K1877" s="19"/>
      <c r="L1877" s="21"/>
      <c r="M1877" s="27"/>
      <c r="N1877" s="19"/>
      <c r="O1877" s="21"/>
      <c r="Q1877" s="7">
        <f>Table2[[#This Row],[Elevation
PILE TOP]]-Table2[[#This Row],[LENGTH(m.)
(Actual)]]</f>
        <v>0</v>
      </c>
      <c r="R1877" s="2"/>
      <c r="S1877" s="7">
        <f>Table2[[#This Row],[N]]+Table2[[#This Row],[Pile 
Deviation 
N (m)]]</f>
        <v>1511685.4480000001</v>
      </c>
      <c r="T1877" s="7">
        <f>Table2[[#This Row],[E]]+Table2[[#This Row],[Pile 
Deviation 
E (m)]]</f>
        <v>694136.04299999995</v>
      </c>
      <c r="W1877" s="7">
        <v>0.24</v>
      </c>
      <c r="X1877" s="2" t="s">
        <v>51</v>
      </c>
    </row>
    <row r="1878" spans="1:27" hidden="1" x14ac:dyDescent="0.65">
      <c r="A1878">
        <v>1872</v>
      </c>
      <c r="B1878" t="s">
        <v>29</v>
      </c>
      <c r="C1878" s="6">
        <v>1511685.4369999999</v>
      </c>
      <c r="D1878" s="6">
        <v>694117.19400000002</v>
      </c>
      <c r="E1878" s="2" t="s">
        <v>35</v>
      </c>
      <c r="F1878" s="1">
        <v>24</v>
      </c>
      <c r="G1878" s="2" t="s">
        <v>50</v>
      </c>
      <c r="J1878"/>
      <c r="K1878" s="19"/>
      <c r="L1878" s="21"/>
      <c r="M1878" s="27"/>
      <c r="N1878" s="19"/>
      <c r="O1878" s="21"/>
      <c r="Q1878" s="7">
        <f>Table2[[#This Row],[Elevation
PILE TOP]]-Table2[[#This Row],[LENGTH(m.)
(Actual)]]</f>
        <v>0</v>
      </c>
      <c r="R1878" s="2"/>
      <c r="S1878" s="7">
        <f>Table2[[#This Row],[N]]+Table2[[#This Row],[Pile 
Deviation 
N (m)]]</f>
        <v>1511685.4369999999</v>
      </c>
      <c r="T1878" s="7">
        <f>Table2[[#This Row],[E]]+Table2[[#This Row],[Pile 
Deviation 
E (m)]]</f>
        <v>694117.19400000002</v>
      </c>
      <c r="W1878" s="7">
        <v>0.24</v>
      </c>
      <c r="X1878" s="2" t="s">
        <v>51</v>
      </c>
    </row>
    <row r="1879" spans="1:27" ht="13.95" hidden="1" customHeight="1" x14ac:dyDescent="0.65">
      <c r="A1879">
        <v>1873</v>
      </c>
      <c r="B1879" t="s">
        <v>29</v>
      </c>
      <c r="C1879" s="6">
        <v>1511685.4269999999</v>
      </c>
      <c r="D1879" s="6">
        <v>694098.34600000002</v>
      </c>
      <c r="E1879" s="2" t="s">
        <v>35</v>
      </c>
      <c r="F1879" s="1">
        <v>24</v>
      </c>
      <c r="G1879" s="2" t="s">
        <v>50</v>
      </c>
      <c r="J1879"/>
      <c r="K1879" s="19"/>
      <c r="L1879" s="21"/>
      <c r="M1879" s="27"/>
      <c r="N1879" s="19"/>
      <c r="O1879" s="21"/>
      <c r="Q1879" s="7">
        <f>Table2[[#This Row],[Elevation
PILE TOP]]-Table2[[#This Row],[LENGTH(m.)
(Actual)]]</f>
        <v>0</v>
      </c>
      <c r="R1879" s="2"/>
      <c r="S1879" s="7">
        <f>Table2[[#This Row],[N]]+Table2[[#This Row],[Pile 
Deviation 
N (m)]]</f>
        <v>1511685.4269999999</v>
      </c>
      <c r="T1879" s="7">
        <f>Table2[[#This Row],[E]]+Table2[[#This Row],[Pile 
Deviation 
E (m)]]</f>
        <v>694098.34600000002</v>
      </c>
      <c r="W1879" s="7">
        <v>0.24</v>
      </c>
      <c r="X1879" s="2" t="s">
        <v>51</v>
      </c>
    </row>
    <row r="1880" spans="1:27" hidden="1" x14ac:dyDescent="0.65">
      <c r="A1880">
        <v>1874</v>
      </c>
      <c r="B1880" t="s">
        <v>29</v>
      </c>
      <c r="C1880" s="6">
        <v>1511685.416</v>
      </c>
      <c r="D1880" s="6">
        <v>694079.49800000002</v>
      </c>
      <c r="E1880" s="2" t="s">
        <v>35</v>
      </c>
      <c r="F1880" s="1">
        <v>24</v>
      </c>
      <c r="G1880" s="2" t="s">
        <v>50</v>
      </c>
      <c r="J1880"/>
      <c r="K1880" s="19"/>
      <c r="L1880" s="21"/>
      <c r="M1880" s="27"/>
      <c r="N1880" s="19"/>
      <c r="O1880" s="21"/>
      <c r="Q1880" s="7">
        <f>Table2[[#This Row],[Elevation
PILE TOP]]-Table2[[#This Row],[LENGTH(m.)
(Actual)]]</f>
        <v>0</v>
      </c>
      <c r="R1880" s="2"/>
      <c r="S1880" s="7">
        <f>Table2[[#This Row],[N]]+Table2[[#This Row],[Pile 
Deviation 
N (m)]]</f>
        <v>1511685.416</v>
      </c>
      <c r="T1880" s="7">
        <f>Table2[[#This Row],[E]]+Table2[[#This Row],[Pile 
Deviation 
E (m)]]</f>
        <v>694079.49800000002</v>
      </c>
      <c r="W1880" s="7">
        <v>0.24</v>
      </c>
      <c r="X1880" s="2" t="s">
        <v>51</v>
      </c>
    </row>
    <row r="1881" spans="1:27" ht="13.95" hidden="1" customHeight="1" x14ac:dyDescent="0.65">
      <c r="A1881">
        <v>1875</v>
      </c>
      <c r="B1881" t="s">
        <v>29</v>
      </c>
      <c r="C1881" s="6">
        <v>1511685.3370000001</v>
      </c>
      <c r="D1881" s="6">
        <v>694049.47699999996</v>
      </c>
      <c r="E1881" s="2" t="s">
        <v>35</v>
      </c>
      <c r="F1881" s="1">
        <v>24</v>
      </c>
      <c r="G1881" s="2" t="s">
        <v>50</v>
      </c>
      <c r="J1881"/>
      <c r="K1881" s="19"/>
      <c r="L1881" s="21"/>
      <c r="M1881" s="27"/>
      <c r="N1881" s="19"/>
      <c r="O1881" s="21"/>
      <c r="Q1881" s="7">
        <f>Table2[[#This Row],[Elevation
PILE TOP]]-Table2[[#This Row],[LENGTH(m.)
(Actual)]]</f>
        <v>0</v>
      </c>
      <c r="R1881" s="2"/>
      <c r="S1881" s="7">
        <f>Table2[[#This Row],[N]]+Table2[[#This Row],[Pile 
Deviation 
N (m)]]</f>
        <v>1511685.3370000001</v>
      </c>
      <c r="T1881" s="7">
        <f>Table2[[#This Row],[E]]+Table2[[#This Row],[Pile 
Deviation 
E (m)]]</f>
        <v>694049.47699999996</v>
      </c>
      <c r="W1881" s="7">
        <v>0.24</v>
      </c>
      <c r="X1881" s="2" t="s">
        <v>51</v>
      </c>
    </row>
    <row r="1882" spans="1:27" hidden="1" x14ac:dyDescent="0.65">
      <c r="A1882">
        <v>1876</v>
      </c>
      <c r="B1882" t="s">
        <v>29</v>
      </c>
      <c r="C1882" s="6">
        <v>1511685.3189999999</v>
      </c>
      <c r="D1882" s="6">
        <v>694019.57299999997</v>
      </c>
      <c r="E1882" s="2" t="s">
        <v>35</v>
      </c>
      <c r="F1882" s="1">
        <v>24</v>
      </c>
      <c r="G1882" s="2" t="s">
        <v>50</v>
      </c>
      <c r="J1882"/>
      <c r="K1882" s="19"/>
      <c r="L1882" s="21"/>
      <c r="M1882" s="27"/>
      <c r="N1882" s="19"/>
      <c r="O1882" s="21"/>
      <c r="Q1882" s="7">
        <f>Table2[[#This Row],[Elevation
PILE TOP]]-Table2[[#This Row],[LENGTH(m.)
(Actual)]]</f>
        <v>0</v>
      </c>
      <c r="R1882" s="2"/>
      <c r="S1882" s="7">
        <f>Table2[[#This Row],[N]]+Table2[[#This Row],[Pile 
Deviation 
N (m)]]</f>
        <v>1511685.3189999999</v>
      </c>
      <c r="T1882" s="7">
        <f>Table2[[#This Row],[E]]+Table2[[#This Row],[Pile 
Deviation 
E (m)]]</f>
        <v>694019.57299999997</v>
      </c>
      <c r="W1882" s="7">
        <v>0.24</v>
      </c>
      <c r="X1882" s="2" t="s">
        <v>51</v>
      </c>
    </row>
    <row r="1883" spans="1:27" ht="13.95" customHeight="1" x14ac:dyDescent="0.65">
      <c r="A1883">
        <v>1877</v>
      </c>
      <c r="B1883" t="s">
        <v>29</v>
      </c>
      <c r="C1883" s="6">
        <v>1511685.067</v>
      </c>
      <c r="D1883" s="6">
        <v>693989.58100000001</v>
      </c>
      <c r="E1883" s="2" t="s">
        <v>35</v>
      </c>
      <c r="F1883" s="1">
        <v>24</v>
      </c>
      <c r="G1883" s="2" t="s">
        <v>50</v>
      </c>
      <c r="J1883"/>
      <c r="K1883" s="19"/>
      <c r="L1883" s="21"/>
      <c r="M1883" s="27"/>
      <c r="N1883" s="19"/>
      <c r="O1883" s="21"/>
      <c r="Q1883" s="7">
        <f>Table2[[#This Row],[Elevation
PILE TOP]]-Table2[[#This Row],[LENGTH(m.)
(Actual)]]</f>
        <v>0</v>
      </c>
      <c r="R1883" s="2"/>
      <c r="S1883" s="7">
        <f>Table2[[#This Row],[N]]+Table2[[#This Row],[Pile 
Deviation 
N (m)]]</f>
        <v>1511685.067</v>
      </c>
      <c r="T1883" s="7">
        <f>Table2[[#This Row],[E]]+Table2[[#This Row],[Pile 
Deviation 
E (m)]]</f>
        <v>693989.58100000001</v>
      </c>
      <c r="W1883" s="7">
        <v>0.24</v>
      </c>
      <c r="X1883" s="2" t="s">
        <v>51</v>
      </c>
      <c r="AA1883" s="9">
        <v>46199</v>
      </c>
    </row>
    <row r="1884" spans="1:27" hidden="1" x14ac:dyDescent="0.65">
      <c r="A1884">
        <v>1878</v>
      </c>
      <c r="B1884" t="s">
        <v>29</v>
      </c>
      <c r="C1884" s="6">
        <v>1511684.95</v>
      </c>
      <c r="D1884" s="6">
        <v>693879.65599999996</v>
      </c>
      <c r="E1884" s="2" t="s">
        <v>35</v>
      </c>
      <c r="F1884" s="1">
        <v>24</v>
      </c>
      <c r="G1884" s="2" t="s">
        <v>50</v>
      </c>
      <c r="J1884"/>
      <c r="K1884" s="19"/>
      <c r="L1884" s="21"/>
      <c r="M1884" s="27"/>
      <c r="N1884" s="19"/>
      <c r="O1884" s="21"/>
      <c r="Q1884" s="7">
        <f>Table2[[#This Row],[Elevation
PILE TOP]]-Table2[[#This Row],[LENGTH(m.)
(Actual)]]</f>
        <v>0</v>
      </c>
      <c r="R1884" s="2"/>
      <c r="S1884" s="7">
        <f>Table2[[#This Row],[N]]+Table2[[#This Row],[Pile 
Deviation 
N (m)]]</f>
        <v>1511684.95</v>
      </c>
      <c r="T1884" s="7">
        <f>Table2[[#This Row],[E]]+Table2[[#This Row],[Pile 
Deviation 
E (m)]]</f>
        <v>693879.65599999996</v>
      </c>
      <c r="W1884" s="7">
        <v>0.24</v>
      </c>
      <c r="X1884" s="2" t="s">
        <v>51</v>
      </c>
      <c r="AA1884" s="9">
        <v>46209</v>
      </c>
    </row>
    <row r="1885" spans="1:27" ht="13.95" hidden="1" customHeight="1" x14ac:dyDescent="0.65">
      <c r="A1885">
        <v>1879</v>
      </c>
      <c r="B1885" t="s">
        <v>29</v>
      </c>
      <c r="C1885" s="6">
        <v>1511684.9339999999</v>
      </c>
      <c r="D1885" s="6">
        <v>694060.53799999994</v>
      </c>
      <c r="E1885" s="2" t="s">
        <v>35</v>
      </c>
      <c r="F1885" s="1">
        <v>24</v>
      </c>
      <c r="G1885" s="2" t="s">
        <v>50</v>
      </c>
      <c r="J1885"/>
      <c r="K1885" s="19"/>
      <c r="L1885" s="21"/>
      <c r="M1885" s="27"/>
      <c r="N1885" s="19"/>
      <c r="O1885" s="21"/>
      <c r="Q1885" s="7">
        <f>Table2[[#This Row],[Elevation
PILE TOP]]-Table2[[#This Row],[LENGTH(m.)
(Actual)]]</f>
        <v>0</v>
      </c>
      <c r="R1885" s="2"/>
      <c r="S1885" s="7">
        <f>Table2[[#This Row],[N]]+Table2[[#This Row],[Pile 
Deviation 
N (m)]]</f>
        <v>1511684.9339999999</v>
      </c>
      <c r="T1885" s="7">
        <f>Table2[[#This Row],[E]]+Table2[[#This Row],[Pile 
Deviation 
E (m)]]</f>
        <v>694060.53799999994</v>
      </c>
      <c r="W1885" s="7">
        <v>0.24</v>
      </c>
      <c r="X1885" s="2" t="s">
        <v>51</v>
      </c>
    </row>
    <row r="1886" spans="1:27" hidden="1" x14ac:dyDescent="0.65">
      <c r="A1886">
        <v>1880</v>
      </c>
      <c r="B1886" t="s">
        <v>29</v>
      </c>
      <c r="C1886" s="6">
        <v>1511684.916</v>
      </c>
      <c r="D1886" s="6">
        <v>694030.63399999996</v>
      </c>
      <c r="E1886" s="2" t="s">
        <v>35</v>
      </c>
      <c r="F1886" s="1">
        <v>24</v>
      </c>
      <c r="G1886" s="2" t="s">
        <v>50</v>
      </c>
      <c r="J1886"/>
      <c r="K1886" s="19"/>
      <c r="L1886" s="21"/>
      <c r="M1886" s="27"/>
      <c r="N1886" s="19"/>
      <c r="O1886" s="21"/>
      <c r="Q1886" s="7">
        <f>Table2[[#This Row],[Elevation
PILE TOP]]-Table2[[#This Row],[LENGTH(m.)
(Actual)]]</f>
        <v>0</v>
      </c>
      <c r="R1886" s="2"/>
      <c r="S1886" s="7">
        <f>Table2[[#This Row],[N]]+Table2[[#This Row],[Pile 
Deviation 
N (m)]]</f>
        <v>1511684.916</v>
      </c>
      <c r="T1886" s="7">
        <f>Table2[[#This Row],[E]]+Table2[[#This Row],[Pile 
Deviation 
E (m)]]</f>
        <v>694030.63399999996</v>
      </c>
      <c r="W1886" s="7">
        <v>0.24</v>
      </c>
      <c r="X1886" s="2" t="s">
        <v>51</v>
      </c>
    </row>
    <row r="1887" spans="1:27" ht="13.95" hidden="1" customHeight="1" x14ac:dyDescent="0.65">
      <c r="A1887">
        <v>1881</v>
      </c>
      <c r="B1887" t="s">
        <v>29</v>
      </c>
      <c r="C1887" s="6">
        <v>1511684.7930000001</v>
      </c>
      <c r="D1887" s="6">
        <v>694128.24399999995</v>
      </c>
      <c r="E1887" s="2" t="s">
        <v>35</v>
      </c>
      <c r="F1887" s="1">
        <v>24</v>
      </c>
      <c r="G1887" s="2" t="s">
        <v>50</v>
      </c>
      <c r="J1887"/>
      <c r="K1887" s="19"/>
      <c r="L1887" s="21"/>
      <c r="M1887" s="27"/>
      <c r="N1887" s="19"/>
      <c r="O1887" s="21"/>
      <c r="Q1887" s="7">
        <f>Table2[[#This Row],[Elevation
PILE TOP]]-Table2[[#This Row],[LENGTH(m.)
(Actual)]]</f>
        <v>0</v>
      </c>
      <c r="R1887" s="2"/>
      <c r="S1887" s="7">
        <f>Table2[[#This Row],[N]]+Table2[[#This Row],[Pile 
Deviation 
N (m)]]</f>
        <v>1511684.7930000001</v>
      </c>
      <c r="T1887" s="7">
        <f>Table2[[#This Row],[E]]+Table2[[#This Row],[Pile 
Deviation 
E (m)]]</f>
        <v>694128.24399999995</v>
      </c>
      <c r="W1887" s="7">
        <v>0.24</v>
      </c>
      <c r="X1887" s="2" t="s">
        <v>51</v>
      </c>
    </row>
    <row r="1888" spans="1:27" hidden="1" x14ac:dyDescent="0.65">
      <c r="A1888">
        <v>1882</v>
      </c>
      <c r="B1888" t="s">
        <v>29</v>
      </c>
      <c r="C1888" s="6">
        <v>1511684.7830000001</v>
      </c>
      <c r="D1888" s="6">
        <v>694109.39599999995</v>
      </c>
      <c r="E1888" s="2" t="s">
        <v>35</v>
      </c>
      <c r="F1888" s="1">
        <v>24</v>
      </c>
      <c r="G1888" s="2" t="s">
        <v>50</v>
      </c>
      <c r="J1888"/>
      <c r="K1888" s="19"/>
      <c r="L1888" s="21"/>
      <c r="M1888" s="27"/>
      <c r="N1888" s="19"/>
      <c r="O1888" s="21"/>
      <c r="Q1888" s="7">
        <f>Table2[[#This Row],[Elevation
PILE TOP]]-Table2[[#This Row],[LENGTH(m.)
(Actual)]]</f>
        <v>0</v>
      </c>
      <c r="R1888" s="2"/>
      <c r="S1888" s="7">
        <f>Table2[[#This Row],[N]]+Table2[[#This Row],[Pile 
Deviation 
N (m)]]</f>
        <v>1511684.7830000001</v>
      </c>
      <c r="T1888" s="7">
        <f>Table2[[#This Row],[E]]+Table2[[#This Row],[Pile 
Deviation 
E (m)]]</f>
        <v>694109.39599999995</v>
      </c>
      <c r="W1888" s="7">
        <v>0.24</v>
      </c>
      <c r="X1888" s="2" t="s">
        <v>51</v>
      </c>
    </row>
    <row r="1889" spans="1:27" ht="13.95" hidden="1" customHeight="1" x14ac:dyDescent="0.65">
      <c r="A1889">
        <v>1883</v>
      </c>
      <c r="B1889" t="s">
        <v>29</v>
      </c>
      <c r="C1889" s="6">
        <v>1511684.7720000001</v>
      </c>
      <c r="D1889" s="6">
        <v>694090.54799999995</v>
      </c>
      <c r="E1889" s="2" t="s">
        <v>35</v>
      </c>
      <c r="F1889" s="1">
        <v>24</v>
      </c>
      <c r="G1889" s="2" t="s">
        <v>50</v>
      </c>
      <c r="J1889"/>
      <c r="K1889" s="19"/>
      <c r="L1889" s="21"/>
      <c r="M1889" s="27"/>
      <c r="N1889" s="19"/>
      <c r="O1889" s="21"/>
      <c r="Q1889" s="7">
        <f>Table2[[#This Row],[Elevation
PILE TOP]]-Table2[[#This Row],[LENGTH(m.)
(Actual)]]</f>
        <v>0</v>
      </c>
      <c r="R1889" s="2"/>
      <c r="S1889" s="7">
        <f>Table2[[#This Row],[N]]+Table2[[#This Row],[Pile 
Deviation 
N (m)]]</f>
        <v>1511684.7720000001</v>
      </c>
      <c r="T1889" s="7">
        <f>Table2[[#This Row],[E]]+Table2[[#This Row],[Pile 
Deviation 
E (m)]]</f>
        <v>694090.54799999995</v>
      </c>
      <c r="W1889" s="7">
        <v>0.24</v>
      </c>
      <c r="X1889" s="2" t="s">
        <v>51</v>
      </c>
    </row>
    <row r="1890" spans="1:27" hidden="1" x14ac:dyDescent="0.65">
      <c r="A1890">
        <v>1884</v>
      </c>
      <c r="B1890" t="s">
        <v>29</v>
      </c>
      <c r="C1890" s="6">
        <v>1511684.7620000001</v>
      </c>
      <c r="D1890" s="6">
        <v>694071.69900000002</v>
      </c>
      <c r="E1890" s="2" t="s">
        <v>35</v>
      </c>
      <c r="F1890" s="1">
        <v>24</v>
      </c>
      <c r="G1890" s="2" t="s">
        <v>50</v>
      </c>
      <c r="J1890"/>
      <c r="K1890" s="19"/>
      <c r="L1890" s="21"/>
      <c r="M1890" s="27"/>
      <c r="N1890" s="19"/>
      <c r="O1890" s="21"/>
      <c r="Q1890" s="7">
        <f>Table2[[#This Row],[Elevation
PILE TOP]]-Table2[[#This Row],[LENGTH(m.)
(Actual)]]</f>
        <v>0</v>
      </c>
      <c r="R1890" s="2"/>
      <c r="S1890" s="7">
        <f>Table2[[#This Row],[N]]+Table2[[#This Row],[Pile 
Deviation 
N (m)]]</f>
        <v>1511684.7620000001</v>
      </c>
      <c r="T1890" s="7">
        <f>Table2[[#This Row],[E]]+Table2[[#This Row],[Pile 
Deviation 
E (m)]]</f>
        <v>694071.69900000002</v>
      </c>
      <c r="W1890" s="7">
        <v>0.24</v>
      </c>
      <c r="X1890" s="2" t="s">
        <v>51</v>
      </c>
    </row>
    <row r="1891" spans="1:27" ht="13.95" hidden="1" customHeight="1" x14ac:dyDescent="0.65">
      <c r="A1891">
        <v>1885</v>
      </c>
      <c r="B1891" t="s">
        <v>29</v>
      </c>
      <c r="C1891" s="6">
        <v>1511684.513</v>
      </c>
      <c r="D1891" s="6">
        <v>694041.69400000002</v>
      </c>
      <c r="E1891" s="2" t="s">
        <v>35</v>
      </c>
      <c r="F1891" s="1">
        <v>24</v>
      </c>
      <c r="G1891" s="2" t="s">
        <v>50</v>
      </c>
      <c r="J1891"/>
      <c r="K1891" s="19"/>
      <c r="L1891" s="21"/>
      <c r="M1891" s="27"/>
      <c r="N1891" s="19"/>
      <c r="O1891" s="21"/>
      <c r="Q1891" s="7">
        <f>Table2[[#This Row],[Elevation
PILE TOP]]-Table2[[#This Row],[LENGTH(m.)
(Actual)]]</f>
        <v>0</v>
      </c>
      <c r="R1891" s="2"/>
      <c r="S1891" s="7">
        <f>Table2[[#This Row],[N]]+Table2[[#This Row],[Pile 
Deviation 
N (m)]]</f>
        <v>1511684.513</v>
      </c>
      <c r="T1891" s="7">
        <f>Table2[[#This Row],[E]]+Table2[[#This Row],[Pile 
Deviation 
E (m)]]</f>
        <v>694041.69400000002</v>
      </c>
      <c r="W1891" s="7">
        <v>0.24</v>
      </c>
      <c r="X1891" s="2" t="s">
        <v>51</v>
      </c>
    </row>
    <row r="1892" spans="1:27" hidden="1" x14ac:dyDescent="0.65">
      <c r="A1892">
        <v>1886</v>
      </c>
      <c r="B1892" t="s">
        <v>29</v>
      </c>
      <c r="C1892" s="6">
        <v>1511684.3529999999</v>
      </c>
      <c r="D1892" s="6">
        <v>694067.79399999999</v>
      </c>
      <c r="E1892" s="2" t="s">
        <v>35</v>
      </c>
      <c r="F1892" s="1">
        <v>24</v>
      </c>
      <c r="G1892" s="2" t="s">
        <v>50</v>
      </c>
      <c r="J1892"/>
      <c r="K1892" s="19"/>
      <c r="L1892" s="21"/>
      <c r="M1892" s="27"/>
      <c r="N1892" s="19"/>
      <c r="O1892" s="21"/>
      <c r="Q1892" s="7">
        <f>Table2[[#This Row],[Elevation
PILE TOP]]-Table2[[#This Row],[LENGTH(m.)
(Actual)]]</f>
        <v>0</v>
      </c>
      <c r="R1892" s="2"/>
      <c r="S1892" s="7">
        <f>Table2[[#This Row],[N]]+Table2[[#This Row],[Pile 
Deviation 
N (m)]]</f>
        <v>1511684.3529999999</v>
      </c>
      <c r="T1892" s="7">
        <f>Table2[[#This Row],[E]]+Table2[[#This Row],[Pile 
Deviation 
E (m)]]</f>
        <v>694067.79399999999</v>
      </c>
      <c r="W1892" s="7">
        <v>0.24</v>
      </c>
      <c r="X1892" s="2" t="s">
        <v>51</v>
      </c>
    </row>
    <row r="1893" spans="1:27" ht="13.95" hidden="1" customHeight="1" x14ac:dyDescent="0.65">
      <c r="A1893">
        <v>1887</v>
      </c>
      <c r="B1893" t="s">
        <v>29</v>
      </c>
      <c r="C1893" s="6">
        <v>1511684.149</v>
      </c>
      <c r="D1893" s="6">
        <v>694139.29299999995</v>
      </c>
      <c r="E1893" s="2" t="s">
        <v>35</v>
      </c>
      <c r="F1893" s="1">
        <v>24</v>
      </c>
      <c r="G1893" s="2" t="s">
        <v>50</v>
      </c>
      <c r="J1893"/>
      <c r="K1893" s="19"/>
      <c r="L1893" s="21"/>
      <c r="M1893" s="27"/>
      <c r="N1893" s="19"/>
      <c r="O1893" s="21"/>
      <c r="Q1893" s="7">
        <f>Table2[[#This Row],[Elevation
PILE TOP]]-Table2[[#This Row],[LENGTH(m.)
(Actual)]]</f>
        <v>0</v>
      </c>
      <c r="R1893" s="2"/>
      <c r="S1893" s="7">
        <f>Table2[[#This Row],[N]]+Table2[[#This Row],[Pile 
Deviation 
N (m)]]</f>
        <v>1511684.149</v>
      </c>
      <c r="T1893" s="7">
        <f>Table2[[#This Row],[E]]+Table2[[#This Row],[Pile 
Deviation 
E (m)]]</f>
        <v>694139.29299999995</v>
      </c>
      <c r="W1893" s="7">
        <v>0.24</v>
      </c>
      <c r="X1893" s="2" t="s">
        <v>51</v>
      </c>
    </row>
    <row r="1894" spans="1:27" hidden="1" x14ac:dyDescent="0.65">
      <c r="A1894">
        <v>1888</v>
      </c>
      <c r="B1894" t="s">
        <v>29</v>
      </c>
      <c r="C1894" s="6">
        <v>1511684.139</v>
      </c>
      <c r="D1894" s="6">
        <v>694120.44499999995</v>
      </c>
      <c r="E1894" s="2" t="s">
        <v>35</v>
      </c>
      <c r="F1894" s="1">
        <v>24</v>
      </c>
      <c r="G1894" s="2" t="s">
        <v>50</v>
      </c>
      <c r="J1894"/>
      <c r="K1894" s="19"/>
      <c r="L1894" s="21"/>
      <c r="M1894" s="27"/>
      <c r="N1894" s="19"/>
      <c r="O1894" s="21"/>
      <c r="Q1894" s="7">
        <f>Table2[[#This Row],[Elevation
PILE TOP]]-Table2[[#This Row],[LENGTH(m.)
(Actual)]]</f>
        <v>0</v>
      </c>
      <c r="R1894" s="2"/>
      <c r="S1894" s="7">
        <f>Table2[[#This Row],[N]]+Table2[[#This Row],[Pile 
Deviation 
N (m)]]</f>
        <v>1511684.139</v>
      </c>
      <c r="T1894" s="7">
        <f>Table2[[#This Row],[E]]+Table2[[#This Row],[Pile 
Deviation 
E (m)]]</f>
        <v>694120.44499999995</v>
      </c>
      <c r="W1894" s="7">
        <v>0.24</v>
      </c>
      <c r="X1894" s="2" t="s">
        <v>51</v>
      </c>
    </row>
    <row r="1895" spans="1:27" ht="13.95" hidden="1" customHeight="1" x14ac:dyDescent="0.65">
      <c r="A1895">
        <v>1889</v>
      </c>
      <c r="B1895" t="s">
        <v>29</v>
      </c>
      <c r="C1895" s="6">
        <v>1511684.129</v>
      </c>
      <c r="D1895" s="6">
        <v>694101.59699999995</v>
      </c>
      <c r="E1895" s="2" t="s">
        <v>35</v>
      </c>
      <c r="F1895" s="1">
        <v>24</v>
      </c>
      <c r="G1895" s="2" t="s">
        <v>50</v>
      </c>
      <c r="J1895"/>
      <c r="K1895" s="19"/>
      <c r="L1895" s="21"/>
      <c r="M1895" s="27"/>
      <c r="N1895" s="19"/>
      <c r="O1895" s="21"/>
      <c r="Q1895" s="7">
        <f>Table2[[#This Row],[Elevation
PILE TOP]]-Table2[[#This Row],[LENGTH(m.)
(Actual)]]</f>
        <v>0</v>
      </c>
      <c r="R1895" s="2"/>
      <c r="S1895" s="7">
        <f>Table2[[#This Row],[N]]+Table2[[#This Row],[Pile 
Deviation 
N (m)]]</f>
        <v>1511684.129</v>
      </c>
      <c r="T1895" s="7">
        <f>Table2[[#This Row],[E]]+Table2[[#This Row],[Pile 
Deviation 
E (m)]]</f>
        <v>694101.59699999995</v>
      </c>
      <c r="W1895" s="7">
        <v>0.24</v>
      </c>
      <c r="X1895" s="2" t="s">
        <v>51</v>
      </c>
    </row>
    <row r="1896" spans="1:27" hidden="1" x14ac:dyDescent="0.65">
      <c r="A1896">
        <v>1890</v>
      </c>
      <c r="B1896" t="s">
        <v>29</v>
      </c>
      <c r="C1896" s="6">
        <v>1511684.118</v>
      </c>
      <c r="D1896" s="6">
        <v>694082.74899999995</v>
      </c>
      <c r="E1896" s="2" t="s">
        <v>35</v>
      </c>
      <c r="F1896" s="1">
        <v>24</v>
      </c>
      <c r="G1896" s="2" t="s">
        <v>50</v>
      </c>
      <c r="J1896"/>
      <c r="K1896" s="19"/>
      <c r="L1896" s="21"/>
      <c r="M1896" s="27"/>
      <c r="N1896" s="19"/>
      <c r="O1896" s="21"/>
      <c r="Q1896" s="7">
        <f>Table2[[#This Row],[Elevation
PILE TOP]]-Table2[[#This Row],[LENGTH(m.)
(Actual)]]</f>
        <v>0</v>
      </c>
      <c r="R1896" s="2"/>
      <c r="S1896" s="7">
        <f>Table2[[#This Row],[N]]+Table2[[#This Row],[Pile 
Deviation 
N (m)]]</f>
        <v>1511684.118</v>
      </c>
      <c r="T1896" s="7">
        <f>Table2[[#This Row],[E]]+Table2[[#This Row],[Pile 
Deviation 
E (m)]]</f>
        <v>694082.74899999995</v>
      </c>
      <c r="W1896" s="7">
        <v>0.24</v>
      </c>
      <c r="X1896" s="2" t="s">
        <v>51</v>
      </c>
    </row>
    <row r="1897" spans="1:27" ht="13.95" hidden="1" customHeight="1" x14ac:dyDescent="0.65">
      <c r="A1897">
        <v>1891</v>
      </c>
      <c r="B1897" t="s">
        <v>29</v>
      </c>
      <c r="C1897" s="6">
        <v>1511684.11</v>
      </c>
      <c r="D1897" s="6">
        <v>694052.755</v>
      </c>
      <c r="E1897" s="2" t="s">
        <v>35</v>
      </c>
      <c r="F1897" s="1">
        <v>24</v>
      </c>
      <c r="G1897" s="2" t="s">
        <v>50</v>
      </c>
      <c r="J1897"/>
      <c r="K1897" s="19"/>
      <c r="L1897" s="21"/>
      <c r="M1897" s="27"/>
      <c r="N1897" s="19"/>
      <c r="O1897" s="21"/>
      <c r="Q1897" s="7">
        <f>Table2[[#This Row],[Elevation
PILE TOP]]-Table2[[#This Row],[LENGTH(m.)
(Actual)]]</f>
        <v>0</v>
      </c>
      <c r="R1897" s="2"/>
      <c r="S1897" s="7">
        <f>Table2[[#This Row],[N]]+Table2[[#This Row],[Pile 
Deviation 
N (m)]]</f>
        <v>1511684.11</v>
      </c>
      <c r="T1897" s="7">
        <f>Table2[[#This Row],[E]]+Table2[[#This Row],[Pile 
Deviation 
E (m)]]</f>
        <v>694052.755</v>
      </c>
      <c r="W1897" s="7">
        <v>0.24</v>
      </c>
      <c r="X1897" s="2" t="s">
        <v>51</v>
      </c>
    </row>
    <row r="1898" spans="1:27" hidden="1" x14ac:dyDescent="0.65">
      <c r="A1898">
        <v>1892</v>
      </c>
      <c r="B1898" t="s">
        <v>29</v>
      </c>
      <c r="C1898" s="6">
        <v>1511684.0919999999</v>
      </c>
      <c r="D1898" s="6">
        <v>694022.85100000002</v>
      </c>
      <c r="E1898" s="2" t="s">
        <v>35</v>
      </c>
      <c r="F1898" s="1">
        <v>24</v>
      </c>
      <c r="G1898" s="2" t="s">
        <v>50</v>
      </c>
      <c r="J1898"/>
      <c r="K1898" s="19"/>
      <c r="L1898" s="21"/>
      <c r="M1898" s="27"/>
      <c r="N1898" s="19"/>
      <c r="O1898" s="21"/>
      <c r="Q1898" s="7">
        <f>Table2[[#This Row],[Elevation
PILE TOP]]-Table2[[#This Row],[LENGTH(m.)
(Actual)]]</f>
        <v>0</v>
      </c>
      <c r="R1898" s="2"/>
      <c r="S1898" s="7">
        <f>Table2[[#This Row],[N]]+Table2[[#This Row],[Pile 
Deviation 
N (m)]]</f>
        <v>1511684.0919999999</v>
      </c>
      <c r="T1898" s="7">
        <f>Table2[[#This Row],[E]]+Table2[[#This Row],[Pile 
Deviation 
E (m)]]</f>
        <v>694022.85100000002</v>
      </c>
      <c r="W1898" s="7">
        <v>0.24</v>
      </c>
      <c r="X1898" s="2" t="s">
        <v>51</v>
      </c>
    </row>
    <row r="1899" spans="1:27" ht="13.95" customHeight="1" x14ac:dyDescent="0.65">
      <c r="A1899">
        <v>1893</v>
      </c>
      <c r="B1899" t="s">
        <v>29</v>
      </c>
      <c r="C1899" s="6">
        <v>1511683.84</v>
      </c>
      <c r="D1899" s="6">
        <v>693992.85900000005</v>
      </c>
      <c r="E1899" s="2" t="s">
        <v>35</v>
      </c>
      <c r="F1899" s="1">
        <v>24</v>
      </c>
      <c r="G1899" s="2" t="s">
        <v>50</v>
      </c>
      <c r="J1899"/>
      <c r="K1899" s="19"/>
      <c r="L1899" s="21"/>
      <c r="M1899" s="27"/>
      <c r="N1899" s="19"/>
      <c r="O1899" s="21"/>
      <c r="Q1899" s="7">
        <f>Table2[[#This Row],[Elevation
PILE TOP]]-Table2[[#This Row],[LENGTH(m.)
(Actual)]]</f>
        <v>0</v>
      </c>
      <c r="R1899" s="2"/>
      <c r="S1899" s="7">
        <f>Table2[[#This Row],[N]]+Table2[[#This Row],[Pile 
Deviation 
N (m)]]</f>
        <v>1511683.84</v>
      </c>
      <c r="T1899" s="7">
        <f>Table2[[#This Row],[E]]+Table2[[#This Row],[Pile 
Deviation 
E (m)]]</f>
        <v>693992.85900000005</v>
      </c>
      <c r="W1899" s="7">
        <v>0.24</v>
      </c>
      <c r="X1899" s="2" t="s">
        <v>51</v>
      </c>
      <c r="AA1899" s="9">
        <v>46199</v>
      </c>
    </row>
    <row r="1900" spans="1:27" hidden="1" x14ac:dyDescent="0.65">
      <c r="A1900">
        <v>1894</v>
      </c>
      <c r="B1900" t="s">
        <v>29</v>
      </c>
      <c r="C1900" s="6">
        <v>1511683.7849999999</v>
      </c>
      <c r="D1900" s="6">
        <v>693882.95700000005</v>
      </c>
      <c r="E1900" s="2" t="s">
        <v>35</v>
      </c>
      <c r="F1900" s="1">
        <v>24</v>
      </c>
      <c r="G1900" s="2" t="s">
        <v>50</v>
      </c>
      <c r="J1900"/>
      <c r="K1900" s="19"/>
      <c r="L1900" s="21"/>
      <c r="M1900" s="27"/>
      <c r="N1900" s="19"/>
      <c r="O1900" s="21"/>
      <c r="Q1900" s="7">
        <f>Table2[[#This Row],[Elevation
PILE TOP]]-Table2[[#This Row],[LENGTH(m.)
(Actual)]]</f>
        <v>0</v>
      </c>
      <c r="R1900" s="2"/>
      <c r="S1900" s="7">
        <f>Table2[[#This Row],[N]]+Table2[[#This Row],[Pile 
Deviation 
N (m)]]</f>
        <v>1511683.7849999999</v>
      </c>
      <c r="T1900" s="7">
        <f>Table2[[#This Row],[E]]+Table2[[#This Row],[Pile 
Deviation 
E (m)]]</f>
        <v>693882.95700000005</v>
      </c>
      <c r="W1900" s="7">
        <v>0.24</v>
      </c>
      <c r="X1900" s="2" t="s">
        <v>51</v>
      </c>
      <c r="AA1900" s="9">
        <v>46209</v>
      </c>
    </row>
    <row r="1901" spans="1:27" ht="13.95" hidden="1" customHeight="1" x14ac:dyDescent="0.65">
      <c r="A1901">
        <v>1895</v>
      </c>
      <c r="B1901" t="s">
        <v>29</v>
      </c>
      <c r="C1901" s="6">
        <v>1511683.7069999999</v>
      </c>
      <c r="D1901" s="6">
        <v>694063.81499999994</v>
      </c>
      <c r="E1901" s="2" t="s">
        <v>35</v>
      </c>
      <c r="F1901" s="1">
        <v>24</v>
      </c>
      <c r="G1901" s="2" t="s">
        <v>50</v>
      </c>
      <c r="J1901"/>
      <c r="K1901" s="19"/>
      <c r="L1901" s="21"/>
      <c r="M1901" s="27"/>
      <c r="N1901" s="19"/>
      <c r="O1901" s="21"/>
      <c r="Q1901" s="7">
        <f>Table2[[#This Row],[Elevation
PILE TOP]]-Table2[[#This Row],[LENGTH(m.)
(Actual)]]</f>
        <v>0</v>
      </c>
      <c r="R1901" s="2"/>
      <c r="S1901" s="7">
        <f>Table2[[#This Row],[N]]+Table2[[#This Row],[Pile 
Deviation 
N (m)]]</f>
        <v>1511683.7069999999</v>
      </c>
      <c r="T1901" s="7">
        <f>Table2[[#This Row],[E]]+Table2[[#This Row],[Pile 
Deviation 
E (m)]]</f>
        <v>694063.81499999994</v>
      </c>
      <c r="W1901" s="7">
        <v>0.24</v>
      </c>
      <c r="X1901" s="2" t="s">
        <v>51</v>
      </c>
    </row>
    <row r="1902" spans="1:27" hidden="1" x14ac:dyDescent="0.65">
      <c r="A1902">
        <v>1896</v>
      </c>
      <c r="B1902" t="s">
        <v>29</v>
      </c>
      <c r="C1902" s="6">
        <v>1511683.689</v>
      </c>
      <c r="D1902" s="6">
        <v>694033.91099999996</v>
      </c>
      <c r="E1902" s="2" t="s">
        <v>35</v>
      </c>
      <c r="F1902" s="1">
        <v>24</v>
      </c>
      <c r="G1902" s="2" t="s">
        <v>50</v>
      </c>
      <c r="J1902"/>
      <c r="K1902" s="19"/>
      <c r="L1902" s="21"/>
      <c r="M1902" s="27"/>
      <c r="N1902" s="19"/>
      <c r="O1902" s="21"/>
      <c r="Q1902" s="7">
        <f>Table2[[#This Row],[Elevation
PILE TOP]]-Table2[[#This Row],[LENGTH(m.)
(Actual)]]</f>
        <v>0</v>
      </c>
      <c r="R1902" s="2"/>
      <c r="S1902" s="7">
        <f>Table2[[#This Row],[N]]+Table2[[#This Row],[Pile 
Deviation 
N (m)]]</f>
        <v>1511683.689</v>
      </c>
      <c r="T1902" s="7">
        <f>Table2[[#This Row],[E]]+Table2[[#This Row],[Pile 
Deviation 
E (m)]]</f>
        <v>694033.91099999996</v>
      </c>
      <c r="W1902" s="7">
        <v>0.24</v>
      </c>
      <c r="X1902" s="2" t="s">
        <v>51</v>
      </c>
    </row>
    <row r="1903" spans="1:27" ht="13.95" hidden="1" customHeight="1" x14ac:dyDescent="0.65">
      <c r="A1903">
        <v>1897</v>
      </c>
      <c r="B1903" t="s">
        <v>29</v>
      </c>
      <c r="C1903" s="6">
        <v>1511683.6869999999</v>
      </c>
      <c r="D1903" s="6">
        <v>694140.45</v>
      </c>
      <c r="E1903" s="2" t="s">
        <v>35</v>
      </c>
      <c r="F1903" s="1">
        <v>24</v>
      </c>
      <c r="G1903" s="2" t="s">
        <v>50</v>
      </c>
      <c r="J1903"/>
      <c r="K1903" s="19"/>
      <c r="L1903" s="21"/>
      <c r="M1903" s="27"/>
      <c r="N1903" s="19"/>
      <c r="O1903" s="21"/>
      <c r="Q1903" s="7">
        <f>Table2[[#This Row],[Elevation
PILE TOP]]-Table2[[#This Row],[LENGTH(m.)
(Actual)]]</f>
        <v>0</v>
      </c>
      <c r="R1903" s="2"/>
      <c r="S1903" s="7">
        <f>Table2[[#This Row],[N]]+Table2[[#This Row],[Pile 
Deviation 
N (m)]]</f>
        <v>1511683.6869999999</v>
      </c>
      <c r="T1903" s="7">
        <f>Table2[[#This Row],[E]]+Table2[[#This Row],[Pile 
Deviation 
E (m)]]</f>
        <v>694140.45</v>
      </c>
      <c r="W1903" s="7">
        <v>0.24</v>
      </c>
      <c r="X1903" s="2" t="s">
        <v>51</v>
      </c>
    </row>
    <row r="1904" spans="1:27" hidden="1" x14ac:dyDescent="0.65">
      <c r="A1904">
        <v>1898</v>
      </c>
      <c r="B1904" t="s">
        <v>29</v>
      </c>
      <c r="C1904" s="6">
        <v>1511683.4950000001</v>
      </c>
      <c r="D1904" s="6">
        <v>694131.49399999995</v>
      </c>
      <c r="E1904" s="2" t="s">
        <v>35</v>
      </c>
      <c r="F1904" s="1">
        <v>24</v>
      </c>
      <c r="G1904" s="2" t="s">
        <v>50</v>
      </c>
      <c r="J1904"/>
      <c r="K1904" s="19"/>
      <c r="L1904" s="21"/>
      <c r="M1904" s="27"/>
      <c r="N1904" s="19"/>
      <c r="O1904" s="21"/>
      <c r="Q1904" s="7">
        <f>Table2[[#This Row],[Elevation
PILE TOP]]-Table2[[#This Row],[LENGTH(m.)
(Actual)]]</f>
        <v>0</v>
      </c>
      <c r="R1904" s="2"/>
      <c r="S1904" s="7">
        <f>Table2[[#This Row],[N]]+Table2[[#This Row],[Pile 
Deviation 
N (m)]]</f>
        <v>1511683.4950000001</v>
      </c>
      <c r="T1904" s="7">
        <f>Table2[[#This Row],[E]]+Table2[[#This Row],[Pile 
Deviation 
E (m)]]</f>
        <v>694131.49399999995</v>
      </c>
      <c r="W1904" s="7">
        <v>0.24</v>
      </c>
      <c r="X1904" s="2" t="s">
        <v>51</v>
      </c>
    </row>
    <row r="1905" spans="1:27" ht="13.95" hidden="1" customHeight="1" x14ac:dyDescent="0.65">
      <c r="A1905">
        <v>1899</v>
      </c>
      <c r="B1905" t="s">
        <v>29</v>
      </c>
      <c r="C1905" s="6">
        <v>1511683.4850000001</v>
      </c>
      <c r="D1905" s="6">
        <v>694112.64599999995</v>
      </c>
      <c r="E1905" s="2" t="s">
        <v>35</v>
      </c>
      <c r="F1905" s="1">
        <v>24</v>
      </c>
      <c r="G1905" s="2" t="s">
        <v>50</v>
      </c>
      <c r="J1905"/>
      <c r="K1905" s="19"/>
      <c r="L1905" s="21"/>
      <c r="M1905" s="27"/>
      <c r="N1905" s="19"/>
      <c r="O1905" s="21"/>
      <c r="Q1905" s="7">
        <f>Table2[[#This Row],[Elevation
PILE TOP]]-Table2[[#This Row],[LENGTH(m.)
(Actual)]]</f>
        <v>0</v>
      </c>
      <c r="R1905" s="2"/>
      <c r="S1905" s="7">
        <f>Table2[[#This Row],[N]]+Table2[[#This Row],[Pile 
Deviation 
N (m)]]</f>
        <v>1511683.4850000001</v>
      </c>
      <c r="T1905" s="7">
        <f>Table2[[#This Row],[E]]+Table2[[#This Row],[Pile 
Deviation 
E (m)]]</f>
        <v>694112.64599999995</v>
      </c>
      <c r="W1905" s="7">
        <v>0.24</v>
      </c>
      <c r="X1905" s="2" t="s">
        <v>51</v>
      </c>
    </row>
    <row r="1906" spans="1:27" hidden="1" x14ac:dyDescent="0.65">
      <c r="A1906">
        <v>1900</v>
      </c>
      <c r="B1906" t="s">
        <v>29</v>
      </c>
      <c r="C1906" s="6">
        <v>1511683.4739999999</v>
      </c>
      <c r="D1906" s="6">
        <v>694093.79799999995</v>
      </c>
      <c r="E1906" s="2" t="s">
        <v>35</v>
      </c>
      <c r="F1906" s="1">
        <v>24</v>
      </c>
      <c r="G1906" s="2" t="s">
        <v>50</v>
      </c>
      <c r="J1906"/>
      <c r="K1906" s="19"/>
      <c r="L1906" s="21"/>
      <c r="M1906" s="27"/>
      <c r="N1906" s="19"/>
      <c r="O1906" s="21"/>
      <c r="Q1906" s="7">
        <f>Table2[[#This Row],[Elevation
PILE TOP]]-Table2[[#This Row],[LENGTH(m.)
(Actual)]]</f>
        <v>0</v>
      </c>
      <c r="R1906" s="2"/>
      <c r="S1906" s="7">
        <f>Table2[[#This Row],[N]]+Table2[[#This Row],[Pile 
Deviation 
N (m)]]</f>
        <v>1511683.4739999999</v>
      </c>
      <c r="T1906" s="7">
        <f>Table2[[#This Row],[E]]+Table2[[#This Row],[Pile 
Deviation 
E (m)]]</f>
        <v>694093.79799999995</v>
      </c>
      <c r="W1906" s="7">
        <v>0.24</v>
      </c>
      <c r="X1906" s="2" t="s">
        <v>51</v>
      </c>
    </row>
    <row r="1907" spans="1:27" ht="13.95" hidden="1" customHeight="1" x14ac:dyDescent="0.65">
      <c r="A1907">
        <v>1901</v>
      </c>
      <c r="B1907" t="s">
        <v>29</v>
      </c>
      <c r="C1907" s="6">
        <v>1511683.4639999999</v>
      </c>
      <c r="D1907" s="6">
        <v>694074.95</v>
      </c>
      <c r="E1907" s="2" t="s">
        <v>35</v>
      </c>
      <c r="F1907" s="1">
        <v>24</v>
      </c>
      <c r="G1907" s="2" t="s">
        <v>50</v>
      </c>
      <c r="J1907"/>
      <c r="K1907" s="19"/>
      <c r="L1907" s="21"/>
      <c r="M1907" s="27"/>
      <c r="N1907" s="19"/>
      <c r="O1907" s="21"/>
      <c r="Q1907" s="7">
        <f>Table2[[#This Row],[Elevation
PILE TOP]]-Table2[[#This Row],[LENGTH(m.)
(Actual)]]</f>
        <v>0</v>
      </c>
      <c r="R1907" s="2"/>
      <c r="S1907" s="7">
        <f>Table2[[#This Row],[N]]+Table2[[#This Row],[Pile 
Deviation 
N (m)]]</f>
        <v>1511683.4639999999</v>
      </c>
      <c r="T1907" s="7">
        <f>Table2[[#This Row],[E]]+Table2[[#This Row],[Pile 
Deviation 
E (m)]]</f>
        <v>694074.95</v>
      </c>
      <c r="W1907" s="7">
        <v>0.24</v>
      </c>
      <c r="X1907" s="2" t="s">
        <v>51</v>
      </c>
    </row>
    <row r="1908" spans="1:27" hidden="1" x14ac:dyDescent="0.65">
      <c r="A1908">
        <v>1902</v>
      </c>
      <c r="B1908" t="s">
        <v>29</v>
      </c>
      <c r="C1908" s="6">
        <v>1511683.2860000001</v>
      </c>
      <c r="D1908" s="6">
        <v>694044.97199999995</v>
      </c>
      <c r="E1908" s="2" t="s">
        <v>35</v>
      </c>
      <c r="F1908" s="1">
        <v>24</v>
      </c>
      <c r="G1908" s="2" t="s">
        <v>50</v>
      </c>
      <c r="J1908"/>
      <c r="K1908" s="19"/>
      <c r="L1908" s="21"/>
      <c r="M1908" s="27"/>
      <c r="N1908" s="19"/>
      <c r="O1908" s="21"/>
      <c r="Q1908" s="7">
        <f>Table2[[#This Row],[Elevation
PILE TOP]]-Table2[[#This Row],[LENGTH(m.)
(Actual)]]</f>
        <v>0</v>
      </c>
      <c r="R1908" s="2"/>
      <c r="S1908" s="7">
        <f>Table2[[#This Row],[N]]+Table2[[#This Row],[Pile 
Deviation 
N (m)]]</f>
        <v>1511683.2860000001</v>
      </c>
      <c r="T1908" s="7">
        <f>Table2[[#This Row],[E]]+Table2[[#This Row],[Pile 
Deviation 
E (m)]]</f>
        <v>694044.97199999995</v>
      </c>
      <c r="W1908" s="7">
        <v>0.24</v>
      </c>
      <c r="X1908" s="2" t="s">
        <v>51</v>
      </c>
    </row>
    <row r="1909" spans="1:27" ht="13.95" hidden="1" customHeight="1" x14ac:dyDescent="0.65">
      <c r="A1909">
        <v>1903</v>
      </c>
      <c r="B1909" t="s">
        <v>29</v>
      </c>
      <c r="C1909" s="6">
        <v>1511683.1270000001</v>
      </c>
      <c r="D1909" s="6">
        <v>694071.07200000004</v>
      </c>
      <c r="E1909" s="2" t="s">
        <v>35</v>
      </c>
      <c r="F1909" s="1">
        <v>24</v>
      </c>
      <c r="G1909" s="2" t="s">
        <v>50</v>
      </c>
      <c r="J1909"/>
      <c r="K1909" s="19"/>
      <c r="L1909" s="21"/>
      <c r="M1909" s="27"/>
      <c r="N1909" s="19"/>
      <c r="O1909" s="21"/>
      <c r="Q1909" s="7">
        <f>Table2[[#This Row],[Elevation
PILE TOP]]-Table2[[#This Row],[LENGTH(m.)
(Actual)]]</f>
        <v>0</v>
      </c>
      <c r="R1909" s="2"/>
      <c r="S1909" s="7">
        <f>Table2[[#This Row],[N]]+Table2[[#This Row],[Pile 
Deviation 
N (m)]]</f>
        <v>1511683.1270000001</v>
      </c>
      <c r="T1909" s="7">
        <f>Table2[[#This Row],[E]]+Table2[[#This Row],[Pile 
Deviation 
E (m)]]</f>
        <v>694071.07200000004</v>
      </c>
      <c r="W1909" s="7">
        <v>0.24</v>
      </c>
      <c r="X1909" s="2" t="s">
        <v>51</v>
      </c>
    </row>
    <row r="1910" spans="1:27" hidden="1" x14ac:dyDescent="0.65">
      <c r="A1910">
        <v>1904</v>
      </c>
      <c r="B1910" t="s">
        <v>29</v>
      </c>
      <c r="C1910" s="6">
        <v>1511682.8829999999</v>
      </c>
      <c r="D1910" s="6">
        <v>694056.03300000005</v>
      </c>
      <c r="E1910" s="2" t="s">
        <v>35</v>
      </c>
      <c r="F1910" s="1">
        <v>24</v>
      </c>
      <c r="G1910" s="2" t="s">
        <v>50</v>
      </c>
      <c r="J1910"/>
      <c r="K1910" s="19"/>
      <c r="L1910" s="21"/>
      <c r="M1910" s="27"/>
      <c r="N1910" s="19"/>
      <c r="O1910" s="21"/>
      <c r="Q1910" s="7">
        <f>Table2[[#This Row],[Elevation
PILE TOP]]-Table2[[#This Row],[LENGTH(m.)
(Actual)]]</f>
        <v>0</v>
      </c>
      <c r="R1910" s="2"/>
      <c r="S1910" s="7">
        <f>Table2[[#This Row],[N]]+Table2[[#This Row],[Pile 
Deviation 
N (m)]]</f>
        <v>1511682.8829999999</v>
      </c>
      <c r="T1910" s="7">
        <f>Table2[[#This Row],[E]]+Table2[[#This Row],[Pile 
Deviation 
E (m)]]</f>
        <v>694056.03300000005</v>
      </c>
      <c r="W1910" s="7">
        <v>0.24</v>
      </c>
      <c r="X1910" s="2" t="s">
        <v>51</v>
      </c>
    </row>
    <row r="1911" spans="1:27" ht="13.95" hidden="1" customHeight="1" x14ac:dyDescent="0.65">
      <c r="A1911">
        <v>1905</v>
      </c>
      <c r="B1911" t="s">
        <v>29</v>
      </c>
      <c r="C1911" s="6">
        <v>1511682.865</v>
      </c>
      <c r="D1911" s="6">
        <v>694026.12899999996</v>
      </c>
      <c r="E1911" s="2" t="s">
        <v>35</v>
      </c>
      <c r="F1911" s="1">
        <v>24</v>
      </c>
      <c r="G1911" s="2" t="s">
        <v>50</v>
      </c>
      <c r="J1911"/>
      <c r="K1911" s="19"/>
      <c r="L1911" s="21"/>
      <c r="M1911" s="27"/>
      <c r="N1911" s="19"/>
      <c r="O1911" s="21"/>
      <c r="Q1911" s="7">
        <f>Table2[[#This Row],[Elevation
PILE TOP]]-Table2[[#This Row],[LENGTH(m.)
(Actual)]]</f>
        <v>0</v>
      </c>
      <c r="R1911" s="2"/>
      <c r="S1911" s="7">
        <f>Table2[[#This Row],[N]]+Table2[[#This Row],[Pile 
Deviation 
N (m)]]</f>
        <v>1511682.865</v>
      </c>
      <c r="T1911" s="7">
        <f>Table2[[#This Row],[E]]+Table2[[#This Row],[Pile 
Deviation 
E (m)]]</f>
        <v>694026.12899999996</v>
      </c>
      <c r="W1911" s="7">
        <v>0.24</v>
      </c>
      <c r="X1911" s="2" t="s">
        <v>51</v>
      </c>
    </row>
    <row r="1912" spans="1:27" x14ac:dyDescent="0.65">
      <c r="A1912">
        <v>1906</v>
      </c>
      <c r="B1912" t="s">
        <v>29</v>
      </c>
      <c r="C1912" s="6">
        <v>1511682.6129999999</v>
      </c>
      <c r="D1912" s="6">
        <v>693996.13699999999</v>
      </c>
      <c r="E1912" s="2" t="s">
        <v>35</v>
      </c>
      <c r="F1912" s="1">
        <v>24</v>
      </c>
      <c r="G1912" s="2" t="s">
        <v>50</v>
      </c>
      <c r="J1912"/>
      <c r="K1912" s="19"/>
      <c r="L1912" s="21"/>
      <c r="M1912" s="27"/>
      <c r="N1912" s="19"/>
      <c r="O1912" s="21"/>
      <c r="Q1912" s="7">
        <f>Table2[[#This Row],[Elevation
PILE TOP]]-Table2[[#This Row],[LENGTH(m.)
(Actual)]]</f>
        <v>0</v>
      </c>
      <c r="R1912" s="2"/>
      <c r="S1912" s="7">
        <f>Table2[[#This Row],[N]]+Table2[[#This Row],[Pile 
Deviation 
N (m)]]</f>
        <v>1511682.6129999999</v>
      </c>
      <c r="T1912" s="7">
        <f>Table2[[#This Row],[E]]+Table2[[#This Row],[Pile 
Deviation 
E (m)]]</f>
        <v>693996.13699999999</v>
      </c>
      <c r="W1912" s="7">
        <v>0.24</v>
      </c>
      <c r="X1912" s="2" t="s">
        <v>51</v>
      </c>
      <c r="AA1912" s="9">
        <v>46199</v>
      </c>
    </row>
    <row r="1913" spans="1:27" ht="13.95" hidden="1" customHeight="1" x14ac:dyDescent="0.65">
      <c r="A1913">
        <v>1907</v>
      </c>
      <c r="B1913" t="s">
        <v>29</v>
      </c>
      <c r="C1913" s="6">
        <v>1511682.841</v>
      </c>
      <c r="D1913" s="6">
        <v>694123.69499999995</v>
      </c>
      <c r="E1913" s="2" t="s">
        <v>35</v>
      </c>
      <c r="F1913" s="1">
        <v>24</v>
      </c>
      <c r="G1913" s="2" t="s">
        <v>50</v>
      </c>
      <c r="J1913"/>
      <c r="K1913" s="19"/>
      <c r="L1913" s="21"/>
      <c r="M1913" s="27"/>
      <c r="N1913" s="19"/>
      <c r="O1913" s="21"/>
      <c r="Q1913" s="7">
        <f>Table2[[#This Row],[Elevation
PILE TOP]]-Table2[[#This Row],[LENGTH(m.)
(Actual)]]</f>
        <v>0</v>
      </c>
      <c r="R1913" s="2"/>
      <c r="S1913" s="7">
        <f>Table2[[#This Row],[N]]+Table2[[#This Row],[Pile 
Deviation 
N (m)]]</f>
        <v>1511682.841</v>
      </c>
      <c r="T1913" s="7">
        <f>Table2[[#This Row],[E]]+Table2[[#This Row],[Pile 
Deviation 
E (m)]]</f>
        <v>694123.69499999995</v>
      </c>
      <c r="W1913" s="7">
        <v>0.24</v>
      </c>
      <c r="X1913" s="2" t="s">
        <v>51</v>
      </c>
    </row>
    <row r="1914" spans="1:27" hidden="1" x14ac:dyDescent="0.65">
      <c r="A1914">
        <v>1908</v>
      </c>
      <c r="B1914" t="s">
        <v>29</v>
      </c>
      <c r="C1914" s="6">
        <v>1511682.831</v>
      </c>
      <c r="D1914" s="6">
        <v>694104.84699999995</v>
      </c>
      <c r="E1914" s="2" t="s">
        <v>35</v>
      </c>
      <c r="F1914" s="1">
        <v>24</v>
      </c>
      <c r="G1914" s="2" t="s">
        <v>50</v>
      </c>
      <c r="J1914"/>
      <c r="K1914" s="19"/>
      <c r="L1914" s="21"/>
      <c r="M1914" s="27"/>
      <c r="N1914" s="19"/>
      <c r="O1914" s="21"/>
      <c r="Q1914" s="7">
        <f>Table2[[#This Row],[Elevation
PILE TOP]]-Table2[[#This Row],[LENGTH(m.)
(Actual)]]</f>
        <v>0</v>
      </c>
      <c r="R1914" s="2"/>
      <c r="S1914" s="7">
        <f>Table2[[#This Row],[N]]+Table2[[#This Row],[Pile 
Deviation 
N (m)]]</f>
        <v>1511682.831</v>
      </c>
      <c r="T1914" s="7">
        <f>Table2[[#This Row],[E]]+Table2[[#This Row],[Pile 
Deviation 
E (m)]]</f>
        <v>694104.84699999995</v>
      </c>
      <c r="W1914" s="7">
        <v>0.24</v>
      </c>
      <c r="X1914" s="2" t="s">
        <v>51</v>
      </c>
    </row>
    <row r="1915" spans="1:27" ht="13.95" hidden="1" customHeight="1" x14ac:dyDescent="0.65">
      <c r="A1915">
        <v>1909</v>
      </c>
      <c r="B1915" t="s">
        <v>29</v>
      </c>
      <c r="C1915" s="6">
        <v>1511682.82</v>
      </c>
      <c r="D1915" s="6">
        <v>694085.99899999995</v>
      </c>
      <c r="E1915" s="2" t="s">
        <v>35</v>
      </c>
      <c r="F1915" s="1">
        <v>24</v>
      </c>
      <c r="G1915" s="2" t="s">
        <v>50</v>
      </c>
      <c r="J1915"/>
      <c r="K1915" s="19"/>
      <c r="L1915" s="21"/>
      <c r="M1915" s="27"/>
      <c r="N1915" s="19"/>
      <c r="O1915" s="21"/>
      <c r="Q1915" s="7">
        <f>Table2[[#This Row],[Elevation
PILE TOP]]-Table2[[#This Row],[LENGTH(m.)
(Actual)]]</f>
        <v>0</v>
      </c>
      <c r="R1915" s="2"/>
      <c r="S1915" s="7">
        <f>Table2[[#This Row],[N]]+Table2[[#This Row],[Pile 
Deviation 
N (m)]]</f>
        <v>1511682.82</v>
      </c>
      <c r="T1915" s="7">
        <f>Table2[[#This Row],[E]]+Table2[[#This Row],[Pile 
Deviation 
E (m)]]</f>
        <v>694085.99899999995</v>
      </c>
      <c r="W1915" s="7">
        <v>0.24</v>
      </c>
      <c r="X1915" s="2" t="s">
        <v>51</v>
      </c>
    </row>
    <row r="1916" spans="1:27" hidden="1" x14ac:dyDescent="0.65">
      <c r="A1916">
        <v>1910</v>
      </c>
      <c r="B1916" t="s">
        <v>29</v>
      </c>
      <c r="C1916" s="6">
        <v>1511682.62</v>
      </c>
      <c r="D1916" s="6">
        <v>693886.25699999998</v>
      </c>
      <c r="E1916" s="2" t="s">
        <v>35</v>
      </c>
      <c r="F1916" s="1">
        <v>24</v>
      </c>
      <c r="G1916" s="2" t="s">
        <v>50</v>
      </c>
      <c r="J1916"/>
      <c r="K1916" s="19"/>
      <c r="L1916" s="21"/>
      <c r="M1916" s="27"/>
      <c r="N1916" s="19"/>
      <c r="O1916" s="21"/>
      <c r="Q1916" s="7">
        <f>Table2[[#This Row],[Elevation
PILE TOP]]-Table2[[#This Row],[LENGTH(m.)
(Actual)]]</f>
        <v>0</v>
      </c>
      <c r="R1916" s="2"/>
      <c r="S1916" s="7">
        <f>Table2[[#This Row],[N]]+Table2[[#This Row],[Pile 
Deviation 
N (m)]]</f>
        <v>1511682.62</v>
      </c>
      <c r="T1916" s="7">
        <f>Table2[[#This Row],[E]]+Table2[[#This Row],[Pile 
Deviation 
E (m)]]</f>
        <v>693886.25699999998</v>
      </c>
      <c r="W1916" s="7">
        <v>0.24</v>
      </c>
      <c r="X1916" s="2" t="s">
        <v>51</v>
      </c>
      <c r="AA1916" s="9">
        <v>46207</v>
      </c>
    </row>
    <row r="1917" spans="1:27" ht="13.95" hidden="1" customHeight="1" x14ac:dyDescent="0.65">
      <c r="A1917">
        <v>1911</v>
      </c>
      <c r="B1917" t="s">
        <v>29</v>
      </c>
      <c r="C1917" s="6">
        <v>1511682.5419999999</v>
      </c>
      <c r="D1917" s="6">
        <v>694018.53300000005</v>
      </c>
      <c r="E1917" s="2" t="s">
        <v>35</v>
      </c>
      <c r="F1917" s="1">
        <v>24</v>
      </c>
      <c r="G1917" s="2" t="s">
        <v>50</v>
      </c>
      <c r="J1917"/>
      <c r="K1917" s="19"/>
      <c r="L1917" s="21"/>
      <c r="M1917" s="27"/>
      <c r="N1917" s="19"/>
      <c r="O1917" s="21"/>
      <c r="Q1917" s="7">
        <f>Table2[[#This Row],[Elevation
PILE TOP]]-Table2[[#This Row],[LENGTH(m.)
(Actual)]]</f>
        <v>0</v>
      </c>
      <c r="R1917" s="2"/>
      <c r="S1917" s="7">
        <f>Table2[[#This Row],[N]]+Table2[[#This Row],[Pile 
Deviation 
N (m)]]</f>
        <v>1511682.5419999999</v>
      </c>
      <c r="T1917" s="7">
        <f>Table2[[#This Row],[E]]+Table2[[#This Row],[Pile 
Deviation 
E (m)]]</f>
        <v>694018.53300000005</v>
      </c>
      <c r="W1917" s="7">
        <v>0.24</v>
      </c>
      <c r="X1917" s="2" t="s">
        <v>51</v>
      </c>
    </row>
    <row r="1918" spans="1:27" hidden="1" x14ac:dyDescent="0.65">
      <c r="A1918">
        <v>1912</v>
      </c>
      <c r="B1918" t="s">
        <v>29</v>
      </c>
      <c r="C1918" s="6">
        <v>1511682.48</v>
      </c>
      <c r="D1918" s="6">
        <v>694067.09299999999</v>
      </c>
      <c r="E1918" s="2" t="s">
        <v>35</v>
      </c>
      <c r="F1918" s="1">
        <v>24</v>
      </c>
      <c r="G1918" s="2" t="s">
        <v>50</v>
      </c>
      <c r="J1918"/>
      <c r="K1918" s="19"/>
      <c r="L1918" s="21"/>
      <c r="M1918" s="27"/>
      <c r="N1918" s="19"/>
      <c r="O1918" s="21"/>
      <c r="Q1918" s="7">
        <f>Table2[[#This Row],[Elevation
PILE TOP]]-Table2[[#This Row],[LENGTH(m.)
(Actual)]]</f>
        <v>0</v>
      </c>
      <c r="R1918" s="2"/>
      <c r="S1918" s="7">
        <f>Table2[[#This Row],[N]]+Table2[[#This Row],[Pile 
Deviation 
N (m)]]</f>
        <v>1511682.48</v>
      </c>
      <c r="T1918" s="7">
        <f>Table2[[#This Row],[E]]+Table2[[#This Row],[Pile 
Deviation 
E (m)]]</f>
        <v>694067.09299999999</v>
      </c>
      <c r="W1918" s="7">
        <v>0.24</v>
      </c>
      <c r="X1918" s="2" t="s">
        <v>51</v>
      </c>
    </row>
    <row r="1919" spans="1:27" ht="13.95" hidden="1" customHeight="1" x14ac:dyDescent="0.65">
      <c r="A1919">
        <v>1913</v>
      </c>
      <c r="B1919" t="s">
        <v>29</v>
      </c>
      <c r="C1919" s="6">
        <v>1511682.4620000001</v>
      </c>
      <c r="D1919" s="6">
        <v>694037.18900000001</v>
      </c>
      <c r="E1919" s="2" t="s">
        <v>35</v>
      </c>
      <c r="F1919" s="1">
        <v>24</v>
      </c>
      <c r="G1919" s="2" t="s">
        <v>50</v>
      </c>
      <c r="J1919"/>
      <c r="K1919" s="19"/>
      <c r="L1919" s="21"/>
      <c r="M1919" s="27"/>
      <c r="N1919" s="19"/>
      <c r="O1919" s="21"/>
      <c r="Q1919" s="7">
        <f>Table2[[#This Row],[Elevation
PILE TOP]]-Table2[[#This Row],[LENGTH(m.)
(Actual)]]</f>
        <v>0</v>
      </c>
      <c r="R1919" s="2"/>
      <c r="S1919" s="7">
        <f>Table2[[#This Row],[N]]+Table2[[#This Row],[Pile 
Deviation 
N (m)]]</f>
        <v>1511682.4620000001</v>
      </c>
      <c r="T1919" s="7">
        <f>Table2[[#This Row],[E]]+Table2[[#This Row],[Pile 
Deviation 
E (m)]]</f>
        <v>694037.18900000001</v>
      </c>
      <c r="W1919" s="7">
        <v>0.24</v>
      </c>
      <c r="X1919" s="2" t="s">
        <v>51</v>
      </c>
    </row>
    <row r="1920" spans="1:27" hidden="1" x14ac:dyDescent="0.65">
      <c r="A1920">
        <v>1914</v>
      </c>
      <c r="B1920" t="s">
        <v>29</v>
      </c>
      <c r="C1920" s="6">
        <v>1511682.3929999999</v>
      </c>
      <c r="D1920" s="6">
        <v>693927.90800000005</v>
      </c>
      <c r="E1920" s="2" t="s">
        <v>35</v>
      </c>
      <c r="F1920" s="1">
        <v>24</v>
      </c>
      <c r="G1920" s="2" t="s">
        <v>50</v>
      </c>
      <c r="J1920"/>
      <c r="K1920" s="19"/>
      <c r="L1920" s="21"/>
      <c r="M1920" s="27"/>
      <c r="N1920" s="19"/>
      <c r="O1920" s="21"/>
      <c r="Q1920" s="7">
        <f>Table2[[#This Row],[Elevation
PILE TOP]]-Table2[[#This Row],[LENGTH(m.)
(Actual)]]</f>
        <v>0</v>
      </c>
      <c r="R1920" s="2"/>
      <c r="S1920" s="7">
        <f>Table2[[#This Row],[N]]+Table2[[#This Row],[Pile 
Deviation 
N (m)]]</f>
        <v>1511682.3929999999</v>
      </c>
      <c r="T1920" s="7">
        <f>Table2[[#This Row],[E]]+Table2[[#This Row],[Pile 
Deviation 
E (m)]]</f>
        <v>693927.90800000005</v>
      </c>
      <c r="W1920" s="7">
        <v>0.24</v>
      </c>
      <c r="X1920" s="2" t="s">
        <v>51</v>
      </c>
      <c r="AA1920" s="9">
        <v>46204</v>
      </c>
    </row>
    <row r="1921" spans="1:27" ht="13.95" hidden="1" customHeight="1" x14ac:dyDescent="0.65">
      <c r="A1921">
        <v>1915</v>
      </c>
      <c r="B1921" t="s">
        <v>29</v>
      </c>
      <c r="C1921" s="6">
        <v>1511682.1969999999</v>
      </c>
      <c r="D1921" s="6">
        <v>694134.74399999995</v>
      </c>
      <c r="E1921" s="2" t="s">
        <v>35</v>
      </c>
      <c r="F1921" s="1">
        <v>24</v>
      </c>
      <c r="G1921" s="2" t="s">
        <v>50</v>
      </c>
      <c r="J1921"/>
      <c r="K1921" s="19"/>
      <c r="L1921" s="21"/>
      <c r="M1921" s="27"/>
      <c r="N1921" s="19"/>
      <c r="O1921" s="21"/>
      <c r="Q1921" s="7">
        <f>Table2[[#This Row],[Elevation
PILE TOP]]-Table2[[#This Row],[LENGTH(m.)
(Actual)]]</f>
        <v>0</v>
      </c>
      <c r="R1921" s="2"/>
      <c r="S1921" s="7">
        <f>Table2[[#This Row],[N]]+Table2[[#This Row],[Pile 
Deviation 
N (m)]]</f>
        <v>1511682.1969999999</v>
      </c>
      <c r="T1921" s="7">
        <f>Table2[[#This Row],[E]]+Table2[[#This Row],[Pile 
Deviation 
E (m)]]</f>
        <v>694134.74399999995</v>
      </c>
      <c r="W1921" s="7">
        <v>0.24</v>
      </c>
      <c r="X1921" s="2" t="s">
        <v>51</v>
      </c>
    </row>
    <row r="1922" spans="1:27" hidden="1" x14ac:dyDescent="0.65">
      <c r="A1922">
        <v>1916</v>
      </c>
      <c r="B1922" t="s">
        <v>29</v>
      </c>
      <c r="C1922" s="6">
        <v>1511682.1869999999</v>
      </c>
      <c r="D1922" s="6">
        <v>694115.89599999995</v>
      </c>
      <c r="E1922" s="2" t="s">
        <v>35</v>
      </c>
      <c r="F1922" s="1">
        <v>24</v>
      </c>
      <c r="G1922" s="2" t="s">
        <v>50</v>
      </c>
      <c r="J1922"/>
      <c r="K1922" s="19"/>
      <c r="L1922" s="21"/>
      <c r="M1922" s="27"/>
      <c r="N1922" s="19"/>
      <c r="O1922" s="21"/>
      <c r="Q1922" s="7">
        <f>Table2[[#This Row],[Elevation
PILE TOP]]-Table2[[#This Row],[LENGTH(m.)
(Actual)]]</f>
        <v>0</v>
      </c>
      <c r="R1922" s="2"/>
      <c r="S1922" s="7">
        <f>Table2[[#This Row],[N]]+Table2[[#This Row],[Pile 
Deviation 
N (m)]]</f>
        <v>1511682.1869999999</v>
      </c>
      <c r="T1922" s="7">
        <f>Table2[[#This Row],[E]]+Table2[[#This Row],[Pile 
Deviation 
E (m)]]</f>
        <v>694115.89599999995</v>
      </c>
      <c r="W1922" s="7">
        <v>0.24</v>
      </c>
      <c r="X1922" s="2" t="s">
        <v>51</v>
      </c>
    </row>
    <row r="1923" spans="1:27" ht="13.95" hidden="1" customHeight="1" x14ac:dyDescent="0.65">
      <c r="A1923">
        <v>1917</v>
      </c>
      <c r="B1923" t="s">
        <v>29</v>
      </c>
      <c r="C1923" s="6">
        <v>1511682.176</v>
      </c>
      <c r="D1923" s="6">
        <v>694097.04799999995</v>
      </c>
      <c r="E1923" s="2" t="s">
        <v>35</v>
      </c>
      <c r="F1923" s="1">
        <v>24</v>
      </c>
      <c r="G1923" s="2" t="s">
        <v>50</v>
      </c>
      <c r="J1923"/>
      <c r="K1923" s="19"/>
      <c r="L1923" s="21"/>
      <c r="M1923" s="27"/>
      <c r="N1923" s="19"/>
      <c r="O1923" s="21"/>
      <c r="Q1923" s="7">
        <f>Table2[[#This Row],[Elevation
PILE TOP]]-Table2[[#This Row],[LENGTH(m.)
(Actual)]]</f>
        <v>0</v>
      </c>
      <c r="R1923" s="2"/>
      <c r="S1923" s="7">
        <f>Table2[[#This Row],[N]]+Table2[[#This Row],[Pile 
Deviation 
N (m)]]</f>
        <v>1511682.176</v>
      </c>
      <c r="T1923" s="7">
        <f>Table2[[#This Row],[E]]+Table2[[#This Row],[Pile 
Deviation 
E (m)]]</f>
        <v>694097.04799999995</v>
      </c>
      <c r="W1923" s="7">
        <v>0.24</v>
      </c>
      <c r="X1923" s="2" t="s">
        <v>51</v>
      </c>
    </row>
    <row r="1924" spans="1:27" hidden="1" x14ac:dyDescent="0.65">
      <c r="A1924">
        <v>1918</v>
      </c>
      <c r="B1924" t="s">
        <v>29</v>
      </c>
      <c r="C1924" s="6">
        <v>1511682.166</v>
      </c>
      <c r="D1924" s="6">
        <v>694078.2</v>
      </c>
      <c r="E1924" s="2" t="s">
        <v>35</v>
      </c>
      <c r="F1924" s="1">
        <v>24</v>
      </c>
      <c r="G1924" s="2" t="s">
        <v>50</v>
      </c>
      <c r="J1924"/>
      <c r="K1924" s="19"/>
      <c r="L1924" s="21"/>
      <c r="M1924" s="27"/>
      <c r="N1924" s="19"/>
      <c r="O1924" s="21"/>
      <c r="Q1924" s="7">
        <f>Table2[[#This Row],[Elevation
PILE TOP]]-Table2[[#This Row],[LENGTH(m.)
(Actual)]]</f>
        <v>0</v>
      </c>
      <c r="R1924" s="2"/>
      <c r="S1924" s="7">
        <f>Table2[[#This Row],[N]]+Table2[[#This Row],[Pile 
Deviation 
N (m)]]</f>
        <v>1511682.166</v>
      </c>
      <c r="T1924" s="7">
        <f>Table2[[#This Row],[E]]+Table2[[#This Row],[Pile 
Deviation 
E (m)]]</f>
        <v>694078.2</v>
      </c>
      <c r="W1924" s="7">
        <v>0.24</v>
      </c>
      <c r="X1924" s="2" t="s">
        <v>51</v>
      </c>
    </row>
    <row r="1925" spans="1:27" ht="13.95" hidden="1" customHeight="1" x14ac:dyDescent="0.65">
      <c r="A1925">
        <v>1919</v>
      </c>
      <c r="B1925" t="s">
        <v>29</v>
      </c>
      <c r="C1925" s="6">
        <v>1511682.0589999999</v>
      </c>
      <c r="D1925" s="6">
        <v>694048.25</v>
      </c>
      <c r="E1925" s="2" t="s">
        <v>35</v>
      </c>
      <c r="F1925" s="1">
        <v>24</v>
      </c>
      <c r="G1925" s="2" t="s">
        <v>50</v>
      </c>
      <c r="J1925"/>
      <c r="K1925" s="19"/>
      <c r="L1925" s="21"/>
      <c r="M1925" s="27"/>
      <c r="N1925" s="19"/>
      <c r="O1925" s="21"/>
      <c r="Q1925" s="7">
        <f>Table2[[#This Row],[Elevation
PILE TOP]]-Table2[[#This Row],[LENGTH(m.)
(Actual)]]</f>
        <v>0</v>
      </c>
      <c r="R1925" s="2"/>
      <c r="S1925" s="7">
        <f>Table2[[#This Row],[N]]+Table2[[#This Row],[Pile 
Deviation 
N (m)]]</f>
        <v>1511682.0589999999</v>
      </c>
      <c r="T1925" s="7">
        <f>Table2[[#This Row],[E]]+Table2[[#This Row],[Pile 
Deviation 
E (m)]]</f>
        <v>694048.25</v>
      </c>
      <c r="W1925" s="7">
        <v>0.24</v>
      </c>
      <c r="X1925" s="2" t="s">
        <v>51</v>
      </c>
    </row>
    <row r="1926" spans="1:27" hidden="1" x14ac:dyDescent="0.65">
      <c r="A1926">
        <v>1920</v>
      </c>
      <c r="B1926" t="s">
        <v>29</v>
      </c>
      <c r="C1926" s="6">
        <v>1511681.9</v>
      </c>
      <c r="D1926" s="6">
        <v>694074.35</v>
      </c>
      <c r="E1926" s="2" t="s">
        <v>35</v>
      </c>
      <c r="F1926" s="1">
        <v>24</v>
      </c>
      <c r="G1926" s="2" t="s">
        <v>50</v>
      </c>
      <c r="J1926"/>
      <c r="K1926" s="19"/>
      <c r="L1926" s="21"/>
      <c r="M1926" s="27"/>
      <c r="N1926" s="19"/>
      <c r="O1926" s="21"/>
      <c r="Q1926" s="7">
        <f>Table2[[#This Row],[Elevation
PILE TOP]]-Table2[[#This Row],[LENGTH(m.)
(Actual)]]</f>
        <v>0</v>
      </c>
      <c r="R1926" s="2"/>
      <c r="S1926" s="7">
        <f>Table2[[#This Row],[N]]+Table2[[#This Row],[Pile 
Deviation 
N (m)]]</f>
        <v>1511681.9</v>
      </c>
      <c r="T1926" s="7">
        <f>Table2[[#This Row],[E]]+Table2[[#This Row],[Pile 
Deviation 
E (m)]]</f>
        <v>694074.35</v>
      </c>
      <c r="W1926" s="7">
        <v>0.24</v>
      </c>
      <c r="X1926" s="2" t="s">
        <v>51</v>
      </c>
    </row>
    <row r="1927" spans="1:27" ht="13.95" hidden="1" customHeight="1" x14ac:dyDescent="0.65">
      <c r="A1927">
        <v>1921</v>
      </c>
      <c r="B1927" t="s">
        <v>29</v>
      </c>
      <c r="C1927" s="6">
        <v>1511681.656</v>
      </c>
      <c r="D1927" s="6">
        <v>694059.31099999999</v>
      </c>
      <c r="E1927" s="2" t="s">
        <v>35</v>
      </c>
      <c r="F1927" s="1">
        <v>24</v>
      </c>
      <c r="G1927" s="2" t="s">
        <v>50</v>
      </c>
      <c r="J1927"/>
      <c r="K1927" s="19"/>
      <c r="L1927" s="21"/>
      <c r="M1927" s="27"/>
      <c r="N1927" s="19"/>
      <c r="O1927" s="21"/>
      <c r="Q1927" s="7">
        <f>Table2[[#This Row],[Elevation
PILE TOP]]-Table2[[#This Row],[LENGTH(m.)
(Actual)]]</f>
        <v>0</v>
      </c>
      <c r="R1927" s="2"/>
      <c r="S1927" s="7">
        <f>Table2[[#This Row],[N]]+Table2[[#This Row],[Pile 
Deviation 
N (m)]]</f>
        <v>1511681.656</v>
      </c>
      <c r="T1927" s="7">
        <f>Table2[[#This Row],[E]]+Table2[[#This Row],[Pile 
Deviation 
E (m)]]</f>
        <v>694059.31099999999</v>
      </c>
      <c r="W1927" s="7">
        <v>0.24</v>
      </c>
      <c r="X1927" s="2" t="s">
        <v>51</v>
      </c>
    </row>
    <row r="1928" spans="1:27" hidden="1" x14ac:dyDescent="0.65">
      <c r="A1928">
        <v>1922</v>
      </c>
      <c r="B1928" t="s">
        <v>29</v>
      </c>
      <c r="C1928" s="6">
        <v>1511681.638</v>
      </c>
      <c r="D1928" s="6">
        <v>694029.40700000001</v>
      </c>
      <c r="E1928" s="2" t="s">
        <v>35</v>
      </c>
      <c r="F1928" s="1">
        <v>24</v>
      </c>
      <c r="G1928" s="2" t="s">
        <v>50</v>
      </c>
      <c r="J1928"/>
      <c r="K1928" s="19"/>
      <c r="L1928" s="21"/>
      <c r="M1928" s="27"/>
      <c r="N1928" s="19"/>
      <c r="O1928" s="21"/>
      <c r="Q1928" s="7">
        <f>Table2[[#This Row],[Elevation
PILE TOP]]-Table2[[#This Row],[LENGTH(m.)
(Actual)]]</f>
        <v>0</v>
      </c>
      <c r="R1928" s="2"/>
      <c r="S1928" s="7">
        <f>Table2[[#This Row],[N]]+Table2[[#This Row],[Pile 
Deviation 
N (m)]]</f>
        <v>1511681.638</v>
      </c>
      <c r="T1928" s="7">
        <f>Table2[[#This Row],[E]]+Table2[[#This Row],[Pile 
Deviation 
E (m)]]</f>
        <v>694029.40700000001</v>
      </c>
      <c r="W1928" s="7">
        <v>0.24</v>
      </c>
      <c r="X1928" s="2" t="s">
        <v>51</v>
      </c>
    </row>
    <row r="1929" spans="1:27" ht="13.95" customHeight="1" x14ac:dyDescent="0.65">
      <c r="A1929">
        <v>1923</v>
      </c>
      <c r="B1929" t="s">
        <v>29</v>
      </c>
      <c r="C1929" s="6">
        <v>1511681.3859999999</v>
      </c>
      <c r="D1929" s="6">
        <v>693999.41500000004</v>
      </c>
      <c r="E1929" s="2" t="s">
        <v>35</v>
      </c>
      <c r="F1929" s="1">
        <v>24</v>
      </c>
      <c r="G1929" s="2" t="s">
        <v>50</v>
      </c>
      <c r="J1929"/>
      <c r="K1929" s="19"/>
      <c r="L1929" s="21"/>
      <c r="M1929" s="27"/>
      <c r="N1929" s="19"/>
      <c r="O1929" s="21"/>
      <c r="Q1929" s="7">
        <f>Table2[[#This Row],[Elevation
PILE TOP]]-Table2[[#This Row],[LENGTH(m.)
(Actual)]]</f>
        <v>0</v>
      </c>
      <c r="R1929" s="2"/>
      <c r="S1929" s="7">
        <f>Table2[[#This Row],[N]]+Table2[[#This Row],[Pile 
Deviation 
N (m)]]</f>
        <v>1511681.3859999999</v>
      </c>
      <c r="T1929" s="7">
        <f>Table2[[#This Row],[E]]+Table2[[#This Row],[Pile 
Deviation 
E (m)]]</f>
        <v>693999.41500000004</v>
      </c>
      <c r="W1929" s="7">
        <v>0.24</v>
      </c>
      <c r="X1929" s="2" t="s">
        <v>51</v>
      </c>
      <c r="AA1929" s="9">
        <v>46199</v>
      </c>
    </row>
    <row r="1930" spans="1:27" hidden="1" x14ac:dyDescent="0.65">
      <c r="A1930">
        <v>1924</v>
      </c>
      <c r="B1930" t="s">
        <v>29</v>
      </c>
      <c r="C1930" s="6">
        <v>1511681.5430000001</v>
      </c>
      <c r="D1930" s="6">
        <v>694126.946</v>
      </c>
      <c r="E1930" s="2" t="s">
        <v>35</v>
      </c>
      <c r="F1930" s="1">
        <v>24</v>
      </c>
      <c r="G1930" s="2" t="s">
        <v>50</v>
      </c>
      <c r="J1930"/>
      <c r="K1930" s="19"/>
      <c r="L1930" s="21"/>
      <c r="M1930" s="27"/>
      <c r="N1930" s="19"/>
      <c r="O1930" s="21"/>
      <c r="Q1930" s="7">
        <f>Table2[[#This Row],[Elevation
PILE TOP]]-Table2[[#This Row],[LENGTH(m.)
(Actual)]]</f>
        <v>0</v>
      </c>
      <c r="R1930" s="2"/>
      <c r="S1930" s="7">
        <f>Table2[[#This Row],[N]]+Table2[[#This Row],[Pile 
Deviation 
N (m)]]</f>
        <v>1511681.5430000001</v>
      </c>
      <c r="T1930" s="7">
        <f>Table2[[#This Row],[E]]+Table2[[#This Row],[Pile 
Deviation 
E (m)]]</f>
        <v>694126.946</v>
      </c>
      <c r="W1930" s="7">
        <v>0.24</v>
      </c>
      <c r="X1930" s="2" t="s">
        <v>51</v>
      </c>
    </row>
    <row r="1931" spans="1:27" ht="13.95" hidden="1" customHeight="1" x14ac:dyDescent="0.65">
      <c r="A1931">
        <v>1925</v>
      </c>
      <c r="B1931" t="s">
        <v>29</v>
      </c>
      <c r="C1931" s="6">
        <v>1511681.5319999999</v>
      </c>
      <c r="D1931" s="6">
        <v>694108.098</v>
      </c>
      <c r="E1931" s="2" t="s">
        <v>35</v>
      </c>
      <c r="F1931" s="1">
        <v>24</v>
      </c>
      <c r="G1931" s="2" t="s">
        <v>50</v>
      </c>
      <c r="J1931"/>
      <c r="K1931" s="19"/>
      <c r="L1931" s="21"/>
      <c r="M1931" s="27"/>
      <c r="N1931" s="19"/>
      <c r="O1931" s="21"/>
      <c r="Q1931" s="7">
        <f>Table2[[#This Row],[Elevation
PILE TOP]]-Table2[[#This Row],[LENGTH(m.)
(Actual)]]</f>
        <v>0</v>
      </c>
      <c r="R1931" s="2"/>
      <c r="S1931" s="7">
        <f>Table2[[#This Row],[N]]+Table2[[#This Row],[Pile 
Deviation 
N (m)]]</f>
        <v>1511681.5319999999</v>
      </c>
      <c r="T1931" s="7">
        <f>Table2[[#This Row],[E]]+Table2[[#This Row],[Pile 
Deviation 
E (m)]]</f>
        <v>694108.098</v>
      </c>
      <c r="W1931" s="7">
        <v>0.24</v>
      </c>
      <c r="X1931" s="2" t="s">
        <v>51</v>
      </c>
    </row>
    <row r="1932" spans="1:27" hidden="1" x14ac:dyDescent="0.65">
      <c r="A1932">
        <v>1926</v>
      </c>
      <c r="B1932" t="s">
        <v>29</v>
      </c>
      <c r="C1932" s="6">
        <v>1511681.5220000001</v>
      </c>
      <c r="D1932" s="6">
        <v>694089.25</v>
      </c>
      <c r="E1932" s="2" t="s">
        <v>35</v>
      </c>
      <c r="F1932" s="1">
        <v>24</v>
      </c>
      <c r="G1932" s="2" t="s">
        <v>50</v>
      </c>
      <c r="J1932"/>
      <c r="K1932" s="19"/>
      <c r="L1932" s="21"/>
      <c r="M1932" s="27"/>
      <c r="N1932" s="19"/>
      <c r="O1932" s="21"/>
      <c r="Q1932" s="7">
        <f>Table2[[#This Row],[Elevation
PILE TOP]]-Table2[[#This Row],[LENGTH(m.)
(Actual)]]</f>
        <v>0</v>
      </c>
      <c r="R1932" s="2"/>
      <c r="S1932" s="7">
        <f>Table2[[#This Row],[N]]+Table2[[#This Row],[Pile 
Deviation 
N (m)]]</f>
        <v>1511681.5220000001</v>
      </c>
      <c r="T1932" s="7">
        <f>Table2[[#This Row],[E]]+Table2[[#This Row],[Pile 
Deviation 
E (m)]]</f>
        <v>694089.25</v>
      </c>
      <c r="W1932" s="7">
        <v>0.24</v>
      </c>
      <c r="X1932" s="2" t="s">
        <v>51</v>
      </c>
    </row>
    <row r="1933" spans="1:27" ht="13.95" hidden="1" customHeight="1" x14ac:dyDescent="0.65">
      <c r="A1933">
        <v>1927</v>
      </c>
      <c r="B1933" t="s">
        <v>29</v>
      </c>
      <c r="C1933" s="6">
        <v>1511681.439</v>
      </c>
      <c r="D1933" s="6">
        <v>693889.55200000003</v>
      </c>
      <c r="E1933" s="2" t="s">
        <v>35</v>
      </c>
      <c r="F1933" s="1">
        <v>24</v>
      </c>
      <c r="G1933" s="2" t="s">
        <v>50</v>
      </c>
      <c r="J1933"/>
      <c r="K1933" s="19"/>
      <c r="L1933" s="21"/>
      <c r="M1933" s="27"/>
      <c r="N1933" s="19"/>
      <c r="O1933" s="21"/>
      <c r="Q1933" s="7">
        <f>Table2[[#This Row],[Elevation
PILE TOP]]-Table2[[#This Row],[LENGTH(m.)
(Actual)]]</f>
        <v>0</v>
      </c>
      <c r="R1933" s="2"/>
      <c r="S1933" s="7">
        <f>Table2[[#This Row],[N]]+Table2[[#This Row],[Pile 
Deviation 
N (m)]]</f>
        <v>1511681.439</v>
      </c>
      <c r="T1933" s="7">
        <f>Table2[[#This Row],[E]]+Table2[[#This Row],[Pile 
Deviation 
E (m)]]</f>
        <v>693889.55200000003</v>
      </c>
      <c r="W1933" s="7">
        <v>0.24</v>
      </c>
      <c r="X1933" s="2" t="s">
        <v>51</v>
      </c>
      <c r="AA1933" s="9">
        <v>46207</v>
      </c>
    </row>
    <row r="1934" spans="1:27" hidden="1" x14ac:dyDescent="0.65">
      <c r="A1934">
        <v>1928</v>
      </c>
      <c r="B1934" t="s">
        <v>29</v>
      </c>
      <c r="C1934" s="6">
        <v>1511681.253</v>
      </c>
      <c r="D1934" s="6">
        <v>694070.37100000004</v>
      </c>
      <c r="E1934" s="2" t="s">
        <v>35</v>
      </c>
      <c r="F1934" s="1">
        <v>24</v>
      </c>
      <c r="G1934" s="2" t="s">
        <v>50</v>
      </c>
      <c r="J1934"/>
      <c r="K1934" s="19"/>
      <c r="L1934" s="21"/>
      <c r="M1934" s="27"/>
      <c r="N1934" s="19"/>
      <c r="O1934" s="21"/>
      <c r="Q1934" s="7">
        <f>Table2[[#This Row],[Elevation
PILE TOP]]-Table2[[#This Row],[LENGTH(m.)
(Actual)]]</f>
        <v>0</v>
      </c>
      <c r="R1934" s="2"/>
      <c r="S1934" s="7">
        <f>Table2[[#This Row],[N]]+Table2[[#This Row],[Pile 
Deviation 
N (m)]]</f>
        <v>1511681.253</v>
      </c>
      <c r="T1934" s="7">
        <f>Table2[[#This Row],[E]]+Table2[[#This Row],[Pile 
Deviation 
E (m)]]</f>
        <v>694070.37100000004</v>
      </c>
      <c r="W1934" s="7">
        <v>0.24</v>
      </c>
      <c r="X1934" s="2" t="s">
        <v>51</v>
      </c>
    </row>
    <row r="1935" spans="1:27" ht="13.95" hidden="1" customHeight="1" x14ac:dyDescent="0.65">
      <c r="A1935">
        <v>1929</v>
      </c>
      <c r="B1935" t="s">
        <v>29</v>
      </c>
      <c r="C1935" s="6">
        <v>1511681.2350000001</v>
      </c>
      <c r="D1935" s="6">
        <v>694040.46699999995</v>
      </c>
      <c r="E1935" s="2" t="s">
        <v>35</v>
      </c>
      <c r="F1935" s="1">
        <v>24</v>
      </c>
      <c r="G1935" s="2" t="s">
        <v>50</v>
      </c>
      <c r="J1935"/>
      <c r="K1935" s="19"/>
      <c r="L1935" s="21"/>
      <c r="M1935" s="27"/>
      <c r="N1935" s="19"/>
      <c r="O1935" s="21"/>
      <c r="Q1935" s="7">
        <f>Table2[[#This Row],[Elevation
PILE TOP]]-Table2[[#This Row],[LENGTH(m.)
(Actual)]]</f>
        <v>0</v>
      </c>
      <c r="R1935" s="2"/>
      <c r="S1935" s="7">
        <f>Table2[[#This Row],[N]]+Table2[[#This Row],[Pile 
Deviation 
N (m)]]</f>
        <v>1511681.2350000001</v>
      </c>
      <c r="T1935" s="7">
        <f>Table2[[#This Row],[E]]+Table2[[#This Row],[Pile 
Deviation 
E (m)]]</f>
        <v>694040.46699999995</v>
      </c>
      <c r="W1935" s="7">
        <v>0.24</v>
      </c>
      <c r="X1935" s="2" t="s">
        <v>51</v>
      </c>
    </row>
    <row r="1936" spans="1:27" hidden="1" x14ac:dyDescent="0.65">
      <c r="A1936">
        <v>1930</v>
      </c>
      <c r="B1936" t="s">
        <v>29</v>
      </c>
      <c r="C1936" s="6">
        <v>1511680.899</v>
      </c>
      <c r="D1936" s="6">
        <v>694137.995</v>
      </c>
      <c r="E1936" s="2" t="s">
        <v>35</v>
      </c>
      <c r="F1936" s="1">
        <v>24</v>
      </c>
      <c r="G1936" s="2" t="s">
        <v>50</v>
      </c>
      <c r="J1936"/>
      <c r="K1936" s="19"/>
      <c r="L1936" s="21"/>
      <c r="M1936" s="27"/>
      <c r="N1936" s="19"/>
      <c r="O1936" s="21"/>
      <c r="Q1936" s="7">
        <f>Table2[[#This Row],[Elevation
PILE TOP]]-Table2[[#This Row],[LENGTH(m.)
(Actual)]]</f>
        <v>0</v>
      </c>
      <c r="R1936" s="2"/>
      <c r="S1936" s="7">
        <f>Table2[[#This Row],[N]]+Table2[[#This Row],[Pile 
Deviation 
N (m)]]</f>
        <v>1511680.899</v>
      </c>
      <c r="T1936" s="7">
        <f>Table2[[#This Row],[E]]+Table2[[#This Row],[Pile 
Deviation 
E (m)]]</f>
        <v>694137.995</v>
      </c>
      <c r="W1936" s="7">
        <v>0.24</v>
      </c>
      <c r="X1936" s="2" t="s">
        <v>51</v>
      </c>
    </row>
    <row r="1937" spans="1:27" ht="13.95" hidden="1" customHeight="1" x14ac:dyDescent="0.65">
      <c r="A1937">
        <v>1931</v>
      </c>
      <c r="B1937" t="s">
        <v>29</v>
      </c>
      <c r="C1937" s="6">
        <v>1511680.889</v>
      </c>
      <c r="D1937" s="6">
        <v>694119.147</v>
      </c>
      <c r="E1937" s="2" t="s">
        <v>35</v>
      </c>
      <c r="F1937" s="1">
        <v>24</v>
      </c>
      <c r="G1937" s="2" t="s">
        <v>50</v>
      </c>
      <c r="J1937"/>
      <c r="K1937" s="19"/>
      <c r="L1937" s="21"/>
      <c r="M1937" s="27"/>
      <c r="N1937" s="19"/>
      <c r="O1937" s="21"/>
      <c r="Q1937" s="7">
        <f>Table2[[#This Row],[Elevation
PILE TOP]]-Table2[[#This Row],[LENGTH(m.)
(Actual)]]</f>
        <v>0</v>
      </c>
      <c r="R1937" s="2"/>
      <c r="S1937" s="7">
        <f>Table2[[#This Row],[N]]+Table2[[#This Row],[Pile 
Deviation 
N (m)]]</f>
        <v>1511680.889</v>
      </c>
      <c r="T1937" s="7">
        <f>Table2[[#This Row],[E]]+Table2[[#This Row],[Pile 
Deviation 
E (m)]]</f>
        <v>694119.147</v>
      </c>
      <c r="W1937" s="7">
        <v>0.24</v>
      </c>
      <c r="X1937" s="2" t="s">
        <v>51</v>
      </c>
    </row>
    <row r="1938" spans="1:27" hidden="1" x14ac:dyDescent="0.65">
      <c r="A1938">
        <v>1932</v>
      </c>
      <c r="B1938" t="s">
        <v>29</v>
      </c>
      <c r="C1938" s="6">
        <v>1511680.878</v>
      </c>
      <c r="D1938" s="6">
        <v>694100.299</v>
      </c>
      <c r="E1938" s="2" t="s">
        <v>35</v>
      </c>
      <c r="F1938" s="1">
        <v>24</v>
      </c>
      <c r="G1938" s="2" t="s">
        <v>50</v>
      </c>
      <c r="J1938"/>
      <c r="K1938" s="19"/>
      <c r="L1938" s="21"/>
      <c r="M1938" s="27"/>
      <c r="N1938" s="19"/>
      <c r="O1938" s="21"/>
      <c r="Q1938" s="7">
        <f>Table2[[#This Row],[Elevation
PILE TOP]]-Table2[[#This Row],[LENGTH(m.)
(Actual)]]</f>
        <v>0</v>
      </c>
      <c r="R1938" s="2"/>
      <c r="S1938" s="7">
        <f>Table2[[#This Row],[N]]+Table2[[#This Row],[Pile 
Deviation 
N (m)]]</f>
        <v>1511680.878</v>
      </c>
      <c r="T1938" s="7">
        <f>Table2[[#This Row],[E]]+Table2[[#This Row],[Pile 
Deviation 
E (m)]]</f>
        <v>694100.299</v>
      </c>
      <c r="W1938" s="7">
        <v>0.24</v>
      </c>
      <c r="X1938" s="2" t="s">
        <v>51</v>
      </c>
    </row>
    <row r="1939" spans="1:27" ht="13.95" hidden="1" customHeight="1" x14ac:dyDescent="0.65">
      <c r="A1939">
        <v>1933</v>
      </c>
      <c r="B1939" t="s">
        <v>29</v>
      </c>
      <c r="C1939" s="6">
        <v>1511680.868</v>
      </c>
      <c r="D1939" s="6">
        <v>694081.451</v>
      </c>
      <c r="E1939" s="2" t="s">
        <v>35</v>
      </c>
      <c r="F1939" s="1">
        <v>24</v>
      </c>
      <c r="G1939" s="2" t="s">
        <v>50</v>
      </c>
      <c r="J1939"/>
      <c r="K1939" s="19"/>
      <c r="L1939" s="21"/>
      <c r="M1939" s="27"/>
      <c r="N1939" s="19"/>
      <c r="O1939" s="21"/>
      <c r="Q1939" s="7">
        <f>Table2[[#This Row],[Elevation
PILE TOP]]-Table2[[#This Row],[LENGTH(m.)
(Actual)]]</f>
        <v>0</v>
      </c>
      <c r="R1939" s="2"/>
      <c r="S1939" s="7">
        <f>Table2[[#This Row],[N]]+Table2[[#This Row],[Pile 
Deviation 
N (m)]]</f>
        <v>1511680.868</v>
      </c>
      <c r="T1939" s="7">
        <f>Table2[[#This Row],[E]]+Table2[[#This Row],[Pile 
Deviation 
E (m)]]</f>
        <v>694081.451</v>
      </c>
      <c r="W1939" s="7">
        <v>0.24</v>
      </c>
      <c r="X1939" s="2" t="s">
        <v>51</v>
      </c>
    </row>
    <row r="1940" spans="1:27" hidden="1" x14ac:dyDescent="0.65">
      <c r="A1940">
        <v>1934</v>
      </c>
      <c r="B1940" t="s">
        <v>29</v>
      </c>
      <c r="C1940" s="6">
        <v>1511680.8319999999</v>
      </c>
      <c r="D1940" s="6">
        <v>694051.52800000005</v>
      </c>
      <c r="E1940" s="2" t="s">
        <v>35</v>
      </c>
      <c r="F1940" s="1">
        <v>24</v>
      </c>
      <c r="G1940" s="2" t="s">
        <v>50</v>
      </c>
      <c r="J1940"/>
      <c r="K1940" s="19"/>
      <c r="L1940" s="21"/>
      <c r="M1940" s="27"/>
      <c r="N1940" s="19"/>
      <c r="O1940" s="21"/>
      <c r="Q1940" s="7">
        <f>Table2[[#This Row],[Elevation
PILE TOP]]-Table2[[#This Row],[LENGTH(m.)
(Actual)]]</f>
        <v>0</v>
      </c>
      <c r="R1940" s="2"/>
      <c r="S1940" s="7">
        <f>Table2[[#This Row],[N]]+Table2[[#This Row],[Pile 
Deviation 
N (m)]]</f>
        <v>1511680.8319999999</v>
      </c>
      <c r="T1940" s="7">
        <f>Table2[[#This Row],[E]]+Table2[[#This Row],[Pile 
Deviation 
E (m)]]</f>
        <v>694051.52800000005</v>
      </c>
      <c r="W1940" s="7">
        <v>0.24</v>
      </c>
      <c r="X1940" s="2" t="s">
        <v>51</v>
      </c>
    </row>
    <row r="1941" spans="1:27" ht="13.95" hidden="1" customHeight="1" x14ac:dyDescent="0.65">
      <c r="A1941">
        <v>1935</v>
      </c>
      <c r="B1941" t="s">
        <v>29</v>
      </c>
      <c r="C1941" s="6">
        <v>1511680.8149999999</v>
      </c>
      <c r="D1941" s="6">
        <v>694021.62399999995</v>
      </c>
      <c r="E1941" s="2" t="s">
        <v>35</v>
      </c>
      <c r="F1941" s="1">
        <v>24</v>
      </c>
      <c r="G1941" s="2" t="s">
        <v>50</v>
      </c>
      <c r="J1941"/>
      <c r="K1941" s="19"/>
      <c r="L1941" s="21"/>
      <c r="M1941" s="27"/>
      <c r="N1941" s="19"/>
      <c r="O1941" s="21"/>
      <c r="Q1941" s="7">
        <f>Table2[[#This Row],[Elevation
PILE TOP]]-Table2[[#This Row],[LENGTH(m.)
(Actual)]]</f>
        <v>0</v>
      </c>
      <c r="R1941" s="2"/>
      <c r="S1941" s="7">
        <f>Table2[[#This Row],[N]]+Table2[[#This Row],[Pile 
Deviation 
N (m)]]</f>
        <v>1511680.8149999999</v>
      </c>
      <c r="T1941" s="7">
        <f>Table2[[#This Row],[E]]+Table2[[#This Row],[Pile 
Deviation 
E (m)]]</f>
        <v>694021.62399999995</v>
      </c>
      <c r="W1941" s="7">
        <v>0.24</v>
      </c>
      <c r="X1941" s="2" t="s">
        <v>51</v>
      </c>
    </row>
    <row r="1942" spans="1:27" hidden="1" x14ac:dyDescent="0.65">
      <c r="A1942">
        <v>1936</v>
      </c>
      <c r="B1942" t="s">
        <v>29</v>
      </c>
      <c r="C1942" s="6">
        <v>1511680.673</v>
      </c>
      <c r="D1942" s="6">
        <v>694077.62800000003</v>
      </c>
      <c r="E1942" s="2" t="s">
        <v>35</v>
      </c>
      <c r="F1942" s="1">
        <v>24</v>
      </c>
      <c r="G1942" s="2" t="s">
        <v>50</v>
      </c>
      <c r="J1942"/>
      <c r="K1942" s="19"/>
      <c r="L1942" s="21"/>
      <c r="M1942" s="27"/>
      <c r="N1942" s="19"/>
      <c r="O1942" s="21"/>
      <c r="Q1942" s="7">
        <f>Table2[[#This Row],[Elevation
PILE TOP]]-Table2[[#This Row],[LENGTH(m.)
(Actual)]]</f>
        <v>0</v>
      </c>
      <c r="R1942" s="2"/>
      <c r="S1942" s="7">
        <f>Table2[[#This Row],[N]]+Table2[[#This Row],[Pile 
Deviation 
N (m)]]</f>
        <v>1511680.673</v>
      </c>
      <c r="T1942" s="7">
        <f>Table2[[#This Row],[E]]+Table2[[#This Row],[Pile 
Deviation 
E (m)]]</f>
        <v>694077.62800000003</v>
      </c>
      <c r="W1942" s="7">
        <v>0.24</v>
      </c>
      <c r="X1942" s="2" t="s">
        <v>51</v>
      </c>
    </row>
    <row r="1943" spans="1:27" ht="13.95" hidden="1" customHeight="1" x14ac:dyDescent="0.65">
      <c r="A1943">
        <v>1937</v>
      </c>
      <c r="B1943" t="s">
        <v>29</v>
      </c>
      <c r="C1943" s="6">
        <v>1511680.429</v>
      </c>
      <c r="D1943" s="6">
        <v>694062.58799999999</v>
      </c>
      <c r="E1943" s="2" t="s">
        <v>35</v>
      </c>
      <c r="F1943" s="1">
        <v>24</v>
      </c>
      <c r="G1943" s="2" t="s">
        <v>50</v>
      </c>
      <c r="J1943"/>
      <c r="K1943" s="19"/>
      <c r="L1943" s="21"/>
      <c r="M1943" s="27"/>
      <c r="N1943" s="19"/>
      <c r="O1943" s="21"/>
      <c r="Q1943" s="7">
        <f>Table2[[#This Row],[Elevation
PILE TOP]]-Table2[[#This Row],[LENGTH(m.)
(Actual)]]</f>
        <v>0</v>
      </c>
      <c r="R1943" s="2"/>
      <c r="S1943" s="7">
        <f>Table2[[#This Row],[N]]+Table2[[#This Row],[Pile 
Deviation 
N (m)]]</f>
        <v>1511680.429</v>
      </c>
      <c r="T1943" s="7">
        <f>Table2[[#This Row],[E]]+Table2[[#This Row],[Pile 
Deviation 
E (m)]]</f>
        <v>694062.58799999999</v>
      </c>
      <c r="W1943" s="7">
        <v>0.24</v>
      </c>
      <c r="X1943" s="2" t="s">
        <v>51</v>
      </c>
    </row>
    <row r="1944" spans="1:27" hidden="1" x14ac:dyDescent="0.65">
      <c r="A1944">
        <v>1938</v>
      </c>
      <c r="B1944" t="s">
        <v>29</v>
      </c>
      <c r="C1944" s="6">
        <v>1511680.412</v>
      </c>
      <c r="D1944" s="6">
        <v>694032.68400000001</v>
      </c>
      <c r="E1944" s="2" t="s">
        <v>35</v>
      </c>
      <c r="F1944" s="1">
        <v>24</v>
      </c>
      <c r="G1944" s="2" t="s">
        <v>50</v>
      </c>
      <c r="J1944"/>
      <c r="K1944" s="19"/>
      <c r="L1944" s="21"/>
      <c r="M1944" s="27"/>
      <c r="N1944" s="19"/>
      <c r="O1944" s="21"/>
      <c r="Q1944" s="7">
        <f>Table2[[#This Row],[Elevation
PILE TOP]]-Table2[[#This Row],[LENGTH(m.)
(Actual)]]</f>
        <v>0</v>
      </c>
      <c r="R1944" s="2"/>
      <c r="S1944" s="7">
        <f>Table2[[#This Row],[N]]+Table2[[#This Row],[Pile 
Deviation 
N (m)]]</f>
        <v>1511680.412</v>
      </c>
      <c r="T1944" s="7">
        <f>Table2[[#This Row],[E]]+Table2[[#This Row],[Pile 
Deviation 
E (m)]]</f>
        <v>694032.68400000001</v>
      </c>
      <c r="W1944" s="7">
        <v>0.24</v>
      </c>
      <c r="X1944" s="2" t="s">
        <v>51</v>
      </c>
    </row>
    <row r="1945" spans="1:27" ht="13.95" customHeight="1" x14ac:dyDescent="0.65">
      <c r="A1945">
        <v>1939</v>
      </c>
      <c r="B1945" t="s">
        <v>29</v>
      </c>
      <c r="C1945" s="6">
        <v>1511680.159</v>
      </c>
      <c r="D1945" s="6">
        <v>694002.69299999997</v>
      </c>
      <c r="E1945" s="2" t="s">
        <v>35</v>
      </c>
      <c r="F1945" s="1">
        <v>24</v>
      </c>
      <c r="G1945" s="2" t="s">
        <v>50</v>
      </c>
      <c r="J1945"/>
      <c r="K1945" s="19"/>
      <c r="L1945" s="21"/>
      <c r="M1945" s="27"/>
      <c r="N1945" s="19"/>
      <c r="O1945" s="21"/>
      <c r="Q1945" s="7">
        <f>Table2[[#This Row],[Elevation
PILE TOP]]-Table2[[#This Row],[LENGTH(m.)
(Actual)]]</f>
        <v>0</v>
      </c>
      <c r="R1945" s="2"/>
      <c r="S1945" s="7">
        <f>Table2[[#This Row],[N]]+Table2[[#This Row],[Pile 
Deviation 
N (m)]]</f>
        <v>1511680.159</v>
      </c>
      <c r="T1945" s="7">
        <f>Table2[[#This Row],[E]]+Table2[[#This Row],[Pile 
Deviation 
E (m)]]</f>
        <v>694002.69299999997</v>
      </c>
      <c r="W1945" s="7">
        <v>0.24</v>
      </c>
      <c r="X1945" s="2" t="s">
        <v>51</v>
      </c>
      <c r="AA1945" s="9">
        <v>46199</v>
      </c>
    </row>
    <row r="1946" spans="1:27" hidden="1" x14ac:dyDescent="0.65">
      <c r="A1946">
        <v>1940</v>
      </c>
      <c r="B1946" t="s">
        <v>29</v>
      </c>
      <c r="C1946" s="6">
        <v>1511680.2690000001</v>
      </c>
      <c r="D1946" s="6">
        <v>694085.21699999995</v>
      </c>
      <c r="E1946" s="2" t="s">
        <v>35</v>
      </c>
      <c r="F1946" s="1">
        <v>24</v>
      </c>
      <c r="G1946" s="2" t="s">
        <v>50</v>
      </c>
      <c r="J1946"/>
      <c r="K1946" s="19"/>
      <c r="L1946" s="21"/>
      <c r="M1946" s="27"/>
      <c r="N1946" s="19"/>
      <c r="O1946" s="21"/>
      <c r="Q1946" s="7">
        <f>Table2[[#This Row],[Elevation
PILE TOP]]-Table2[[#This Row],[LENGTH(m.)
(Actual)]]</f>
        <v>0</v>
      </c>
      <c r="R1946" s="2"/>
      <c r="S1946" s="7">
        <f>Table2[[#This Row],[N]]+Table2[[#This Row],[Pile 
Deviation 
N (m)]]</f>
        <v>1511680.2690000001</v>
      </c>
      <c r="T1946" s="7">
        <f>Table2[[#This Row],[E]]+Table2[[#This Row],[Pile 
Deviation 
E (m)]]</f>
        <v>694085.21699999995</v>
      </c>
      <c r="W1946" s="7">
        <v>0.24</v>
      </c>
      <c r="X1946" s="2" t="s">
        <v>51</v>
      </c>
    </row>
    <row r="1947" spans="1:27" ht="13.95" hidden="1" customHeight="1" x14ac:dyDescent="0.65">
      <c r="A1947">
        <v>1941</v>
      </c>
      <c r="B1947" t="s">
        <v>29</v>
      </c>
      <c r="C1947" s="6">
        <v>1511680.254</v>
      </c>
      <c r="D1947" s="6">
        <v>693892.84499999997</v>
      </c>
      <c r="E1947" s="2" t="s">
        <v>35</v>
      </c>
      <c r="F1947" s="1">
        <v>24</v>
      </c>
      <c r="G1947" s="2" t="s">
        <v>50</v>
      </c>
      <c r="J1947"/>
      <c r="K1947" s="19"/>
      <c r="L1947" s="21"/>
      <c r="M1947" s="27"/>
      <c r="N1947" s="19"/>
      <c r="O1947" s="21"/>
      <c r="Q1947" s="7">
        <f>Table2[[#This Row],[Elevation
PILE TOP]]-Table2[[#This Row],[LENGTH(m.)
(Actual)]]</f>
        <v>0</v>
      </c>
      <c r="R1947" s="2"/>
      <c r="S1947" s="7">
        <f>Table2[[#This Row],[N]]+Table2[[#This Row],[Pile 
Deviation 
N (m)]]</f>
        <v>1511680.254</v>
      </c>
      <c r="T1947" s="7">
        <f>Table2[[#This Row],[E]]+Table2[[#This Row],[Pile 
Deviation 
E (m)]]</f>
        <v>693892.84499999997</v>
      </c>
      <c r="W1947" s="7">
        <v>0.24</v>
      </c>
      <c r="X1947" s="2" t="s">
        <v>51</v>
      </c>
      <c r="AA1947" s="9">
        <v>46207</v>
      </c>
    </row>
    <row r="1948" spans="1:27" hidden="1" x14ac:dyDescent="0.65">
      <c r="A1948">
        <v>1942</v>
      </c>
      <c r="B1948" t="s">
        <v>29</v>
      </c>
      <c r="C1948" s="6">
        <v>1511680.2450000001</v>
      </c>
      <c r="D1948" s="6">
        <v>694130.196</v>
      </c>
      <c r="E1948" s="2" t="s">
        <v>35</v>
      </c>
      <c r="F1948" s="1">
        <v>24</v>
      </c>
      <c r="G1948" s="2" t="s">
        <v>50</v>
      </c>
      <c r="J1948"/>
      <c r="K1948" s="19"/>
      <c r="L1948" s="21"/>
      <c r="M1948" s="27"/>
      <c r="N1948" s="19"/>
      <c r="O1948" s="21"/>
      <c r="Q1948" s="7">
        <f>Table2[[#This Row],[Elevation
PILE TOP]]-Table2[[#This Row],[LENGTH(m.)
(Actual)]]</f>
        <v>0</v>
      </c>
      <c r="R1948" s="2"/>
      <c r="S1948" s="7">
        <f>Table2[[#This Row],[N]]+Table2[[#This Row],[Pile 
Deviation 
N (m)]]</f>
        <v>1511680.2450000001</v>
      </c>
      <c r="T1948" s="7">
        <f>Table2[[#This Row],[E]]+Table2[[#This Row],[Pile 
Deviation 
E (m)]]</f>
        <v>694130.196</v>
      </c>
      <c r="W1948" s="7">
        <v>0.24</v>
      </c>
      <c r="X1948" s="2" t="s">
        <v>51</v>
      </c>
    </row>
    <row r="1949" spans="1:27" ht="13.95" hidden="1" customHeight="1" x14ac:dyDescent="0.65">
      <c r="A1949">
        <v>1943</v>
      </c>
      <c r="B1949" t="s">
        <v>29</v>
      </c>
      <c r="C1949" s="6">
        <v>1511680.2339999999</v>
      </c>
      <c r="D1949" s="6">
        <v>694111.348</v>
      </c>
      <c r="E1949" s="2" t="s">
        <v>35</v>
      </c>
      <c r="F1949" s="1">
        <v>24</v>
      </c>
      <c r="G1949" s="2" t="s">
        <v>50</v>
      </c>
      <c r="J1949"/>
      <c r="K1949" s="19"/>
      <c r="L1949" s="21"/>
      <c r="M1949" s="27"/>
      <c r="N1949" s="19"/>
      <c r="O1949" s="21"/>
      <c r="Q1949" s="7">
        <f>Table2[[#This Row],[Elevation
PILE TOP]]-Table2[[#This Row],[LENGTH(m.)
(Actual)]]</f>
        <v>0</v>
      </c>
      <c r="R1949" s="2"/>
      <c r="S1949" s="7">
        <f>Table2[[#This Row],[N]]+Table2[[#This Row],[Pile 
Deviation 
N (m)]]</f>
        <v>1511680.2339999999</v>
      </c>
      <c r="T1949" s="7">
        <f>Table2[[#This Row],[E]]+Table2[[#This Row],[Pile 
Deviation 
E (m)]]</f>
        <v>694111.348</v>
      </c>
      <c r="W1949" s="7">
        <v>0.24</v>
      </c>
      <c r="X1949" s="2" t="s">
        <v>51</v>
      </c>
    </row>
    <row r="1950" spans="1:27" hidden="1" x14ac:dyDescent="0.65">
      <c r="A1950">
        <v>1944</v>
      </c>
      <c r="B1950" t="s">
        <v>29</v>
      </c>
      <c r="C1950" s="6">
        <v>1511680.2239999999</v>
      </c>
      <c r="D1950" s="6">
        <v>694092.5</v>
      </c>
      <c r="E1950" s="2" t="s">
        <v>35</v>
      </c>
      <c r="F1950" s="1">
        <v>24</v>
      </c>
      <c r="G1950" s="2" t="s">
        <v>50</v>
      </c>
      <c r="J1950"/>
      <c r="K1950" s="19"/>
      <c r="L1950" s="21"/>
      <c r="M1950" s="27"/>
      <c r="N1950" s="19"/>
      <c r="O1950" s="21"/>
      <c r="Q1950" s="7">
        <f>Table2[[#This Row],[Elevation
PILE TOP]]-Table2[[#This Row],[LENGTH(m.)
(Actual)]]</f>
        <v>0</v>
      </c>
      <c r="R1950" s="2"/>
      <c r="S1950" s="7">
        <f>Table2[[#This Row],[N]]+Table2[[#This Row],[Pile 
Deviation 
N (m)]]</f>
        <v>1511680.2239999999</v>
      </c>
      <c r="T1950" s="7">
        <f>Table2[[#This Row],[E]]+Table2[[#This Row],[Pile 
Deviation 
E (m)]]</f>
        <v>694092.5</v>
      </c>
      <c r="W1950" s="7">
        <v>0.24</v>
      </c>
      <c r="X1950" s="2" t="s">
        <v>51</v>
      </c>
    </row>
    <row r="1951" spans="1:27" ht="13.95" hidden="1" customHeight="1" x14ac:dyDescent="0.65">
      <c r="A1951">
        <v>1945</v>
      </c>
      <c r="B1951" t="s">
        <v>29</v>
      </c>
      <c r="C1951" s="6">
        <v>1511680.0260000001</v>
      </c>
      <c r="D1951" s="6">
        <v>694073.64899999998</v>
      </c>
      <c r="E1951" s="2" t="s">
        <v>35</v>
      </c>
      <c r="F1951" s="1">
        <v>24</v>
      </c>
      <c r="G1951" s="2" t="s">
        <v>50</v>
      </c>
      <c r="J1951"/>
      <c r="K1951" s="19"/>
      <c r="L1951" s="21"/>
      <c r="M1951" s="27"/>
      <c r="N1951" s="19"/>
      <c r="O1951" s="21"/>
      <c r="Q1951" s="7">
        <f>Table2[[#This Row],[Elevation
PILE TOP]]-Table2[[#This Row],[LENGTH(m.)
(Actual)]]</f>
        <v>0</v>
      </c>
      <c r="R1951" s="2"/>
      <c r="S1951" s="7">
        <f>Table2[[#This Row],[N]]+Table2[[#This Row],[Pile 
Deviation 
N (m)]]</f>
        <v>1511680.0260000001</v>
      </c>
      <c r="T1951" s="7">
        <f>Table2[[#This Row],[E]]+Table2[[#This Row],[Pile 
Deviation 
E (m)]]</f>
        <v>694073.64899999998</v>
      </c>
      <c r="W1951" s="7">
        <v>0.24</v>
      </c>
      <c r="X1951" s="2" t="s">
        <v>51</v>
      </c>
    </row>
    <row r="1952" spans="1:27" hidden="1" x14ac:dyDescent="0.65">
      <c r="A1952">
        <v>1946</v>
      </c>
      <c r="B1952" t="s">
        <v>29</v>
      </c>
      <c r="C1952" s="6">
        <v>1511680.0090000001</v>
      </c>
      <c r="D1952" s="6">
        <v>694043.745</v>
      </c>
      <c r="E1952" s="2" t="s">
        <v>35</v>
      </c>
      <c r="F1952" s="1">
        <v>24</v>
      </c>
      <c r="G1952" s="2" t="s">
        <v>50</v>
      </c>
      <c r="J1952"/>
      <c r="K1952" s="19"/>
      <c r="L1952" s="21"/>
      <c r="M1952" s="27"/>
      <c r="N1952" s="19"/>
      <c r="O1952" s="21"/>
      <c r="Q1952" s="7">
        <f>Table2[[#This Row],[Elevation
PILE TOP]]-Table2[[#This Row],[LENGTH(m.)
(Actual)]]</f>
        <v>0</v>
      </c>
      <c r="R1952" s="2"/>
      <c r="S1952" s="7">
        <f>Table2[[#This Row],[N]]+Table2[[#This Row],[Pile 
Deviation 
N (m)]]</f>
        <v>1511680.0090000001</v>
      </c>
      <c r="T1952" s="7">
        <f>Table2[[#This Row],[E]]+Table2[[#This Row],[Pile 
Deviation 
E (m)]]</f>
        <v>694043.745</v>
      </c>
      <c r="W1952" s="7">
        <v>0.24</v>
      </c>
      <c r="X1952" s="2" t="s">
        <v>51</v>
      </c>
    </row>
    <row r="1953" spans="1:27" ht="13.95" hidden="1" customHeight="1" x14ac:dyDescent="0.65">
      <c r="A1953">
        <v>1947</v>
      </c>
      <c r="B1953" t="s">
        <v>29</v>
      </c>
      <c r="C1953" s="6">
        <v>1511679.6059999999</v>
      </c>
      <c r="D1953" s="6">
        <v>694054.80599999998</v>
      </c>
      <c r="E1953" s="2" t="s">
        <v>35</v>
      </c>
      <c r="F1953" s="1">
        <v>24</v>
      </c>
      <c r="G1953" s="2" t="s">
        <v>50</v>
      </c>
      <c r="J1953"/>
      <c r="K1953" s="19"/>
      <c r="L1953" s="21"/>
      <c r="M1953" s="27"/>
      <c r="N1953" s="19"/>
      <c r="O1953" s="21"/>
      <c r="Q1953" s="7">
        <f>Table2[[#This Row],[Elevation
PILE TOP]]-Table2[[#This Row],[LENGTH(m.)
(Actual)]]</f>
        <v>0</v>
      </c>
      <c r="R1953" s="2"/>
      <c r="S1953" s="7">
        <f>Table2[[#This Row],[N]]+Table2[[#This Row],[Pile 
Deviation 
N (m)]]</f>
        <v>1511679.6059999999</v>
      </c>
      <c r="T1953" s="7">
        <f>Table2[[#This Row],[E]]+Table2[[#This Row],[Pile 
Deviation 
E (m)]]</f>
        <v>694054.80599999998</v>
      </c>
      <c r="W1953" s="7">
        <v>0.24</v>
      </c>
      <c r="X1953" s="2" t="s">
        <v>51</v>
      </c>
    </row>
    <row r="1954" spans="1:27" hidden="1" x14ac:dyDescent="0.65">
      <c r="A1954">
        <v>1948</v>
      </c>
      <c r="B1954" t="s">
        <v>29</v>
      </c>
      <c r="C1954" s="6">
        <v>1511679.591</v>
      </c>
      <c r="D1954" s="6">
        <v>694122.397</v>
      </c>
      <c r="E1954" s="2" t="s">
        <v>35</v>
      </c>
      <c r="F1954" s="1">
        <v>24</v>
      </c>
      <c r="G1954" s="2" t="s">
        <v>50</v>
      </c>
      <c r="J1954"/>
      <c r="K1954" s="19"/>
      <c r="L1954" s="21"/>
      <c r="M1954" s="27"/>
      <c r="N1954" s="19"/>
      <c r="O1954" s="21"/>
      <c r="Q1954" s="7">
        <f>Table2[[#This Row],[Elevation
PILE TOP]]-Table2[[#This Row],[LENGTH(m.)
(Actual)]]</f>
        <v>0</v>
      </c>
      <c r="R1954" s="2"/>
      <c r="S1954" s="7">
        <f>Table2[[#This Row],[N]]+Table2[[#This Row],[Pile 
Deviation 
N (m)]]</f>
        <v>1511679.591</v>
      </c>
      <c r="T1954" s="7">
        <f>Table2[[#This Row],[E]]+Table2[[#This Row],[Pile 
Deviation 
E (m)]]</f>
        <v>694122.397</v>
      </c>
      <c r="W1954" s="7">
        <v>0.24</v>
      </c>
      <c r="X1954" s="2" t="s">
        <v>51</v>
      </c>
    </row>
    <row r="1955" spans="1:27" ht="13.95" hidden="1" customHeight="1" x14ac:dyDescent="0.65">
      <c r="A1955">
        <v>1949</v>
      </c>
      <c r="B1955" t="s">
        <v>29</v>
      </c>
      <c r="C1955" s="6">
        <v>1511679.588</v>
      </c>
      <c r="D1955" s="6">
        <v>694024.902</v>
      </c>
      <c r="E1955" s="2" t="s">
        <v>35</v>
      </c>
      <c r="F1955" s="1">
        <v>24</v>
      </c>
      <c r="G1955" s="2" t="s">
        <v>50</v>
      </c>
      <c r="J1955"/>
      <c r="K1955" s="19"/>
      <c r="L1955" s="21"/>
      <c r="M1955" s="27"/>
      <c r="N1955" s="19"/>
      <c r="O1955" s="21"/>
      <c r="Q1955" s="7">
        <f>Table2[[#This Row],[Elevation
PILE TOP]]-Table2[[#This Row],[LENGTH(m.)
(Actual)]]</f>
        <v>0</v>
      </c>
      <c r="R1955" s="2"/>
      <c r="S1955" s="7">
        <f>Table2[[#This Row],[N]]+Table2[[#This Row],[Pile 
Deviation 
N (m)]]</f>
        <v>1511679.588</v>
      </c>
      <c r="T1955" s="7">
        <f>Table2[[#This Row],[E]]+Table2[[#This Row],[Pile 
Deviation 
E (m)]]</f>
        <v>694024.902</v>
      </c>
      <c r="W1955" s="7">
        <v>0.24</v>
      </c>
      <c r="X1955" s="2" t="s">
        <v>51</v>
      </c>
    </row>
    <row r="1956" spans="1:27" hidden="1" x14ac:dyDescent="0.65">
      <c r="A1956">
        <v>1950</v>
      </c>
      <c r="B1956" t="s">
        <v>29</v>
      </c>
      <c r="C1956" s="6">
        <v>1511679.58</v>
      </c>
      <c r="D1956" s="6">
        <v>694103.549</v>
      </c>
      <c r="E1956" s="2" t="s">
        <v>35</v>
      </c>
      <c r="F1956" s="1">
        <v>24</v>
      </c>
      <c r="G1956" s="2" t="s">
        <v>50</v>
      </c>
      <c r="J1956"/>
      <c r="K1956" s="19"/>
      <c r="L1956" s="21"/>
      <c r="M1956" s="27"/>
      <c r="N1956" s="19"/>
      <c r="O1956" s="21"/>
      <c r="Q1956" s="7">
        <f>Table2[[#This Row],[Elevation
PILE TOP]]-Table2[[#This Row],[LENGTH(m.)
(Actual)]]</f>
        <v>0</v>
      </c>
      <c r="R1956" s="2"/>
      <c r="S1956" s="7">
        <f>Table2[[#This Row],[N]]+Table2[[#This Row],[Pile 
Deviation 
N (m)]]</f>
        <v>1511679.58</v>
      </c>
      <c r="T1956" s="7">
        <f>Table2[[#This Row],[E]]+Table2[[#This Row],[Pile 
Deviation 
E (m)]]</f>
        <v>694103.549</v>
      </c>
      <c r="W1956" s="7">
        <v>0.24</v>
      </c>
      <c r="X1956" s="2" t="s">
        <v>51</v>
      </c>
    </row>
    <row r="1957" spans="1:27" ht="13.95" hidden="1" customHeight="1" x14ac:dyDescent="0.65">
      <c r="A1957">
        <v>1951</v>
      </c>
      <c r="B1957" t="s">
        <v>29</v>
      </c>
      <c r="C1957" s="6">
        <v>1511679.57</v>
      </c>
      <c r="D1957" s="6">
        <v>694084.701</v>
      </c>
      <c r="E1957" s="2" t="s">
        <v>35</v>
      </c>
      <c r="F1957" s="1">
        <v>24</v>
      </c>
      <c r="G1957" s="2" t="s">
        <v>50</v>
      </c>
      <c r="J1957"/>
      <c r="K1957" s="19"/>
      <c r="L1957" s="21"/>
      <c r="M1957" s="27"/>
      <c r="N1957" s="19"/>
      <c r="O1957" s="21"/>
      <c r="Q1957" s="7">
        <f>Table2[[#This Row],[Elevation
PILE TOP]]-Table2[[#This Row],[LENGTH(m.)
(Actual)]]</f>
        <v>0</v>
      </c>
      <c r="R1957" s="2"/>
      <c r="S1957" s="7">
        <f>Table2[[#This Row],[N]]+Table2[[#This Row],[Pile 
Deviation 
N (m)]]</f>
        <v>1511679.57</v>
      </c>
      <c r="T1957" s="7">
        <f>Table2[[#This Row],[E]]+Table2[[#This Row],[Pile 
Deviation 
E (m)]]</f>
        <v>694084.701</v>
      </c>
      <c r="W1957" s="7">
        <v>0.24</v>
      </c>
      <c r="X1957" s="2" t="s">
        <v>51</v>
      </c>
    </row>
    <row r="1958" spans="1:27" hidden="1" x14ac:dyDescent="0.65">
      <c r="A1958">
        <v>1952</v>
      </c>
      <c r="B1958" t="s">
        <v>29</v>
      </c>
      <c r="C1958" s="6">
        <v>1511679.202</v>
      </c>
      <c r="D1958" s="6">
        <v>694065.86600000004</v>
      </c>
      <c r="E1958" s="2" t="s">
        <v>35</v>
      </c>
      <c r="F1958" s="1">
        <v>24</v>
      </c>
      <c r="G1958" s="2" t="s">
        <v>50</v>
      </c>
      <c r="J1958"/>
      <c r="K1958" s="19"/>
      <c r="L1958" s="21"/>
      <c r="M1958" s="27"/>
      <c r="N1958" s="19"/>
      <c r="O1958" s="21"/>
      <c r="Q1958" s="7">
        <f>Table2[[#This Row],[Elevation
PILE TOP]]-Table2[[#This Row],[LENGTH(m.)
(Actual)]]</f>
        <v>0</v>
      </c>
      <c r="R1958" s="2"/>
      <c r="S1958" s="7">
        <f>Table2[[#This Row],[N]]+Table2[[#This Row],[Pile 
Deviation 
N (m)]]</f>
        <v>1511679.202</v>
      </c>
      <c r="T1958" s="7">
        <f>Table2[[#This Row],[E]]+Table2[[#This Row],[Pile 
Deviation 
E (m)]]</f>
        <v>694065.86600000004</v>
      </c>
      <c r="W1958" s="7">
        <v>0.24</v>
      </c>
      <c r="X1958" s="2" t="s">
        <v>51</v>
      </c>
    </row>
    <row r="1959" spans="1:27" ht="13.95" hidden="1" customHeight="1" x14ac:dyDescent="0.65">
      <c r="A1959">
        <v>1953</v>
      </c>
      <c r="B1959" t="s">
        <v>29</v>
      </c>
      <c r="C1959" s="6">
        <v>1511679.1850000001</v>
      </c>
      <c r="D1959" s="6">
        <v>694035.96200000006</v>
      </c>
      <c r="E1959" s="2" t="s">
        <v>35</v>
      </c>
      <c r="F1959" s="1">
        <v>24</v>
      </c>
      <c r="G1959" s="2" t="s">
        <v>50</v>
      </c>
      <c r="J1959"/>
      <c r="K1959" s="19"/>
      <c r="L1959" s="21"/>
      <c r="M1959" s="27"/>
      <c r="N1959" s="19"/>
      <c r="O1959" s="21"/>
      <c r="Q1959" s="7">
        <f>Table2[[#This Row],[Elevation
PILE TOP]]-Table2[[#This Row],[LENGTH(m.)
(Actual)]]</f>
        <v>0</v>
      </c>
      <c r="R1959" s="2"/>
      <c r="S1959" s="7">
        <f>Table2[[#This Row],[N]]+Table2[[#This Row],[Pile 
Deviation 
N (m)]]</f>
        <v>1511679.1850000001</v>
      </c>
      <c r="T1959" s="7">
        <f>Table2[[#This Row],[E]]+Table2[[#This Row],[Pile 
Deviation 
E (m)]]</f>
        <v>694035.96200000006</v>
      </c>
      <c r="W1959" s="7">
        <v>0.24</v>
      </c>
      <c r="X1959" s="2" t="s">
        <v>51</v>
      </c>
    </row>
    <row r="1960" spans="1:27" x14ac:dyDescent="0.65">
      <c r="A1960">
        <v>1954</v>
      </c>
      <c r="B1960" t="s">
        <v>29</v>
      </c>
      <c r="C1960" s="6">
        <v>1511678.933</v>
      </c>
      <c r="D1960" s="6">
        <v>694005.97100000002</v>
      </c>
      <c r="E1960" s="2" t="s">
        <v>35</v>
      </c>
      <c r="F1960" s="1">
        <v>24</v>
      </c>
      <c r="G1960" s="2" t="s">
        <v>50</v>
      </c>
      <c r="J1960"/>
      <c r="K1960" s="19"/>
      <c r="L1960" s="21"/>
      <c r="M1960" s="27"/>
      <c r="N1960" s="19"/>
      <c r="O1960" s="21"/>
      <c r="Q1960" s="7">
        <f>Table2[[#This Row],[Elevation
PILE TOP]]-Table2[[#This Row],[LENGTH(m.)
(Actual)]]</f>
        <v>0</v>
      </c>
      <c r="R1960" s="2"/>
      <c r="S1960" s="7">
        <f>Table2[[#This Row],[N]]+Table2[[#This Row],[Pile 
Deviation 
N (m)]]</f>
        <v>1511678.933</v>
      </c>
      <c r="T1960" s="7">
        <f>Table2[[#This Row],[E]]+Table2[[#This Row],[Pile 
Deviation 
E (m)]]</f>
        <v>694005.97100000002</v>
      </c>
      <c r="W1960" s="7">
        <v>0.24</v>
      </c>
      <c r="X1960" s="2" t="s">
        <v>51</v>
      </c>
      <c r="AA1960" s="9">
        <v>46199</v>
      </c>
    </row>
    <row r="1961" spans="1:27" ht="13.95" hidden="1" customHeight="1" x14ac:dyDescent="0.65">
      <c r="A1961">
        <v>1955</v>
      </c>
      <c r="B1961" t="s">
        <v>29</v>
      </c>
      <c r="C1961" s="6">
        <v>1511679.068</v>
      </c>
      <c r="D1961" s="6">
        <v>693896.13800000004</v>
      </c>
      <c r="E1961" s="2" t="s">
        <v>35</v>
      </c>
      <c r="F1961" s="1">
        <v>24</v>
      </c>
      <c r="G1961" s="2" t="s">
        <v>50</v>
      </c>
      <c r="J1961"/>
      <c r="K1961" s="19"/>
      <c r="L1961" s="21"/>
      <c r="M1961" s="27"/>
      <c r="N1961" s="19"/>
      <c r="O1961" s="21"/>
      <c r="Q1961" s="7">
        <f>Table2[[#This Row],[Elevation
PILE TOP]]-Table2[[#This Row],[LENGTH(m.)
(Actual)]]</f>
        <v>0</v>
      </c>
      <c r="R1961" s="2"/>
      <c r="S1961" s="7">
        <f>Table2[[#This Row],[N]]+Table2[[#This Row],[Pile 
Deviation 
N (m)]]</f>
        <v>1511679.068</v>
      </c>
      <c r="T1961" s="7">
        <f>Table2[[#This Row],[E]]+Table2[[#This Row],[Pile 
Deviation 
E (m)]]</f>
        <v>693896.13800000004</v>
      </c>
      <c r="W1961" s="7">
        <v>0.24</v>
      </c>
      <c r="X1961" s="2" t="s">
        <v>51</v>
      </c>
      <c r="AA1961" s="9">
        <v>46207</v>
      </c>
    </row>
    <row r="1962" spans="1:27" hidden="1" x14ac:dyDescent="0.65">
      <c r="A1962">
        <v>1956</v>
      </c>
      <c r="B1962" t="s">
        <v>29</v>
      </c>
      <c r="C1962" s="6">
        <v>1511679.0079999999</v>
      </c>
      <c r="D1962" s="6">
        <v>693927.01899999997</v>
      </c>
      <c r="E1962" s="2" t="s">
        <v>35</v>
      </c>
      <c r="F1962" s="1">
        <v>24</v>
      </c>
      <c r="G1962" s="2" t="s">
        <v>50</v>
      </c>
      <c r="J1962"/>
      <c r="K1962" s="19"/>
      <c r="L1962" s="21"/>
      <c r="M1962" s="27"/>
      <c r="N1962" s="19"/>
      <c r="O1962" s="21"/>
      <c r="Q1962" s="7">
        <f>Table2[[#This Row],[Elevation
PILE TOP]]-Table2[[#This Row],[LENGTH(m.)
(Actual)]]</f>
        <v>0</v>
      </c>
      <c r="R1962" s="2"/>
      <c r="S1962" s="7">
        <f>Table2[[#This Row],[N]]+Table2[[#This Row],[Pile 
Deviation 
N (m)]]</f>
        <v>1511679.0079999999</v>
      </c>
      <c r="T1962" s="7">
        <f>Table2[[#This Row],[E]]+Table2[[#This Row],[Pile 
Deviation 
E (m)]]</f>
        <v>693927.01899999997</v>
      </c>
      <c r="W1962" s="7">
        <v>0.24</v>
      </c>
      <c r="X1962" s="2" t="s">
        <v>51</v>
      </c>
      <c r="AA1962" s="9">
        <v>46205</v>
      </c>
    </row>
    <row r="1963" spans="1:27" ht="13.95" hidden="1" customHeight="1" x14ac:dyDescent="0.65">
      <c r="A1963">
        <v>1957</v>
      </c>
      <c r="B1963" t="s">
        <v>29</v>
      </c>
      <c r="C1963" s="6">
        <v>1511678.9469999999</v>
      </c>
      <c r="D1963" s="6">
        <v>694133.446</v>
      </c>
      <c r="E1963" s="2" t="s">
        <v>35</v>
      </c>
      <c r="F1963" s="1">
        <v>24</v>
      </c>
      <c r="G1963" s="2" t="s">
        <v>50</v>
      </c>
      <c r="J1963"/>
      <c r="K1963" s="19"/>
      <c r="L1963" s="21"/>
      <c r="M1963" s="27"/>
      <c r="N1963" s="19"/>
      <c r="O1963" s="21"/>
      <c r="Q1963" s="7">
        <f>Table2[[#This Row],[Elevation
PILE TOP]]-Table2[[#This Row],[LENGTH(m.)
(Actual)]]</f>
        <v>0</v>
      </c>
      <c r="R1963" s="2"/>
      <c r="S1963" s="7">
        <f>Table2[[#This Row],[N]]+Table2[[#This Row],[Pile 
Deviation 
N (m)]]</f>
        <v>1511678.9469999999</v>
      </c>
      <c r="T1963" s="7">
        <f>Table2[[#This Row],[E]]+Table2[[#This Row],[Pile 
Deviation 
E (m)]]</f>
        <v>694133.446</v>
      </c>
      <c r="W1963" s="7">
        <v>0.24</v>
      </c>
      <c r="X1963" s="2" t="s">
        <v>51</v>
      </c>
    </row>
    <row r="1964" spans="1:27" hidden="1" x14ac:dyDescent="0.65">
      <c r="A1964">
        <v>1958</v>
      </c>
      <c r="B1964" t="s">
        <v>29</v>
      </c>
      <c r="C1964" s="6">
        <v>1511678.936</v>
      </c>
      <c r="D1964" s="6">
        <v>694114.598</v>
      </c>
      <c r="E1964" s="2" t="s">
        <v>35</v>
      </c>
      <c r="F1964" s="1">
        <v>24</v>
      </c>
      <c r="G1964" s="2" t="s">
        <v>50</v>
      </c>
      <c r="J1964"/>
      <c r="K1964" s="19"/>
      <c r="L1964" s="21"/>
      <c r="M1964" s="27"/>
      <c r="N1964" s="19"/>
      <c r="O1964" s="21"/>
      <c r="Q1964" s="7">
        <f>Table2[[#This Row],[Elevation
PILE TOP]]-Table2[[#This Row],[LENGTH(m.)
(Actual)]]</f>
        <v>0</v>
      </c>
      <c r="R1964" s="2"/>
      <c r="S1964" s="7">
        <f>Table2[[#This Row],[N]]+Table2[[#This Row],[Pile 
Deviation 
N (m)]]</f>
        <v>1511678.936</v>
      </c>
      <c r="T1964" s="7">
        <f>Table2[[#This Row],[E]]+Table2[[#This Row],[Pile 
Deviation 
E (m)]]</f>
        <v>694114.598</v>
      </c>
      <c r="W1964" s="7">
        <v>0.24</v>
      </c>
      <c r="X1964" s="2" t="s">
        <v>51</v>
      </c>
    </row>
    <row r="1965" spans="1:27" ht="13.95" hidden="1" customHeight="1" x14ac:dyDescent="0.65">
      <c r="A1965">
        <v>1959</v>
      </c>
      <c r="B1965" t="s">
        <v>29</v>
      </c>
      <c r="C1965" s="6">
        <v>1511678.926</v>
      </c>
      <c r="D1965" s="6">
        <v>694095.75</v>
      </c>
      <c r="E1965" s="2" t="s">
        <v>35</v>
      </c>
      <c r="F1965" s="1">
        <v>24</v>
      </c>
      <c r="G1965" s="2" t="s">
        <v>50</v>
      </c>
      <c r="J1965"/>
      <c r="K1965" s="19"/>
      <c r="L1965" s="21"/>
      <c r="M1965" s="27"/>
      <c r="N1965" s="19"/>
      <c r="O1965" s="21"/>
      <c r="Q1965" s="7">
        <f>Table2[[#This Row],[Elevation
PILE TOP]]-Table2[[#This Row],[LENGTH(m.)
(Actual)]]</f>
        <v>0</v>
      </c>
      <c r="R1965" s="2"/>
      <c r="S1965" s="7">
        <f>Table2[[#This Row],[N]]+Table2[[#This Row],[Pile 
Deviation 
N (m)]]</f>
        <v>1511678.926</v>
      </c>
      <c r="T1965" s="7">
        <f>Table2[[#This Row],[E]]+Table2[[#This Row],[Pile 
Deviation 
E (m)]]</f>
        <v>694095.75</v>
      </c>
      <c r="W1965" s="7">
        <v>0.24</v>
      </c>
      <c r="X1965" s="2" t="s">
        <v>51</v>
      </c>
    </row>
    <row r="1966" spans="1:27" hidden="1" x14ac:dyDescent="0.65">
      <c r="A1966">
        <v>1960</v>
      </c>
      <c r="B1966" t="s">
        <v>29</v>
      </c>
      <c r="C1966" s="6">
        <v>1511678.7990000001</v>
      </c>
      <c r="D1966" s="6">
        <v>694076.92700000003</v>
      </c>
      <c r="E1966" s="2" t="s">
        <v>35</v>
      </c>
      <c r="F1966" s="1">
        <v>24</v>
      </c>
      <c r="G1966" s="2" t="s">
        <v>50</v>
      </c>
      <c r="J1966"/>
      <c r="K1966" s="19"/>
      <c r="L1966" s="21"/>
      <c r="M1966" s="27"/>
      <c r="N1966" s="19"/>
      <c r="O1966" s="21"/>
      <c r="Q1966" s="7">
        <f>Table2[[#This Row],[Elevation
PILE TOP]]-Table2[[#This Row],[LENGTH(m.)
(Actual)]]</f>
        <v>0</v>
      </c>
      <c r="R1966" s="2"/>
      <c r="S1966" s="7">
        <f>Table2[[#This Row],[N]]+Table2[[#This Row],[Pile 
Deviation 
N (m)]]</f>
        <v>1511678.7990000001</v>
      </c>
      <c r="T1966" s="7">
        <f>Table2[[#This Row],[E]]+Table2[[#This Row],[Pile 
Deviation 
E (m)]]</f>
        <v>694076.92700000003</v>
      </c>
      <c r="W1966" s="7">
        <v>0.24</v>
      </c>
      <c r="X1966" s="2" t="s">
        <v>51</v>
      </c>
    </row>
    <row r="1967" spans="1:27" ht="13.95" hidden="1" customHeight="1" x14ac:dyDescent="0.65">
      <c r="A1967">
        <v>1961</v>
      </c>
      <c r="B1967" t="s">
        <v>29</v>
      </c>
      <c r="C1967" s="6">
        <v>1511678.7819999999</v>
      </c>
      <c r="D1967" s="6">
        <v>694047.02300000004</v>
      </c>
      <c r="E1967" s="2" t="s">
        <v>35</v>
      </c>
      <c r="F1967" s="1">
        <v>24</v>
      </c>
      <c r="G1967" s="2" t="s">
        <v>50</v>
      </c>
      <c r="J1967"/>
      <c r="K1967" s="19"/>
      <c r="L1967" s="21"/>
      <c r="M1967" s="27"/>
      <c r="N1967" s="19"/>
      <c r="O1967" s="21"/>
      <c r="Q1967" s="7">
        <f>Table2[[#This Row],[Elevation
PILE TOP]]-Table2[[#This Row],[LENGTH(m.)
(Actual)]]</f>
        <v>0</v>
      </c>
      <c r="R1967" s="2"/>
      <c r="S1967" s="7">
        <f>Table2[[#This Row],[N]]+Table2[[#This Row],[Pile 
Deviation 
N (m)]]</f>
        <v>1511678.7819999999</v>
      </c>
      <c r="T1967" s="7">
        <f>Table2[[#This Row],[E]]+Table2[[#This Row],[Pile 
Deviation 
E (m)]]</f>
        <v>694047.02300000004</v>
      </c>
      <c r="W1967" s="7">
        <v>0.24</v>
      </c>
      <c r="X1967" s="2" t="s">
        <v>51</v>
      </c>
    </row>
    <row r="1968" spans="1:27" hidden="1" x14ac:dyDescent="0.65">
      <c r="A1968">
        <v>1962</v>
      </c>
      <c r="B1968" t="s">
        <v>29</v>
      </c>
      <c r="C1968" s="6">
        <v>1511678.379</v>
      </c>
      <c r="D1968" s="6">
        <v>694058.08400000003</v>
      </c>
      <c r="E1968" s="2" t="s">
        <v>35</v>
      </c>
      <c r="F1968" s="1">
        <v>24</v>
      </c>
      <c r="G1968" s="2" t="s">
        <v>50</v>
      </c>
      <c r="J1968"/>
      <c r="K1968" s="19"/>
      <c r="L1968" s="21"/>
      <c r="M1968" s="27"/>
      <c r="N1968" s="19"/>
      <c r="O1968" s="21"/>
      <c r="Q1968" s="7">
        <f>Table2[[#This Row],[Elevation
PILE TOP]]-Table2[[#This Row],[LENGTH(m.)
(Actual)]]</f>
        <v>0</v>
      </c>
      <c r="R1968" s="2"/>
      <c r="S1968" s="7">
        <f>Table2[[#This Row],[N]]+Table2[[#This Row],[Pile 
Deviation 
N (m)]]</f>
        <v>1511678.379</v>
      </c>
      <c r="T1968" s="7">
        <f>Table2[[#This Row],[E]]+Table2[[#This Row],[Pile 
Deviation 
E (m)]]</f>
        <v>694058.08400000003</v>
      </c>
      <c r="W1968" s="7">
        <v>0.24</v>
      </c>
      <c r="X1968" s="2" t="s">
        <v>51</v>
      </c>
    </row>
    <row r="1969" spans="1:27" ht="13.95" hidden="1" customHeight="1" x14ac:dyDescent="0.65">
      <c r="A1969">
        <v>1963</v>
      </c>
      <c r="B1969" t="s">
        <v>29</v>
      </c>
      <c r="C1969" s="6">
        <v>1511678.361</v>
      </c>
      <c r="D1969" s="6">
        <v>694028.18</v>
      </c>
      <c r="E1969" s="2" t="s">
        <v>35</v>
      </c>
      <c r="F1969" s="1">
        <v>24</v>
      </c>
      <c r="G1969" s="2" t="s">
        <v>50</v>
      </c>
      <c r="J1969"/>
      <c r="K1969" s="19"/>
      <c r="L1969" s="21"/>
      <c r="M1969" s="27"/>
      <c r="N1969" s="19"/>
      <c r="O1969" s="21"/>
      <c r="Q1969" s="7">
        <f>Table2[[#This Row],[Elevation
PILE TOP]]-Table2[[#This Row],[LENGTH(m.)
(Actual)]]</f>
        <v>0</v>
      </c>
      <c r="R1969" s="2"/>
      <c r="S1969" s="7">
        <f>Table2[[#This Row],[N]]+Table2[[#This Row],[Pile 
Deviation 
N (m)]]</f>
        <v>1511678.361</v>
      </c>
      <c r="T1969" s="7">
        <f>Table2[[#This Row],[E]]+Table2[[#This Row],[Pile 
Deviation 
E (m)]]</f>
        <v>694028.18</v>
      </c>
      <c r="W1969" s="7">
        <v>0.24</v>
      </c>
      <c r="X1969" s="2" t="s">
        <v>51</v>
      </c>
    </row>
    <row r="1970" spans="1:27" hidden="1" x14ac:dyDescent="0.65">
      <c r="A1970">
        <v>1964</v>
      </c>
      <c r="B1970" t="s">
        <v>29</v>
      </c>
      <c r="C1970" s="6">
        <v>1511678.2919999999</v>
      </c>
      <c r="D1970" s="6">
        <v>694125.64800000004</v>
      </c>
      <c r="E1970" s="2" t="s">
        <v>35</v>
      </c>
      <c r="F1970" s="1">
        <v>24</v>
      </c>
      <c r="G1970" s="2" t="s">
        <v>50</v>
      </c>
      <c r="J1970"/>
      <c r="K1970" s="19"/>
      <c r="L1970" s="21"/>
      <c r="M1970" s="27"/>
      <c r="N1970" s="19"/>
      <c r="O1970" s="21"/>
      <c r="Q1970" s="7">
        <f>Table2[[#This Row],[Elevation
PILE TOP]]-Table2[[#This Row],[LENGTH(m.)
(Actual)]]</f>
        <v>0</v>
      </c>
      <c r="R1970" s="2"/>
      <c r="S1970" s="7">
        <f>Table2[[#This Row],[N]]+Table2[[#This Row],[Pile 
Deviation 
N (m)]]</f>
        <v>1511678.2919999999</v>
      </c>
      <c r="T1970" s="7">
        <f>Table2[[#This Row],[E]]+Table2[[#This Row],[Pile 
Deviation 
E (m)]]</f>
        <v>694125.64800000004</v>
      </c>
      <c r="W1970" s="7">
        <v>0.24</v>
      </c>
      <c r="X1970" s="2" t="s">
        <v>51</v>
      </c>
    </row>
    <row r="1971" spans="1:27" ht="13.95" hidden="1" customHeight="1" x14ac:dyDescent="0.65">
      <c r="A1971">
        <v>1965</v>
      </c>
      <c r="B1971" t="s">
        <v>29</v>
      </c>
      <c r="C1971" s="6">
        <v>1511678.2819999999</v>
      </c>
      <c r="D1971" s="6">
        <v>694106.8</v>
      </c>
      <c r="E1971" s="2" t="s">
        <v>35</v>
      </c>
      <c r="F1971" s="1">
        <v>24</v>
      </c>
      <c r="G1971" s="2" t="s">
        <v>50</v>
      </c>
      <c r="J1971"/>
      <c r="K1971" s="19"/>
      <c r="L1971" s="21"/>
      <c r="M1971" s="27"/>
      <c r="N1971" s="19"/>
      <c r="O1971" s="21"/>
      <c r="Q1971" s="7">
        <f>Table2[[#This Row],[Elevation
PILE TOP]]-Table2[[#This Row],[LENGTH(m.)
(Actual)]]</f>
        <v>0</v>
      </c>
      <c r="R1971" s="2"/>
      <c r="S1971" s="7">
        <f>Table2[[#This Row],[N]]+Table2[[#This Row],[Pile 
Deviation 
N (m)]]</f>
        <v>1511678.2819999999</v>
      </c>
      <c r="T1971" s="7">
        <f>Table2[[#This Row],[E]]+Table2[[#This Row],[Pile 
Deviation 
E (m)]]</f>
        <v>694106.8</v>
      </c>
      <c r="W1971" s="7">
        <v>0.24</v>
      </c>
      <c r="X1971" s="2" t="s">
        <v>51</v>
      </c>
    </row>
    <row r="1972" spans="1:27" hidden="1" x14ac:dyDescent="0.65">
      <c r="A1972">
        <v>1966</v>
      </c>
      <c r="B1972" t="s">
        <v>29</v>
      </c>
      <c r="C1972" s="6">
        <v>1511678.2720000001</v>
      </c>
      <c r="D1972" s="6">
        <v>694087.951</v>
      </c>
      <c r="E1972" s="2" t="s">
        <v>35</v>
      </c>
      <c r="F1972" s="1">
        <v>24</v>
      </c>
      <c r="G1972" s="2" t="s">
        <v>50</v>
      </c>
      <c r="J1972"/>
      <c r="K1972" s="19"/>
      <c r="L1972" s="21"/>
      <c r="M1972" s="27"/>
      <c r="N1972" s="19"/>
      <c r="O1972" s="21"/>
      <c r="Q1972" s="7">
        <f>Table2[[#This Row],[Elevation
PILE TOP]]-Table2[[#This Row],[LENGTH(m.)
(Actual)]]</f>
        <v>0</v>
      </c>
      <c r="R1972" s="2"/>
      <c r="S1972" s="7">
        <f>Table2[[#This Row],[N]]+Table2[[#This Row],[Pile 
Deviation 
N (m)]]</f>
        <v>1511678.2720000001</v>
      </c>
      <c r="T1972" s="7">
        <f>Table2[[#This Row],[E]]+Table2[[#This Row],[Pile 
Deviation 
E (m)]]</f>
        <v>694087.951</v>
      </c>
      <c r="W1972" s="7">
        <v>0.24</v>
      </c>
      <c r="X1972" s="2" t="s">
        <v>51</v>
      </c>
    </row>
    <row r="1973" spans="1:27" ht="13.95" hidden="1" customHeight="1" x14ac:dyDescent="0.65">
      <c r="A1973">
        <v>1967</v>
      </c>
      <c r="B1973" t="s">
        <v>29</v>
      </c>
      <c r="C1973" s="6">
        <v>1511677.976</v>
      </c>
      <c r="D1973" s="6">
        <v>694069.14399999997</v>
      </c>
      <c r="E1973" s="2" t="s">
        <v>35</v>
      </c>
      <c r="F1973" s="1">
        <v>24</v>
      </c>
      <c r="G1973" s="2" t="s">
        <v>50</v>
      </c>
      <c r="J1973"/>
      <c r="K1973" s="19"/>
      <c r="L1973" s="21"/>
      <c r="M1973" s="27"/>
      <c r="N1973" s="19"/>
      <c r="O1973" s="21"/>
      <c r="Q1973" s="7">
        <f>Table2[[#This Row],[Elevation
PILE TOP]]-Table2[[#This Row],[LENGTH(m.)
(Actual)]]</f>
        <v>0</v>
      </c>
      <c r="R1973" s="2"/>
      <c r="S1973" s="7">
        <f>Table2[[#This Row],[N]]+Table2[[#This Row],[Pile 
Deviation 
N (m)]]</f>
        <v>1511677.976</v>
      </c>
      <c r="T1973" s="7">
        <f>Table2[[#This Row],[E]]+Table2[[#This Row],[Pile 
Deviation 
E (m)]]</f>
        <v>694069.14399999997</v>
      </c>
      <c r="W1973" s="7">
        <v>0.24</v>
      </c>
      <c r="X1973" s="2" t="s">
        <v>51</v>
      </c>
    </row>
    <row r="1974" spans="1:27" hidden="1" x14ac:dyDescent="0.65">
      <c r="A1974">
        <v>1968</v>
      </c>
      <c r="B1974" t="s">
        <v>29</v>
      </c>
      <c r="C1974" s="6">
        <v>1511677.9580000001</v>
      </c>
      <c r="D1974" s="6">
        <v>694039.24</v>
      </c>
      <c r="E1974" s="2" t="s">
        <v>35</v>
      </c>
      <c r="F1974" s="1">
        <v>24</v>
      </c>
      <c r="G1974" s="2" t="s">
        <v>50</v>
      </c>
      <c r="J1974"/>
      <c r="K1974" s="19"/>
      <c r="L1974" s="21"/>
      <c r="M1974" s="27"/>
      <c r="N1974" s="19"/>
      <c r="O1974" s="21"/>
      <c r="Q1974" s="7">
        <f>Table2[[#This Row],[Elevation
PILE TOP]]-Table2[[#This Row],[LENGTH(m.)
(Actual)]]</f>
        <v>0</v>
      </c>
      <c r="R1974" s="2"/>
      <c r="S1974" s="7">
        <f>Table2[[#This Row],[N]]+Table2[[#This Row],[Pile 
Deviation 
N (m)]]</f>
        <v>1511677.9580000001</v>
      </c>
      <c r="T1974" s="7">
        <f>Table2[[#This Row],[E]]+Table2[[#This Row],[Pile 
Deviation 
E (m)]]</f>
        <v>694039.24</v>
      </c>
      <c r="W1974" s="7">
        <v>0.24</v>
      </c>
      <c r="X1974" s="2" t="s">
        <v>51</v>
      </c>
    </row>
    <row r="1975" spans="1:27" ht="13.95" customHeight="1" x14ac:dyDescent="0.65">
      <c r="A1975">
        <v>1969</v>
      </c>
      <c r="B1975" t="s">
        <v>29</v>
      </c>
      <c r="C1975" s="6">
        <v>1511677.706</v>
      </c>
      <c r="D1975" s="6">
        <v>694009.24899999995</v>
      </c>
      <c r="E1975" s="2" t="s">
        <v>35</v>
      </c>
      <c r="F1975" s="1">
        <v>24</v>
      </c>
      <c r="G1975" s="2" t="s">
        <v>50</v>
      </c>
      <c r="J1975"/>
      <c r="K1975" s="19"/>
      <c r="L1975" s="21"/>
      <c r="M1975" s="27"/>
      <c r="N1975" s="19"/>
      <c r="O1975" s="21"/>
      <c r="Q1975" s="7">
        <f>Table2[[#This Row],[Elevation
PILE TOP]]-Table2[[#This Row],[LENGTH(m.)
(Actual)]]</f>
        <v>0</v>
      </c>
      <c r="R1975" s="2"/>
      <c r="S1975" s="7">
        <f>Table2[[#This Row],[N]]+Table2[[#This Row],[Pile 
Deviation 
N (m)]]</f>
        <v>1511677.706</v>
      </c>
      <c r="T1975" s="7">
        <f>Table2[[#This Row],[E]]+Table2[[#This Row],[Pile 
Deviation 
E (m)]]</f>
        <v>694009.24899999995</v>
      </c>
      <c r="W1975" s="7">
        <v>0.24</v>
      </c>
      <c r="X1975" s="2" t="s">
        <v>51</v>
      </c>
      <c r="AA1975" s="9">
        <v>46198</v>
      </c>
    </row>
    <row r="1976" spans="1:27" hidden="1" x14ac:dyDescent="0.65">
      <c r="A1976">
        <v>1970</v>
      </c>
      <c r="B1976" t="s">
        <v>29</v>
      </c>
      <c r="C1976" s="6">
        <v>1511677.8829999999</v>
      </c>
      <c r="D1976" s="6">
        <v>693899.43200000003</v>
      </c>
      <c r="E1976" s="2" t="s">
        <v>35</v>
      </c>
      <c r="F1976" s="1">
        <v>24</v>
      </c>
      <c r="G1976" s="2" t="s">
        <v>50</v>
      </c>
      <c r="J1976"/>
      <c r="K1976" s="19"/>
      <c r="L1976" s="21"/>
      <c r="M1976" s="27"/>
      <c r="N1976" s="19"/>
      <c r="O1976" s="21"/>
      <c r="Q1976" s="7">
        <f>Table2[[#This Row],[Elevation
PILE TOP]]-Table2[[#This Row],[LENGTH(m.)
(Actual)]]</f>
        <v>0</v>
      </c>
      <c r="R1976" s="2"/>
      <c r="S1976" s="7">
        <f>Table2[[#This Row],[N]]+Table2[[#This Row],[Pile 
Deviation 
N (m)]]</f>
        <v>1511677.8829999999</v>
      </c>
      <c r="T1976" s="7">
        <f>Table2[[#This Row],[E]]+Table2[[#This Row],[Pile 
Deviation 
E (m)]]</f>
        <v>693899.43200000003</v>
      </c>
      <c r="W1976" s="7">
        <v>0.24</v>
      </c>
      <c r="X1976" s="2" t="s">
        <v>51</v>
      </c>
      <c r="AA1976" s="9">
        <v>46207</v>
      </c>
    </row>
    <row r="1977" spans="1:27" ht="13.95" hidden="1" customHeight="1" x14ac:dyDescent="0.65">
      <c r="A1977">
        <v>1971</v>
      </c>
      <c r="B1977" t="s">
        <v>29</v>
      </c>
      <c r="C1977" s="6">
        <v>1511677.649</v>
      </c>
      <c r="D1977" s="6">
        <v>694136.69700000004</v>
      </c>
      <c r="E1977" s="2" t="s">
        <v>35</v>
      </c>
      <c r="F1977" s="1">
        <v>24</v>
      </c>
      <c r="G1977" s="2" t="s">
        <v>50</v>
      </c>
      <c r="J1977"/>
      <c r="K1977" s="19"/>
      <c r="L1977" s="21"/>
      <c r="M1977" s="27"/>
      <c r="N1977" s="19"/>
      <c r="O1977" s="21"/>
      <c r="Q1977" s="7">
        <f>Table2[[#This Row],[Elevation
PILE TOP]]-Table2[[#This Row],[LENGTH(m.)
(Actual)]]</f>
        <v>0</v>
      </c>
      <c r="R1977" s="2"/>
      <c r="S1977" s="7">
        <f>Table2[[#This Row],[N]]+Table2[[#This Row],[Pile 
Deviation 
N (m)]]</f>
        <v>1511677.649</v>
      </c>
      <c r="T1977" s="7">
        <f>Table2[[#This Row],[E]]+Table2[[#This Row],[Pile 
Deviation 
E (m)]]</f>
        <v>694136.69700000004</v>
      </c>
      <c r="W1977" s="7">
        <v>0.24</v>
      </c>
      <c r="X1977" s="2" t="s">
        <v>51</v>
      </c>
    </row>
    <row r="1978" spans="1:27" hidden="1" x14ac:dyDescent="0.65">
      <c r="A1978">
        <v>1972</v>
      </c>
      <c r="B1978" t="s">
        <v>29</v>
      </c>
      <c r="C1978" s="6">
        <v>1511677.638</v>
      </c>
      <c r="D1978" s="6">
        <v>694117.84900000005</v>
      </c>
      <c r="E1978" s="2" t="s">
        <v>35</v>
      </c>
      <c r="F1978" s="1">
        <v>24</v>
      </c>
      <c r="G1978" s="2" t="s">
        <v>50</v>
      </c>
      <c r="J1978"/>
      <c r="K1978" s="19"/>
      <c r="L1978" s="21"/>
      <c r="M1978" s="27"/>
      <c r="N1978" s="19"/>
      <c r="O1978" s="21"/>
      <c r="Q1978" s="7">
        <f>Table2[[#This Row],[Elevation
PILE TOP]]-Table2[[#This Row],[LENGTH(m.)
(Actual)]]</f>
        <v>0</v>
      </c>
      <c r="R1978" s="2"/>
      <c r="S1978" s="7">
        <f>Table2[[#This Row],[N]]+Table2[[#This Row],[Pile 
Deviation 
N (m)]]</f>
        <v>1511677.638</v>
      </c>
      <c r="T1978" s="7">
        <f>Table2[[#This Row],[E]]+Table2[[#This Row],[Pile 
Deviation 
E (m)]]</f>
        <v>694117.84900000005</v>
      </c>
      <c r="W1978" s="7">
        <v>0.24</v>
      </c>
      <c r="X1978" s="2" t="s">
        <v>51</v>
      </c>
    </row>
    <row r="1979" spans="1:27" ht="13.95" hidden="1" customHeight="1" x14ac:dyDescent="0.65">
      <c r="A1979">
        <v>1973</v>
      </c>
      <c r="B1979" t="s">
        <v>29</v>
      </c>
      <c r="C1979" s="6">
        <v>1511677.628</v>
      </c>
      <c r="D1979" s="6">
        <v>694099.00100000005</v>
      </c>
      <c r="E1979" s="2" t="s">
        <v>35</v>
      </c>
      <c r="F1979" s="1">
        <v>24</v>
      </c>
      <c r="G1979" s="2" t="s">
        <v>50</v>
      </c>
      <c r="J1979"/>
      <c r="K1979" s="19"/>
      <c r="L1979" s="21"/>
      <c r="M1979" s="27"/>
      <c r="N1979" s="19"/>
      <c r="O1979" s="21"/>
      <c r="Q1979" s="7">
        <f>Table2[[#This Row],[Elevation
PILE TOP]]-Table2[[#This Row],[LENGTH(m.)
(Actual)]]</f>
        <v>0</v>
      </c>
      <c r="R1979" s="2"/>
      <c r="S1979" s="7">
        <f>Table2[[#This Row],[N]]+Table2[[#This Row],[Pile 
Deviation 
N (m)]]</f>
        <v>1511677.628</v>
      </c>
      <c r="T1979" s="7">
        <f>Table2[[#This Row],[E]]+Table2[[#This Row],[Pile 
Deviation 
E (m)]]</f>
        <v>694099.00100000005</v>
      </c>
      <c r="W1979" s="7">
        <v>0.24</v>
      </c>
      <c r="X1979" s="2" t="s">
        <v>51</v>
      </c>
    </row>
    <row r="1980" spans="1:27" hidden="1" x14ac:dyDescent="0.65">
      <c r="A1980">
        <v>1974</v>
      </c>
      <c r="B1980" t="s">
        <v>29</v>
      </c>
      <c r="C1980" s="6">
        <v>1511677.5730000001</v>
      </c>
      <c r="D1980" s="6">
        <v>694080.20499999996</v>
      </c>
      <c r="E1980" s="2" t="s">
        <v>35</v>
      </c>
      <c r="F1980" s="1">
        <v>24</v>
      </c>
      <c r="G1980" s="2" t="s">
        <v>50</v>
      </c>
      <c r="J1980"/>
      <c r="K1980" s="19"/>
      <c r="L1980" s="21"/>
      <c r="M1980" s="27"/>
      <c r="N1980" s="19"/>
      <c r="O1980" s="21"/>
      <c r="Q1980" s="7">
        <f>Table2[[#This Row],[Elevation
PILE TOP]]-Table2[[#This Row],[LENGTH(m.)
(Actual)]]</f>
        <v>0</v>
      </c>
      <c r="R1980" s="2"/>
      <c r="S1980" s="7">
        <f>Table2[[#This Row],[N]]+Table2[[#This Row],[Pile 
Deviation 
N (m)]]</f>
        <v>1511677.5730000001</v>
      </c>
      <c r="T1980" s="7">
        <f>Table2[[#This Row],[E]]+Table2[[#This Row],[Pile 
Deviation 
E (m)]]</f>
        <v>694080.20499999996</v>
      </c>
      <c r="W1980" s="7">
        <v>0.24</v>
      </c>
      <c r="X1980" s="2" t="s">
        <v>51</v>
      </c>
    </row>
    <row r="1981" spans="1:27" ht="13.95" hidden="1" customHeight="1" x14ac:dyDescent="0.65">
      <c r="A1981">
        <v>1975</v>
      </c>
      <c r="B1981" t="s">
        <v>29</v>
      </c>
      <c r="C1981" s="6">
        <v>1511677.5549999999</v>
      </c>
      <c r="D1981" s="6">
        <v>694050.30099999998</v>
      </c>
      <c r="E1981" s="2" t="s">
        <v>35</v>
      </c>
      <c r="F1981" s="1">
        <v>24</v>
      </c>
      <c r="G1981" s="2" t="s">
        <v>50</v>
      </c>
      <c r="J1981"/>
      <c r="K1981" s="19"/>
      <c r="L1981" s="21"/>
      <c r="M1981" s="27"/>
      <c r="N1981" s="19"/>
      <c r="O1981" s="21"/>
      <c r="Q1981" s="7">
        <f>Table2[[#This Row],[Elevation
PILE TOP]]-Table2[[#This Row],[LENGTH(m.)
(Actual)]]</f>
        <v>0</v>
      </c>
      <c r="R1981" s="2"/>
      <c r="S1981" s="7">
        <f>Table2[[#This Row],[N]]+Table2[[#This Row],[Pile 
Deviation 
N (m)]]</f>
        <v>1511677.5549999999</v>
      </c>
      <c r="T1981" s="7">
        <f>Table2[[#This Row],[E]]+Table2[[#This Row],[Pile 
Deviation 
E (m)]]</f>
        <v>694050.30099999998</v>
      </c>
      <c r="W1981" s="7">
        <v>0.24</v>
      </c>
      <c r="X1981" s="2" t="s">
        <v>51</v>
      </c>
    </row>
    <row r="1982" spans="1:27" x14ac:dyDescent="0.65">
      <c r="A1982">
        <v>1976</v>
      </c>
      <c r="B1982" t="s">
        <v>29</v>
      </c>
      <c r="C1982" s="6">
        <v>1511677.35</v>
      </c>
      <c r="D1982" s="6">
        <v>694020.89599999995</v>
      </c>
      <c r="E1982" s="2" t="s">
        <v>35</v>
      </c>
      <c r="F1982" s="1">
        <v>24</v>
      </c>
      <c r="G1982" s="2" t="s">
        <v>50</v>
      </c>
      <c r="J1982"/>
      <c r="K1982" s="19"/>
      <c r="L1982" s="21"/>
      <c r="M1982" s="27"/>
      <c r="N1982" s="19"/>
      <c r="O1982" s="21"/>
      <c r="Q1982" s="7">
        <f>Table2[[#This Row],[Elevation
PILE TOP]]-Table2[[#This Row],[LENGTH(m.)
(Actual)]]</f>
        <v>0</v>
      </c>
      <c r="R1982" s="2"/>
      <c r="S1982" s="7">
        <f>Table2[[#This Row],[N]]+Table2[[#This Row],[Pile 
Deviation 
N (m)]]</f>
        <v>1511677.35</v>
      </c>
      <c r="T1982" s="7">
        <f>Table2[[#This Row],[E]]+Table2[[#This Row],[Pile 
Deviation 
E (m)]]</f>
        <v>694020.89599999995</v>
      </c>
      <c r="W1982" s="7">
        <v>0.24</v>
      </c>
      <c r="X1982" s="2" t="s">
        <v>51</v>
      </c>
      <c r="AA1982" s="9">
        <v>46197</v>
      </c>
    </row>
    <row r="1983" spans="1:27" ht="13.95" hidden="1" customHeight="1" x14ac:dyDescent="0.65">
      <c r="A1983">
        <v>1977</v>
      </c>
      <c r="B1983" t="s">
        <v>29</v>
      </c>
      <c r="C1983" s="6">
        <v>1511677.152</v>
      </c>
      <c r="D1983" s="6">
        <v>694061.36199999996</v>
      </c>
      <c r="E1983" s="2" t="s">
        <v>35</v>
      </c>
      <c r="F1983" s="1">
        <v>24</v>
      </c>
      <c r="G1983" s="2" t="s">
        <v>50</v>
      </c>
      <c r="J1983"/>
      <c r="K1983" s="19"/>
      <c r="L1983" s="21"/>
      <c r="M1983" s="27"/>
      <c r="N1983" s="19"/>
      <c r="O1983" s="21"/>
      <c r="Q1983" s="7">
        <f>Table2[[#This Row],[Elevation
PILE TOP]]-Table2[[#This Row],[LENGTH(m.)
(Actual)]]</f>
        <v>0</v>
      </c>
      <c r="R1983" s="2"/>
      <c r="S1983" s="7">
        <f>Table2[[#This Row],[N]]+Table2[[#This Row],[Pile 
Deviation 
N (m)]]</f>
        <v>1511677.152</v>
      </c>
      <c r="T1983" s="7">
        <f>Table2[[#This Row],[E]]+Table2[[#This Row],[Pile 
Deviation 
E (m)]]</f>
        <v>694061.36199999996</v>
      </c>
      <c r="W1983" s="7">
        <v>0.24</v>
      </c>
      <c r="X1983" s="2" t="s">
        <v>51</v>
      </c>
    </row>
    <row r="1984" spans="1:27" hidden="1" x14ac:dyDescent="0.65">
      <c r="A1984">
        <v>1978</v>
      </c>
      <c r="B1984" t="s">
        <v>29</v>
      </c>
      <c r="C1984" s="6">
        <v>1511677.1340000001</v>
      </c>
      <c r="D1984" s="6">
        <v>694031.45799999998</v>
      </c>
      <c r="E1984" s="2" t="s">
        <v>35</v>
      </c>
      <c r="F1984" s="1">
        <v>24</v>
      </c>
      <c r="G1984" s="2" t="s">
        <v>50</v>
      </c>
      <c r="J1984"/>
      <c r="K1984" s="19"/>
      <c r="L1984" s="21"/>
      <c r="M1984" s="27"/>
      <c r="N1984" s="19"/>
      <c r="O1984" s="21"/>
      <c r="Q1984" s="7">
        <f>Table2[[#This Row],[Elevation
PILE TOP]]-Table2[[#This Row],[LENGTH(m.)
(Actual)]]</f>
        <v>0</v>
      </c>
      <c r="R1984" s="2"/>
      <c r="S1984" s="7">
        <f>Table2[[#This Row],[N]]+Table2[[#This Row],[Pile 
Deviation 
N (m)]]</f>
        <v>1511677.1340000001</v>
      </c>
      <c r="T1984" s="7">
        <f>Table2[[#This Row],[E]]+Table2[[#This Row],[Pile 
Deviation 
E (m)]]</f>
        <v>694031.45799999998</v>
      </c>
      <c r="W1984" s="7">
        <v>0.24</v>
      </c>
      <c r="X1984" s="2" t="s">
        <v>51</v>
      </c>
    </row>
    <row r="1985" spans="1:27" ht="13.95" hidden="1" customHeight="1" x14ac:dyDescent="0.65">
      <c r="A1985">
        <v>1979</v>
      </c>
      <c r="B1985" t="s">
        <v>29</v>
      </c>
      <c r="C1985" s="6">
        <v>1511676.9939999999</v>
      </c>
      <c r="D1985" s="6">
        <v>694128.89800000004</v>
      </c>
      <c r="E1985" s="2" t="s">
        <v>35</v>
      </c>
      <c r="F1985" s="1">
        <v>24</v>
      </c>
      <c r="G1985" s="2" t="s">
        <v>50</v>
      </c>
      <c r="J1985"/>
      <c r="K1985" s="19"/>
      <c r="L1985" s="21"/>
      <c r="M1985" s="27"/>
      <c r="N1985" s="19"/>
      <c r="O1985" s="21"/>
      <c r="Q1985" s="7">
        <f>Table2[[#This Row],[Elevation
PILE TOP]]-Table2[[#This Row],[LENGTH(m.)
(Actual)]]</f>
        <v>0</v>
      </c>
      <c r="R1985" s="2"/>
      <c r="S1985" s="7">
        <f>Table2[[#This Row],[N]]+Table2[[#This Row],[Pile 
Deviation 
N (m)]]</f>
        <v>1511676.9939999999</v>
      </c>
      <c r="T1985" s="7">
        <f>Table2[[#This Row],[E]]+Table2[[#This Row],[Pile 
Deviation 
E (m)]]</f>
        <v>694128.89800000004</v>
      </c>
      <c r="W1985" s="7">
        <v>0.24</v>
      </c>
      <c r="X1985" s="2" t="s">
        <v>51</v>
      </c>
    </row>
    <row r="1986" spans="1:27" hidden="1" x14ac:dyDescent="0.65">
      <c r="A1986">
        <v>1980</v>
      </c>
      <c r="B1986" t="s">
        <v>29</v>
      </c>
      <c r="C1986" s="6">
        <v>1511676.9839999999</v>
      </c>
      <c r="D1986" s="6">
        <v>694110.05</v>
      </c>
      <c r="E1986" s="2" t="s">
        <v>35</v>
      </c>
      <c r="F1986" s="1">
        <v>24</v>
      </c>
      <c r="G1986" s="2" t="s">
        <v>50</v>
      </c>
      <c r="J1986"/>
      <c r="K1986" s="19"/>
      <c r="L1986" s="21"/>
      <c r="M1986" s="27"/>
      <c r="N1986" s="19"/>
      <c r="O1986" s="21"/>
      <c r="Q1986" s="7">
        <f>Table2[[#This Row],[Elevation
PILE TOP]]-Table2[[#This Row],[LENGTH(m.)
(Actual)]]</f>
        <v>0</v>
      </c>
      <c r="R1986" s="2"/>
      <c r="S1986" s="7">
        <f>Table2[[#This Row],[N]]+Table2[[#This Row],[Pile 
Deviation 
N (m)]]</f>
        <v>1511676.9839999999</v>
      </c>
      <c r="T1986" s="7">
        <f>Table2[[#This Row],[E]]+Table2[[#This Row],[Pile 
Deviation 
E (m)]]</f>
        <v>694110.05</v>
      </c>
      <c r="W1986" s="7">
        <v>0.24</v>
      </c>
      <c r="X1986" s="2" t="s">
        <v>51</v>
      </c>
    </row>
    <row r="1987" spans="1:27" ht="13.95" hidden="1" customHeight="1" x14ac:dyDescent="0.65">
      <c r="A1987">
        <v>1981</v>
      </c>
      <c r="B1987" t="s">
        <v>29</v>
      </c>
      <c r="C1987" s="6">
        <v>1511676.9739999999</v>
      </c>
      <c r="D1987" s="6">
        <v>694091.20200000005</v>
      </c>
      <c r="E1987" s="2" t="s">
        <v>35</v>
      </c>
      <c r="F1987" s="1">
        <v>24</v>
      </c>
      <c r="G1987" s="2" t="s">
        <v>50</v>
      </c>
      <c r="J1987"/>
      <c r="K1987" s="19"/>
      <c r="L1987" s="21"/>
      <c r="M1987" s="27"/>
      <c r="N1987" s="19"/>
      <c r="O1987" s="21"/>
      <c r="Q1987" s="7">
        <f>Table2[[#This Row],[Elevation
PILE TOP]]-Table2[[#This Row],[LENGTH(m.)
(Actual)]]</f>
        <v>0</v>
      </c>
      <c r="R1987" s="2"/>
      <c r="S1987" s="7">
        <f>Table2[[#This Row],[N]]+Table2[[#This Row],[Pile 
Deviation 
N (m)]]</f>
        <v>1511676.9739999999</v>
      </c>
      <c r="T1987" s="7">
        <f>Table2[[#This Row],[E]]+Table2[[#This Row],[Pile 
Deviation 
E (m)]]</f>
        <v>694091.20200000005</v>
      </c>
      <c r="W1987" s="7">
        <v>0.24</v>
      </c>
      <c r="X1987" s="2" t="s">
        <v>51</v>
      </c>
    </row>
    <row r="1988" spans="1:27" hidden="1" x14ac:dyDescent="0.65">
      <c r="A1988">
        <v>1982</v>
      </c>
      <c r="B1988" t="s">
        <v>29</v>
      </c>
      <c r="C1988" s="6">
        <v>1511676.7490000001</v>
      </c>
      <c r="D1988" s="6">
        <v>694072.42200000002</v>
      </c>
      <c r="E1988" s="2" t="s">
        <v>35</v>
      </c>
      <c r="F1988" s="1">
        <v>24</v>
      </c>
      <c r="G1988" s="2" t="s">
        <v>50</v>
      </c>
      <c r="J1988"/>
      <c r="K1988" s="19"/>
      <c r="L1988" s="21"/>
      <c r="M1988" s="27"/>
      <c r="N1988" s="19"/>
      <c r="O1988" s="21"/>
      <c r="Q1988" s="7">
        <f>Table2[[#This Row],[Elevation
PILE TOP]]-Table2[[#This Row],[LENGTH(m.)
(Actual)]]</f>
        <v>0</v>
      </c>
      <c r="R1988" s="2"/>
      <c r="S1988" s="7">
        <f>Table2[[#This Row],[N]]+Table2[[#This Row],[Pile 
Deviation 
N (m)]]</f>
        <v>1511676.7490000001</v>
      </c>
      <c r="T1988" s="7">
        <f>Table2[[#This Row],[E]]+Table2[[#This Row],[Pile 
Deviation 
E (m)]]</f>
        <v>694072.42200000002</v>
      </c>
      <c r="W1988" s="7">
        <v>0.24</v>
      </c>
      <c r="X1988" s="2" t="s">
        <v>51</v>
      </c>
    </row>
    <row r="1989" spans="1:27" ht="13.95" hidden="1" customHeight="1" x14ac:dyDescent="0.65">
      <c r="A1989">
        <v>1983</v>
      </c>
      <c r="B1989" t="s">
        <v>29</v>
      </c>
      <c r="C1989" s="6">
        <v>1511676.7309999999</v>
      </c>
      <c r="D1989" s="6">
        <v>694042.51800000004</v>
      </c>
      <c r="E1989" s="2" t="s">
        <v>35</v>
      </c>
      <c r="F1989" s="1">
        <v>24</v>
      </c>
      <c r="G1989" s="2" t="s">
        <v>50</v>
      </c>
      <c r="J1989"/>
      <c r="K1989" s="19"/>
      <c r="L1989" s="21"/>
      <c r="M1989" s="27"/>
      <c r="N1989" s="19"/>
      <c r="O1989" s="21"/>
      <c r="Q1989" s="7">
        <f>Table2[[#This Row],[Elevation
PILE TOP]]-Table2[[#This Row],[LENGTH(m.)
(Actual)]]</f>
        <v>0</v>
      </c>
      <c r="R1989" s="2"/>
      <c r="S1989" s="7">
        <f>Table2[[#This Row],[N]]+Table2[[#This Row],[Pile 
Deviation 
N (m)]]</f>
        <v>1511676.7309999999</v>
      </c>
      <c r="T1989" s="7">
        <f>Table2[[#This Row],[E]]+Table2[[#This Row],[Pile 
Deviation 
E (m)]]</f>
        <v>694042.51800000004</v>
      </c>
      <c r="W1989" s="7">
        <v>0.24</v>
      </c>
      <c r="X1989" s="2" t="s">
        <v>51</v>
      </c>
    </row>
    <row r="1990" spans="1:27" x14ac:dyDescent="0.65">
      <c r="A1990">
        <v>1984</v>
      </c>
      <c r="B1990" t="s">
        <v>29</v>
      </c>
      <c r="C1990" s="6">
        <v>1511676.4790000001</v>
      </c>
      <c r="D1990" s="6">
        <v>694012.52599999995</v>
      </c>
      <c r="E1990" s="2" t="s">
        <v>35</v>
      </c>
      <c r="F1990" s="1">
        <v>24</v>
      </c>
      <c r="G1990" s="2" t="s">
        <v>50</v>
      </c>
      <c r="J1990"/>
      <c r="K1990" s="19"/>
      <c r="L1990" s="21"/>
      <c r="M1990" s="27"/>
      <c r="N1990" s="19"/>
      <c r="O1990" s="21"/>
      <c r="Q1990" s="7">
        <f>Table2[[#This Row],[Elevation
PILE TOP]]-Table2[[#This Row],[LENGTH(m.)
(Actual)]]</f>
        <v>0</v>
      </c>
      <c r="R1990" s="2"/>
      <c r="S1990" s="7">
        <f>Table2[[#This Row],[N]]+Table2[[#This Row],[Pile 
Deviation 
N (m)]]</f>
        <v>1511676.4790000001</v>
      </c>
      <c r="T1990" s="7">
        <f>Table2[[#This Row],[E]]+Table2[[#This Row],[Pile 
Deviation 
E (m)]]</f>
        <v>694012.52599999995</v>
      </c>
      <c r="W1990" s="7">
        <v>0.24</v>
      </c>
      <c r="X1990" s="2" t="s">
        <v>51</v>
      </c>
      <c r="AA1990" s="9">
        <v>46198</v>
      </c>
    </row>
    <row r="1991" spans="1:27" ht="13.95" hidden="1" customHeight="1" x14ac:dyDescent="0.65">
      <c r="A1991">
        <v>1985</v>
      </c>
      <c r="B1991" t="s">
        <v>29</v>
      </c>
      <c r="C1991" s="6">
        <v>1511676.6980000001</v>
      </c>
      <c r="D1991" s="6">
        <v>693902.72499999998</v>
      </c>
      <c r="E1991" s="2" t="s">
        <v>35</v>
      </c>
      <c r="F1991" s="1">
        <v>24</v>
      </c>
      <c r="G1991" s="2" t="s">
        <v>50</v>
      </c>
      <c r="J1991"/>
      <c r="K1991" s="19"/>
      <c r="L1991" s="21"/>
      <c r="M1991" s="27"/>
      <c r="N1991" s="19"/>
      <c r="O1991" s="21"/>
      <c r="Q1991" s="7">
        <f>Table2[[#This Row],[Elevation
PILE TOP]]-Table2[[#This Row],[LENGTH(m.)
(Actual)]]</f>
        <v>0</v>
      </c>
      <c r="R1991" s="2"/>
      <c r="S1991" s="7">
        <f>Table2[[#This Row],[N]]+Table2[[#This Row],[Pile 
Deviation 
N (m)]]</f>
        <v>1511676.6980000001</v>
      </c>
      <c r="T1991" s="7">
        <f>Table2[[#This Row],[E]]+Table2[[#This Row],[Pile 
Deviation 
E (m)]]</f>
        <v>693902.72499999998</v>
      </c>
      <c r="W1991" s="7">
        <v>0.24</v>
      </c>
      <c r="X1991" s="2" t="s">
        <v>51</v>
      </c>
      <c r="AA1991" s="9">
        <v>46206</v>
      </c>
    </row>
    <row r="1992" spans="1:27" hidden="1" x14ac:dyDescent="0.65">
      <c r="A1992">
        <v>1986</v>
      </c>
      <c r="B1992" t="s">
        <v>29</v>
      </c>
      <c r="C1992" s="6">
        <v>1511676.3459999999</v>
      </c>
      <c r="D1992" s="6">
        <v>694083.48300000001</v>
      </c>
      <c r="E1992" s="2" t="s">
        <v>35</v>
      </c>
      <c r="F1992" s="1">
        <v>24</v>
      </c>
      <c r="G1992" s="2" t="s">
        <v>50</v>
      </c>
      <c r="J1992"/>
      <c r="K1992" s="19"/>
      <c r="L1992" s="21"/>
      <c r="M1992" s="27"/>
      <c r="N1992" s="19"/>
      <c r="O1992" s="21"/>
      <c r="Q1992" s="7">
        <f>Table2[[#This Row],[Elevation
PILE TOP]]-Table2[[#This Row],[LENGTH(m.)
(Actual)]]</f>
        <v>0</v>
      </c>
      <c r="R1992" s="2"/>
      <c r="S1992" s="7">
        <f>Table2[[#This Row],[N]]+Table2[[#This Row],[Pile 
Deviation 
N (m)]]</f>
        <v>1511676.3459999999</v>
      </c>
      <c r="T1992" s="7">
        <f>Table2[[#This Row],[E]]+Table2[[#This Row],[Pile 
Deviation 
E (m)]]</f>
        <v>694083.48300000001</v>
      </c>
      <c r="W1992" s="7">
        <v>0.24</v>
      </c>
      <c r="X1992" s="2" t="s">
        <v>51</v>
      </c>
    </row>
    <row r="1993" spans="1:27" ht="13.95" hidden="1" customHeight="1" x14ac:dyDescent="0.65">
      <c r="A1993">
        <v>1987</v>
      </c>
      <c r="B1993" t="s">
        <v>29</v>
      </c>
      <c r="C1993" s="6">
        <v>1511676.34</v>
      </c>
      <c r="D1993" s="6">
        <v>694121.09900000005</v>
      </c>
      <c r="E1993" s="2" t="s">
        <v>35</v>
      </c>
      <c r="F1993" s="1">
        <v>24</v>
      </c>
      <c r="G1993" s="2" t="s">
        <v>50</v>
      </c>
      <c r="J1993"/>
      <c r="K1993" s="19"/>
      <c r="L1993" s="21"/>
      <c r="M1993" s="27"/>
      <c r="N1993" s="19"/>
      <c r="O1993" s="21"/>
      <c r="Q1993" s="7">
        <f>Table2[[#This Row],[Elevation
PILE TOP]]-Table2[[#This Row],[LENGTH(m.)
(Actual)]]</f>
        <v>0</v>
      </c>
      <c r="R1993" s="2"/>
      <c r="S1993" s="7">
        <f>Table2[[#This Row],[N]]+Table2[[#This Row],[Pile 
Deviation 
N (m)]]</f>
        <v>1511676.34</v>
      </c>
      <c r="T1993" s="7">
        <f>Table2[[#This Row],[E]]+Table2[[#This Row],[Pile 
Deviation 
E (m)]]</f>
        <v>694121.09900000005</v>
      </c>
      <c r="W1993" s="7">
        <v>0.24</v>
      </c>
      <c r="X1993" s="2" t="s">
        <v>51</v>
      </c>
    </row>
    <row r="1994" spans="1:27" hidden="1" x14ac:dyDescent="0.65">
      <c r="A1994">
        <v>1988</v>
      </c>
      <c r="B1994" t="s">
        <v>29</v>
      </c>
      <c r="C1994" s="6">
        <v>1511676.33</v>
      </c>
      <c r="D1994" s="6">
        <v>694102.25100000005</v>
      </c>
      <c r="E1994" s="2" t="s">
        <v>35</v>
      </c>
      <c r="F1994" s="1">
        <v>24</v>
      </c>
      <c r="G1994" s="2" t="s">
        <v>50</v>
      </c>
      <c r="J1994"/>
      <c r="K1994" s="19"/>
      <c r="L1994" s="21"/>
      <c r="M1994" s="27"/>
      <c r="N1994" s="19"/>
      <c r="O1994" s="21"/>
      <c r="Q1994" s="7">
        <f>Table2[[#This Row],[Elevation
PILE TOP]]-Table2[[#This Row],[LENGTH(m.)
(Actual)]]</f>
        <v>0</v>
      </c>
      <c r="R1994" s="2"/>
      <c r="S1994" s="7">
        <f>Table2[[#This Row],[N]]+Table2[[#This Row],[Pile 
Deviation 
N (m)]]</f>
        <v>1511676.33</v>
      </c>
      <c r="T1994" s="7">
        <f>Table2[[#This Row],[E]]+Table2[[#This Row],[Pile 
Deviation 
E (m)]]</f>
        <v>694102.25100000005</v>
      </c>
      <c r="W1994" s="7">
        <v>0.24</v>
      </c>
      <c r="X1994" s="2" t="s">
        <v>51</v>
      </c>
    </row>
    <row r="1995" spans="1:27" ht="13.95" hidden="1" customHeight="1" x14ac:dyDescent="0.65">
      <c r="A1995">
        <v>1989</v>
      </c>
      <c r="B1995" t="s">
        <v>29</v>
      </c>
      <c r="C1995" s="6">
        <v>1511676.328</v>
      </c>
      <c r="D1995" s="6">
        <v>694053.57900000003</v>
      </c>
      <c r="E1995" s="2" t="s">
        <v>35</v>
      </c>
      <c r="F1995" s="1">
        <v>24</v>
      </c>
      <c r="G1995" s="2" t="s">
        <v>50</v>
      </c>
      <c r="J1995"/>
      <c r="K1995" s="19"/>
      <c r="L1995" s="21"/>
      <c r="M1995" s="27"/>
      <c r="N1995" s="19"/>
      <c r="O1995" s="21"/>
      <c r="Q1995" s="7">
        <f>Table2[[#This Row],[Elevation
PILE TOP]]-Table2[[#This Row],[LENGTH(m.)
(Actual)]]</f>
        <v>0</v>
      </c>
      <c r="R1995" s="2"/>
      <c r="S1995" s="7">
        <f>Table2[[#This Row],[N]]+Table2[[#This Row],[Pile 
Deviation 
N (m)]]</f>
        <v>1511676.328</v>
      </c>
      <c r="T1995" s="7">
        <f>Table2[[#This Row],[E]]+Table2[[#This Row],[Pile 
Deviation 
E (m)]]</f>
        <v>694053.57900000003</v>
      </c>
      <c r="W1995" s="7">
        <v>0.24</v>
      </c>
      <c r="X1995" s="2" t="s">
        <v>51</v>
      </c>
    </row>
    <row r="1996" spans="1:27" x14ac:dyDescent="0.65">
      <c r="A1996">
        <v>1990</v>
      </c>
      <c r="B1996" t="s">
        <v>29</v>
      </c>
      <c r="C1996" s="6">
        <v>1511676.31</v>
      </c>
      <c r="D1996" s="6">
        <v>694023.67500000005</v>
      </c>
      <c r="E1996" s="2" t="s">
        <v>35</v>
      </c>
      <c r="F1996" s="1">
        <v>24</v>
      </c>
      <c r="G1996" s="2" t="s">
        <v>50</v>
      </c>
      <c r="J1996"/>
      <c r="K1996" s="19"/>
      <c r="L1996" s="21"/>
      <c r="M1996" s="27"/>
      <c r="N1996" s="19"/>
      <c r="O1996" s="21"/>
      <c r="Q1996" s="7">
        <f>Table2[[#This Row],[Elevation
PILE TOP]]-Table2[[#This Row],[LENGTH(m.)
(Actual)]]</f>
        <v>0</v>
      </c>
      <c r="R1996" s="2"/>
      <c r="S1996" s="7">
        <f>Table2[[#This Row],[N]]+Table2[[#This Row],[Pile 
Deviation 
N (m)]]</f>
        <v>1511676.31</v>
      </c>
      <c r="T1996" s="7">
        <f>Table2[[#This Row],[E]]+Table2[[#This Row],[Pile 
Deviation 
E (m)]]</f>
        <v>694023.67500000005</v>
      </c>
      <c r="W1996" s="7">
        <v>0.24</v>
      </c>
      <c r="X1996" s="2" t="s">
        <v>51</v>
      </c>
      <c r="AA1996" s="9">
        <v>46197</v>
      </c>
    </row>
    <row r="1997" spans="1:27" ht="13.95" hidden="1" customHeight="1" x14ac:dyDescent="0.65">
      <c r="A1997">
        <v>1991</v>
      </c>
      <c r="B1997" t="s">
        <v>29</v>
      </c>
      <c r="C1997" s="6">
        <v>1511675.925</v>
      </c>
      <c r="D1997" s="6">
        <v>694064.63899999997</v>
      </c>
      <c r="E1997" s="2" t="s">
        <v>35</v>
      </c>
      <c r="F1997" s="1">
        <v>24</v>
      </c>
      <c r="G1997" s="2" t="s">
        <v>50</v>
      </c>
      <c r="J1997"/>
      <c r="K1997" s="19"/>
      <c r="L1997" s="21"/>
      <c r="M1997" s="27"/>
      <c r="N1997" s="19"/>
      <c r="O1997" s="21"/>
      <c r="Q1997" s="7">
        <f>Table2[[#This Row],[Elevation
PILE TOP]]-Table2[[#This Row],[LENGTH(m.)
(Actual)]]</f>
        <v>0</v>
      </c>
      <c r="R1997" s="2"/>
      <c r="S1997" s="7">
        <f>Table2[[#This Row],[N]]+Table2[[#This Row],[Pile 
Deviation 
N (m)]]</f>
        <v>1511675.925</v>
      </c>
      <c r="T1997" s="7">
        <f>Table2[[#This Row],[E]]+Table2[[#This Row],[Pile 
Deviation 
E (m)]]</f>
        <v>694064.63899999997</v>
      </c>
      <c r="W1997" s="7">
        <v>0.24</v>
      </c>
      <c r="X1997" s="2" t="s">
        <v>51</v>
      </c>
    </row>
    <row r="1998" spans="1:27" hidden="1" x14ac:dyDescent="0.65">
      <c r="A1998">
        <v>1992</v>
      </c>
      <c r="B1998" t="s">
        <v>29</v>
      </c>
      <c r="C1998" s="6">
        <v>1511675.9069999999</v>
      </c>
      <c r="D1998" s="6">
        <v>694034.73499999999</v>
      </c>
      <c r="E1998" s="2" t="s">
        <v>35</v>
      </c>
      <c r="F1998" s="1">
        <v>24</v>
      </c>
      <c r="G1998" s="2" t="s">
        <v>50</v>
      </c>
      <c r="J1998"/>
      <c r="K1998" s="19"/>
      <c r="L1998" s="21"/>
      <c r="M1998" s="27"/>
      <c r="N1998" s="19"/>
      <c r="O1998" s="21"/>
      <c r="Q1998" s="7">
        <f>Table2[[#This Row],[Elevation
PILE TOP]]-Table2[[#This Row],[LENGTH(m.)
(Actual)]]</f>
        <v>0</v>
      </c>
      <c r="R1998" s="2"/>
      <c r="S1998" s="7">
        <f>Table2[[#This Row],[N]]+Table2[[#This Row],[Pile 
Deviation 
N (m)]]</f>
        <v>1511675.9069999999</v>
      </c>
      <c r="T1998" s="7">
        <f>Table2[[#This Row],[E]]+Table2[[#This Row],[Pile 
Deviation 
E (m)]]</f>
        <v>694034.73499999999</v>
      </c>
      <c r="W1998" s="7">
        <v>0.24</v>
      </c>
      <c r="X1998" s="2" t="s">
        <v>51</v>
      </c>
    </row>
    <row r="1999" spans="1:27" ht="13.95" hidden="1" customHeight="1" x14ac:dyDescent="0.65">
      <c r="A1999">
        <v>1993</v>
      </c>
      <c r="B1999" t="s">
        <v>29</v>
      </c>
      <c r="C1999" s="6">
        <v>1511675.696</v>
      </c>
      <c r="D1999" s="6">
        <v>694132.14800000004</v>
      </c>
      <c r="E1999" s="2" t="s">
        <v>35</v>
      </c>
      <c r="F1999" s="1">
        <v>24</v>
      </c>
      <c r="G1999" s="2" t="s">
        <v>50</v>
      </c>
      <c r="J1999"/>
      <c r="K1999" s="19"/>
      <c r="L1999" s="21"/>
      <c r="M1999" s="27"/>
      <c r="N1999" s="19"/>
      <c r="O1999" s="21"/>
      <c r="Q1999" s="7">
        <f>Table2[[#This Row],[Elevation
PILE TOP]]-Table2[[#This Row],[LENGTH(m.)
(Actual)]]</f>
        <v>0</v>
      </c>
      <c r="R1999" s="2"/>
      <c r="S1999" s="7">
        <f>Table2[[#This Row],[N]]+Table2[[#This Row],[Pile 
Deviation 
N (m)]]</f>
        <v>1511675.696</v>
      </c>
      <c r="T1999" s="7">
        <f>Table2[[#This Row],[E]]+Table2[[#This Row],[Pile 
Deviation 
E (m)]]</f>
        <v>694132.14800000004</v>
      </c>
      <c r="W1999" s="7">
        <v>0.24</v>
      </c>
      <c r="X1999" s="2" t="s">
        <v>51</v>
      </c>
    </row>
    <row r="2000" spans="1:27" hidden="1" x14ac:dyDescent="0.65">
      <c r="A2000">
        <v>1994</v>
      </c>
      <c r="B2000" t="s">
        <v>29</v>
      </c>
      <c r="C2000" s="6">
        <v>1511675.686</v>
      </c>
      <c r="D2000" s="6">
        <v>694113.3</v>
      </c>
      <c r="E2000" s="2" t="s">
        <v>35</v>
      </c>
      <c r="F2000" s="1">
        <v>24</v>
      </c>
      <c r="G2000" s="2" t="s">
        <v>50</v>
      </c>
      <c r="J2000"/>
      <c r="K2000" s="19"/>
      <c r="L2000" s="21"/>
      <c r="M2000" s="27"/>
      <c r="N2000" s="19"/>
      <c r="O2000" s="21"/>
      <c r="Q2000" s="7">
        <f>Table2[[#This Row],[Elevation
PILE TOP]]-Table2[[#This Row],[LENGTH(m.)
(Actual)]]</f>
        <v>0</v>
      </c>
      <c r="R2000" s="2"/>
      <c r="S2000" s="7">
        <f>Table2[[#This Row],[N]]+Table2[[#This Row],[Pile 
Deviation 
N (m)]]</f>
        <v>1511675.686</v>
      </c>
      <c r="T2000" s="7">
        <f>Table2[[#This Row],[E]]+Table2[[#This Row],[Pile 
Deviation 
E (m)]]</f>
        <v>694113.3</v>
      </c>
      <c r="W2000" s="7">
        <v>0.24</v>
      </c>
      <c r="X2000" s="2" t="s">
        <v>51</v>
      </c>
    </row>
    <row r="2001" spans="1:27" ht="13.95" hidden="1" customHeight="1" x14ac:dyDescent="0.65">
      <c r="A2001">
        <v>1995</v>
      </c>
      <c r="B2001" t="s">
        <v>29</v>
      </c>
      <c r="C2001" s="6">
        <v>1511675.675</v>
      </c>
      <c r="D2001" s="6">
        <v>694094.45200000005</v>
      </c>
      <c r="E2001" s="2" t="s">
        <v>35</v>
      </c>
      <c r="F2001" s="1">
        <v>24</v>
      </c>
      <c r="G2001" s="2" t="s">
        <v>50</v>
      </c>
      <c r="J2001"/>
      <c r="K2001" s="19"/>
      <c r="L2001" s="21"/>
      <c r="M2001" s="27"/>
      <c r="N2001" s="19"/>
      <c r="O2001" s="21"/>
      <c r="Q2001" s="7">
        <f>Table2[[#This Row],[Elevation
PILE TOP]]-Table2[[#This Row],[LENGTH(m.)
(Actual)]]</f>
        <v>0</v>
      </c>
      <c r="R2001" s="2"/>
      <c r="S2001" s="7">
        <f>Table2[[#This Row],[N]]+Table2[[#This Row],[Pile 
Deviation 
N (m)]]</f>
        <v>1511675.675</v>
      </c>
      <c r="T2001" s="7">
        <f>Table2[[#This Row],[E]]+Table2[[#This Row],[Pile 
Deviation 
E (m)]]</f>
        <v>694094.45200000005</v>
      </c>
      <c r="W2001" s="7">
        <v>0.24</v>
      </c>
      <c r="X2001" s="2" t="s">
        <v>51</v>
      </c>
    </row>
    <row r="2002" spans="1:27" hidden="1" x14ac:dyDescent="0.65">
      <c r="A2002">
        <v>1996</v>
      </c>
      <c r="B2002" t="s">
        <v>29</v>
      </c>
      <c r="C2002" s="6">
        <v>1511675.6229999999</v>
      </c>
      <c r="D2002" s="6">
        <v>693926.12899999996</v>
      </c>
      <c r="E2002" s="2" t="s">
        <v>35</v>
      </c>
      <c r="F2002" s="1">
        <v>24</v>
      </c>
      <c r="G2002" s="2" t="s">
        <v>50</v>
      </c>
      <c r="J2002"/>
      <c r="K2002" s="19"/>
      <c r="L2002" s="21"/>
      <c r="M2002" s="27"/>
      <c r="N2002" s="19"/>
      <c r="O2002" s="21"/>
      <c r="Q2002" s="7">
        <f>Table2[[#This Row],[Elevation
PILE TOP]]-Table2[[#This Row],[LENGTH(m.)
(Actual)]]</f>
        <v>0</v>
      </c>
      <c r="R2002" s="2"/>
      <c r="S2002" s="7">
        <f>Table2[[#This Row],[N]]+Table2[[#This Row],[Pile 
Deviation 
N (m)]]</f>
        <v>1511675.6229999999</v>
      </c>
      <c r="T2002" s="7">
        <f>Table2[[#This Row],[E]]+Table2[[#This Row],[Pile 
Deviation 
E (m)]]</f>
        <v>693926.12899999996</v>
      </c>
      <c r="W2002" s="7">
        <v>0.24</v>
      </c>
      <c r="X2002" s="2" t="s">
        <v>51</v>
      </c>
      <c r="AA2002" s="9">
        <v>46205</v>
      </c>
    </row>
    <row r="2003" spans="1:27" ht="13.95" hidden="1" customHeight="1" x14ac:dyDescent="0.65">
      <c r="A2003">
        <v>1997</v>
      </c>
      <c r="B2003" t="s">
        <v>29</v>
      </c>
      <c r="C2003" s="6">
        <v>1511675.5220000001</v>
      </c>
      <c r="D2003" s="6">
        <v>694075.7</v>
      </c>
      <c r="E2003" s="2" t="s">
        <v>35</v>
      </c>
      <c r="F2003" s="1">
        <v>24</v>
      </c>
      <c r="G2003" s="2" t="s">
        <v>50</v>
      </c>
      <c r="J2003"/>
      <c r="K2003" s="19"/>
      <c r="L2003" s="21"/>
      <c r="M2003" s="27"/>
      <c r="N2003" s="19"/>
      <c r="O2003" s="21"/>
      <c r="Q2003" s="7">
        <f>Table2[[#This Row],[Elevation
PILE TOP]]-Table2[[#This Row],[LENGTH(m.)
(Actual)]]</f>
        <v>0</v>
      </c>
      <c r="R2003" s="2"/>
      <c r="S2003" s="7">
        <f>Table2[[#This Row],[N]]+Table2[[#This Row],[Pile 
Deviation 
N (m)]]</f>
        <v>1511675.5220000001</v>
      </c>
      <c r="T2003" s="7">
        <f>Table2[[#This Row],[E]]+Table2[[#This Row],[Pile 
Deviation 
E (m)]]</f>
        <v>694075.7</v>
      </c>
      <c r="W2003" s="7">
        <v>0.24</v>
      </c>
      <c r="X2003" s="2" t="s">
        <v>51</v>
      </c>
    </row>
    <row r="2004" spans="1:27" hidden="1" x14ac:dyDescent="0.65">
      <c r="A2004">
        <v>1998</v>
      </c>
      <c r="B2004" t="s">
        <v>29</v>
      </c>
      <c r="C2004" s="6">
        <v>1511675.513</v>
      </c>
      <c r="D2004" s="6">
        <v>693906.01800000004</v>
      </c>
      <c r="E2004" s="2" t="s">
        <v>35</v>
      </c>
      <c r="F2004" s="1">
        <v>24</v>
      </c>
      <c r="G2004" s="2" t="s">
        <v>50</v>
      </c>
      <c r="J2004"/>
      <c r="K2004" s="19"/>
      <c r="L2004" s="21"/>
      <c r="M2004" s="27"/>
      <c r="N2004" s="19"/>
      <c r="O2004" s="21"/>
      <c r="Q2004" s="7">
        <f>Table2[[#This Row],[Elevation
PILE TOP]]-Table2[[#This Row],[LENGTH(m.)
(Actual)]]</f>
        <v>0</v>
      </c>
      <c r="R2004" s="2"/>
      <c r="S2004" s="7">
        <f>Table2[[#This Row],[N]]+Table2[[#This Row],[Pile 
Deviation 
N (m)]]</f>
        <v>1511675.513</v>
      </c>
      <c r="T2004" s="7">
        <f>Table2[[#This Row],[E]]+Table2[[#This Row],[Pile 
Deviation 
E (m)]]</f>
        <v>693906.01800000004</v>
      </c>
      <c r="W2004" s="7">
        <v>0.24</v>
      </c>
      <c r="X2004" s="2" t="s">
        <v>51</v>
      </c>
      <c r="AA2004" s="9">
        <v>46206</v>
      </c>
    </row>
    <row r="2005" spans="1:27" ht="13.95" hidden="1" customHeight="1" x14ac:dyDescent="0.65">
      <c r="A2005">
        <v>1999</v>
      </c>
      <c r="B2005" t="s">
        <v>29</v>
      </c>
      <c r="C2005" s="6">
        <v>1511675.504</v>
      </c>
      <c r="D2005" s="6">
        <v>694045.79599999997</v>
      </c>
      <c r="E2005" s="2" t="s">
        <v>35</v>
      </c>
      <c r="F2005" s="1">
        <v>24</v>
      </c>
      <c r="G2005" s="2" t="s">
        <v>50</v>
      </c>
      <c r="J2005"/>
      <c r="K2005" s="19"/>
      <c r="L2005" s="21"/>
      <c r="M2005" s="27"/>
      <c r="N2005" s="19"/>
      <c r="O2005" s="21"/>
      <c r="Q2005" s="7">
        <f>Table2[[#This Row],[Elevation
PILE TOP]]-Table2[[#This Row],[LENGTH(m.)
(Actual)]]</f>
        <v>0</v>
      </c>
      <c r="R2005" s="2"/>
      <c r="S2005" s="7">
        <f>Table2[[#This Row],[N]]+Table2[[#This Row],[Pile 
Deviation 
N (m)]]</f>
        <v>1511675.504</v>
      </c>
      <c r="T2005" s="7">
        <f>Table2[[#This Row],[E]]+Table2[[#This Row],[Pile 
Deviation 
E (m)]]</f>
        <v>694045.79599999997</v>
      </c>
      <c r="W2005" s="7">
        <v>0.24</v>
      </c>
      <c r="X2005" s="2" t="s">
        <v>51</v>
      </c>
    </row>
    <row r="2006" spans="1:27" x14ac:dyDescent="0.65">
      <c r="A2006">
        <v>2000</v>
      </c>
      <c r="B2006" t="s">
        <v>29</v>
      </c>
      <c r="C2006" s="6">
        <v>1511675.2520000001</v>
      </c>
      <c r="D2006" s="6">
        <v>694015.804</v>
      </c>
      <c r="E2006" s="2" t="s">
        <v>35</v>
      </c>
      <c r="F2006" s="1">
        <v>24</v>
      </c>
      <c r="G2006" s="2" t="s">
        <v>50</v>
      </c>
      <c r="J2006"/>
      <c r="K2006" s="19"/>
      <c r="L2006" s="21"/>
      <c r="M2006" s="27"/>
      <c r="N2006" s="19"/>
      <c r="O2006" s="21"/>
      <c r="Q2006" s="7">
        <f>Table2[[#This Row],[Elevation
PILE TOP]]-Table2[[#This Row],[LENGTH(m.)
(Actual)]]</f>
        <v>0</v>
      </c>
      <c r="R2006" s="2"/>
      <c r="S2006" s="7">
        <f>Table2[[#This Row],[N]]+Table2[[#This Row],[Pile 
Deviation 
N (m)]]</f>
        <v>1511675.2520000001</v>
      </c>
      <c r="T2006" s="7">
        <f>Table2[[#This Row],[E]]+Table2[[#This Row],[Pile 
Deviation 
E (m)]]</f>
        <v>694015.804</v>
      </c>
      <c r="W2006" s="7">
        <v>0.24</v>
      </c>
      <c r="X2006" s="2" t="s">
        <v>51</v>
      </c>
      <c r="AA2006" s="9">
        <v>46198</v>
      </c>
    </row>
    <row r="2007" spans="1:27" ht="13.95" hidden="1" customHeight="1" x14ac:dyDescent="0.65">
      <c r="A2007">
        <v>2001</v>
      </c>
      <c r="B2007" t="s">
        <v>29</v>
      </c>
      <c r="C2007" s="6">
        <v>1511675.1189999999</v>
      </c>
      <c r="D2007" s="6">
        <v>694086.76100000006</v>
      </c>
      <c r="E2007" s="2" t="s">
        <v>35</v>
      </c>
      <c r="F2007" s="1">
        <v>24</v>
      </c>
      <c r="G2007" s="2" t="s">
        <v>50</v>
      </c>
      <c r="J2007"/>
      <c r="K2007" s="19"/>
      <c r="L2007" s="21"/>
      <c r="M2007" s="27"/>
      <c r="N2007" s="19"/>
      <c r="O2007" s="21"/>
      <c r="Q2007" s="7">
        <f>Table2[[#This Row],[Elevation
PILE TOP]]-Table2[[#This Row],[LENGTH(m.)
(Actual)]]</f>
        <v>0</v>
      </c>
      <c r="R2007" s="2"/>
      <c r="S2007" s="7">
        <f>Table2[[#This Row],[N]]+Table2[[#This Row],[Pile 
Deviation 
N (m)]]</f>
        <v>1511675.1189999999</v>
      </c>
      <c r="T2007" s="7">
        <f>Table2[[#This Row],[E]]+Table2[[#This Row],[Pile 
Deviation 
E (m)]]</f>
        <v>694086.76100000006</v>
      </c>
      <c r="W2007" s="7">
        <v>0.24</v>
      </c>
      <c r="X2007" s="2" t="s">
        <v>51</v>
      </c>
    </row>
    <row r="2008" spans="1:27" hidden="1" x14ac:dyDescent="0.65">
      <c r="A2008">
        <v>2002</v>
      </c>
      <c r="B2008" t="s">
        <v>29</v>
      </c>
      <c r="C2008" s="6">
        <v>1511675.101</v>
      </c>
      <c r="D2008" s="6">
        <v>694056.85699999996</v>
      </c>
      <c r="E2008" s="2" t="s">
        <v>35</v>
      </c>
      <c r="F2008" s="1">
        <v>24</v>
      </c>
      <c r="G2008" s="2" t="s">
        <v>50</v>
      </c>
      <c r="J2008"/>
      <c r="K2008" s="19"/>
      <c r="L2008" s="21"/>
      <c r="M2008" s="27"/>
      <c r="N2008" s="19"/>
      <c r="O2008" s="21"/>
      <c r="Q2008" s="7">
        <f>Table2[[#This Row],[Elevation
PILE TOP]]-Table2[[#This Row],[LENGTH(m.)
(Actual)]]</f>
        <v>0</v>
      </c>
      <c r="R2008" s="2"/>
      <c r="S2008" s="7">
        <f>Table2[[#This Row],[N]]+Table2[[#This Row],[Pile 
Deviation 
N (m)]]</f>
        <v>1511675.101</v>
      </c>
      <c r="T2008" s="7">
        <f>Table2[[#This Row],[E]]+Table2[[#This Row],[Pile 
Deviation 
E (m)]]</f>
        <v>694056.85699999996</v>
      </c>
      <c r="W2008" s="7">
        <v>0.24</v>
      </c>
      <c r="X2008" s="2" t="s">
        <v>51</v>
      </c>
    </row>
    <row r="2009" spans="1:27" ht="13.95" customHeight="1" x14ac:dyDescent="0.65">
      <c r="A2009">
        <v>2003</v>
      </c>
      <c r="B2009" t="s">
        <v>29</v>
      </c>
      <c r="C2009" s="6">
        <v>1511675.0830000001</v>
      </c>
      <c r="D2009" s="6">
        <v>694026.95299999998</v>
      </c>
      <c r="E2009" s="2" t="s">
        <v>35</v>
      </c>
      <c r="F2009" s="1">
        <v>24</v>
      </c>
      <c r="G2009" s="2" t="s">
        <v>50</v>
      </c>
      <c r="J2009"/>
      <c r="K2009" s="19"/>
      <c r="L2009" s="21"/>
      <c r="M2009" s="27"/>
      <c r="N2009" s="19"/>
      <c r="O2009" s="21"/>
      <c r="Q2009" s="7">
        <f>Table2[[#This Row],[Elevation
PILE TOP]]-Table2[[#This Row],[LENGTH(m.)
(Actual)]]</f>
        <v>0</v>
      </c>
      <c r="R2009" s="2"/>
      <c r="S2009" s="7">
        <f>Table2[[#This Row],[N]]+Table2[[#This Row],[Pile 
Deviation 
N (m)]]</f>
        <v>1511675.0830000001</v>
      </c>
      <c r="T2009" s="7">
        <f>Table2[[#This Row],[E]]+Table2[[#This Row],[Pile 
Deviation 
E (m)]]</f>
        <v>694026.95299999998</v>
      </c>
      <c r="W2009" s="7">
        <v>0.24</v>
      </c>
      <c r="X2009" s="2" t="s">
        <v>51</v>
      </c>
      <c r="AA2009" s="9">
        <v>46197</v>
      </c>
    </row>
    <row r="2010" spans="1:27" hidden="1" x14ac:dyDescent="0.65">
      <c r="A2010">
        <v>2004</v>
      </c>
      <c r="B2010" t="s">
        <v>29</v>
      </c>
      <c r="C2010" s="6">
        <v>1511675.0419999999</v>
      </c>
      <c r="D2010" s="6">
        <v>694124.35</v>
      </c>
      <c r="E2010" s="2" t="s">
        <v>35</v>
      </c>
      <c r="F2010" s="1">
        <v>24</v>
      </c>
      <c r="G2010" s="2" t="s">
        <v>50</v>
      </c>
      <c r="J2010"/>
      <c r="K2010" s="19"/>
      <c r="L2010" s="21"/>
      <c r="M2010" s="27"/>
      <c r="N2010" s="19"/>
      <c r="O2010" s="21"/>
      <c r="Q2010" s="7">
        <f>Table2[[#This Row],[Elevation
PILE TOP]]-Table2[[#This Row],[LENGTH(m.)
(Actual)]]</f>
        <v>0</v>
      </c>
      <c r="R2010" s="2"/>
      <c r="S2010" s="7">
        <f>Table2[[#This Row],[N]]+Table2[[#This Row],[Pile 
Deviation 
N (m)]]</f>
        <v>1511675.0419999999</v>
      </c>
      <c r="T2010" s="7">
        <f>Table2[[#This Row],[E]]+Table2[[#This Row],[Pile 
Deviation 
E (m)]]</f>
        <v>694124.35</v>
      </c>
      <c r="W2010" s="7">
        <v>0.24</v>
      </c>
      <c r="X2010" s="2" t="s">
        <v>51</v>
      </c>
    </row>
    <row r="2011" spans="1:27" ht="13.95" hidden="1" customHeight="1" x14ac:dyDescent="0.65">
      <c r="A2011">
        <v>2005</v>
      </c>
      <c r="B2011" t="s">
        <v>29</v>
      </c>
      <c r="C2011" s="6">
        <v>1511675.0319999999</v>
      </c>
      <c r="D2011" s="6">
        <v>694105.50100000005</v>
      </c>
      <c r="E2011" s="2" t="s">
        <v>35</v>
      </c>
      <c r="F2011" s="1">
        <v>24</v>
      </c>
      <c r="G2011" s="2" t="s">
        <v>50</v>
      </c>
      <c r="J2011"/>
      <c r="K2011" s="19"/>
      <c r="L2011" s="21"/>
      <c r="M2011" s="27"/>
      <c r="N2011" s="19"/>
      <c r="O2011" s="21"/>
      <c r="Q2011" s="7">
        <f>Table2[[#This Row],[Elevation
PILE TOP]]-Table2[[#This Row],[LENGTH(m.)
(Actual)]]</f>
        <v>0</v>
      </c>
      <c r="R2011" s="2"/>
      <c r="S2011" s="7">
        <f>Table2[[#This Row],[N]]+Table2[[#This Row],[Pile 
Deviation 
N (m)]]</f>
        <v>1511675.0319999999</v>
      </c>
      <c r="T2011" s="7">
        <f>Table2[[#This Row],[E]]+Table2[[#This Row],[Pile 
Deviation 
E (m)]]</f>
        <v>694105.50100000005</v>
      </c>
      <c r="W2011" s="7">
        <v>0.24</v>
      </c>
      <c r="X2011" s="2" t="s">
        <v>51</v>
      </c>
    </row>
    <row r="2012" spans="1:27" hidden="1" x14ac:dyDescent="0.65">
      <c r="A2012">
        <v>2006</v>
      </c>
      <c r="B2012" t="s">
        <v>29</v>
      </c>
      <c r="C2012" s="6">
        <v>1511674.6980000001</v>
      </c>
      <c r="D2012" s="6">
        <v>694067.91700000002</v>
      </c>
      <c r="E2012" s="2" t="s">
        <v>35</v>
      </c>
      <c r="F2012" s="1">
        <v>24</v>
      </c>
      <c r="G2012" s="2" t="s">
        <v>50</v>
      </c>
      <c r="J2012"/>
      <c r="K2012" s="19"/>
      <c r="L2012" s="21"/>
      <c r="M2012" s="27"/>
      <c r="N2012" s="19"/>
      <c r="O2012" s="21"/>
      <c r="Q2012" s="7">
        <f>Table2[[#This Row],[Elevation
PILE TOP]]-Table2[[#This Row],[LENGTH(m.)
(Actual)]]</f>
        <v>0</v>
      </c>
      <c r="R2012" s="2"/>
      <c r="S2012" s="7">
        <f>Table2[[#This Row],[N]]+Table2[[#This Row],[Pile 
Deviation 
N (m)]]</f>
        <v>1511674.6980000001</v>
      </c>
      <c r="T2012" s="7">
        <f>Table2[[#This Row],[E]]+Table2[[#This Row],[Pile 
Deviation 
E (m)]]</f>
        <v>694067.91700000002</v>
      </c>
      <c r="W2012" s="7">
        <v>0.24</v>
      </c>
      <c r="X2012" s="2" t="s">
        <v>51</v>
      </c>
    </row>
    <row r="2013" spans="1:27" ht="13.95" hidden="1" customHeight="1" x14ac:dyDescent="0.65">
      <c r="A2013">
        <v>2007</v>
      </c>
      <c r="B2013" t="s">
        <v>29</v>
      </c>
      <c r="C2013" s="6">
        <v>1511674.68</v>
      </c>
      <c r="D2013" s="6">
        <v>694038.01300000004</v>
      </c>
      <c r="E2013" s="2" t="s">
        <v>35</v>
      </c>
      <c r="F2013" s="1">
        <v>24</v>
      </c>
      <c r="G2013" s="2" t="s">
        <v>50</v>
      </c>
      <c r="J2013"/>
      <c r="K2013" s="19"/>
      <c r="L2013" s="21"/>
      <c r="M2013" s="27"/>
      <c r="N2013" s="19"/>
      <c r="O2013" s="21"/>
      <c r="Q2013" s="7">
        <f>Table2[[#This Row],[Elevation
PILE TOP]]-Table2[[#This Row],[LENGTH(m.)
(Actual)]]</f>
        <v>0</v>
      </c>
      <c r="R2013" s="2"/>
      <c r="S2013" s="7">
        <f>Table2[[#This Row],[N]]+Table2[[#This Row],[Pile 
Deviation 
N (m)]]</f>
        <v>1511674.68</v>
      </c>
      <c r="T2013" s="7">
        <f>Table2[[#This Row],[E]]+Table2[[#This Row],[Pile 
Deviation 
E (m)]]</f>
        <v>694038.01300000004</v>
      </c>
      <c r="W2013" s="7">
        <v>0.24</v>
      </c>
      <c r="X2013" s="2" t="s">
        <v>51</v>
      </c>
    </row>
    <row r="2014" spans="1:27" hidden="1" x14ac:dyDescent="0.65">
      <c r="A2014">
        <v>2008</v>
      </c>
      <c r="B2014" t="s">
        <v>29</v>
      </c>
      <c r="C2014" s="6">
        <v>1511674.5149999999</v>
      </c>
      <c r="D2014" s="6">
        <v>694135.10699999996</v>
      </c>
      <c r="E2014" s="2" t="s">
        <v>35</v>
      </c>
      <c r="F2014" s="1">
        <v>24</v>
      </c>
      <c r="G2014" s="2" t="s">
        <v>50</v>
      </c>
      <c r="J2014"/>
      <c r="K2014" s="19"/>
      <c r="L2014" s="21"/>
      <c r="M2014" s="27"/>
      <c r="N2014" s="19"/>
      <c r="O2014" s="21"/>
      <c r="Q2014" s="7">
        <f>Table2[[#This Row],[Elevation
PILE TOP]]-Table2[[#This Row],[LENGTH(m.)
(Actual)]]</f>
        <v>0</v>
      </c>
      <c r="R2014" s="2"/>
      <c r="S2014" s="7">
        <f>Table2[[#This Row],[N]]+Table2[[#This Row],[Pile 
Deviation 
N (m)]]</f>
        <v>1511674.5149999999</v>
      </c>
      <c r="T2014" s="7">
        <f>Table2[[#This Row],[E]]+Table2[[#This Row],[Pile 
Deviation 
E (m)]]</f>
        <v>694135.10699999996</v>
      </c>
      <c r="W2014" s="7">
        <v>0.24</v>
      </c>
      <c r="X2014" s="2" t="s">
        <v>51</v>
      </c>
    </row>
    <row r="2015" spans="1:27" ht="13.95" hidden="1" customHeight="1" x14ac:dyDescent="0.65">
      <c r="A2015">
        <v>2009</v>
      </c>
      <c r="B2015" t="s">
        <v>29</v>
      </c>
      <c r="C2015" s="6">
        <v>1511674.388</v>
      </c>
      <c r="D2015" s="6">
        <v>694116.55099999998</v>
      </c>
      <c r="E2015" s="2" t="s">
        <v>35</v>
      </c>
      <c r="F2015" s="1">
        <v>24</v>
      </c>
      <c r="G2015" s="2" t="s">
        <v>50</v>
      </c>
      <c r="J2015"/>
      <c r="K2015" s="19"/>
      <c r="L2015" s="21"/>
      <c r="M2015" s="27"/>
      <c r="N2015" s="19"/>
      <c r="O2015" s="21"/>
      <c r="Q2015" s="7">
        <f>Table2[[#This Row],[Elevation
PILE TOP]]-Table2[[#This Row],[LENGTH(m.)
(Actual)]]</f>
        <v>0</v>
      </c>
      <c r="R2015" s="2"/>
      <c r="S2015" s="7">
        <f>Table2[[#This Row],[N]]+Table2[[#This Row],[Pile 
Deviation 
N (m)]]</f>
        <v>1511674.388</v>
      </c>
      <c r="T2015" s="7">
        <f>Table2[[#This Row],[E]]+Table2[[#This Row],[Pile 
Deviation 
E (m)]]</f>
        <v>694116.55099999998</v>
      </c>
      <c r="W2015" s="7">
        <v>0.24</v>
      </c>
      <c r="X2015" s="2" t="s">
        <v>51</v>
      </c>
    </row>
    <row r="2016" spans="1:27" hidden="1" x14ac:dyDescent="0.65">
      <c r="A2016">
        <v>2010</v>
      </c>
      <c r="B2016" t="s">
        <v>29</v>
      </c>
      <c r="C2016" s="6">
        <v>1511674.3770000001</v>
      </c>
      <c r="D2016" s="6">
        <v>694097.70299999998</v>
      </c>
      <c r="E2016" s="2" t="s">
        <v>35</v>
      </c>
      <c r="F2016" s="1">
        <v>24</v>
      </c>
      <c r="G2016" s="2" t="s">
        <v>50</v>
      </c>
      <c r="J2016"/>
      <c r="K2016" s="19"/>
      <c r="L2016" s="21"/>
      <c r="M2016" s="27"/>
      <c r="N2016" s="19"/>
      <c r="O2016" s="21"/>
      <c r="Q2016" s="7">
        <f>Table2[[#This Row],[Elevation
PILE TOP]]-Table2[[#This Row],[LENGTH(m.)
(Actual)]]</f>
        <v>0</v>
      </c>
      <c r="R2016" s="2"/>
      <c r="S2016" s="7">
        <f>Table2[[#This Row],[N]]+Table2[[#This Row],[Pile 
Deviation 
N (m)]]</f>
        <v>1511674.3770000001</v>
      </c>
      <c r="T2016" s="7">
        <f>Table2[[#This Row],[E]]+Table2[[#This Row],[Pile 
Deviation 
E (m)]]</f>
        <v>694097.70299999998</v>
      </c>
      <c r="W2016" s="7">
        <v>0.24</v>
      </c>
      <c r="X2016" s="2" t="s">
        <v>51</v>
      </c>
    </row>
    <row r="2017" spans="1:27" ht="13.95" hidden="1" customHeight="1" x14ac:dyDescent="0.65">
      <c r="A2017">
        <v>2011</v>
      </c>
      <c r="B2017" t="s">
        <v>29</v>
      </c>
      <c r="C2017" s="6">
        <v>1511674.328</v>
      </c>
      <c r="D2017" s="6">
        <v>693909.31099999999</v>
      </c>
      <c r="E2017" s="2" t="s">
        <v>35</v>
      </c>
      <c r="F2017" s="1">
        <v>24</v>
      </c>
      <c r="G2017" s="2" t="s">
        <v>50</v>
      </c>
      <c r="J2017"/>
      <c r="K2017" s="19"/>
      <c r="L2017" s="21"/>
      <c r="M2017" s="27"/>
      <c r="N2017" s="19"/>
      <c r="O2017" s="21"/>
      <c r="Q2017" s="7">
        <f>Table2[[#This Row],[Elevation
PILE TOP]]-Table2[[#This Row],[LENGTH(m.)
(Actual)]]</f>
        <v>0</v>
      </c>
      <c r="R2017" s="2"/>
      <c r="S2017" s="7">
        <f>Table2[[#This Row],[N]]+Table2[[#This Row],[Pile 
Deviation 
N (m)]]</f>
        <v>1511674.328</v>
      </c>
      <c r="T2017" s="7">
        <f>Table2[[#This Row],[E]]+Table2[[#This Row],[Pile 
Deviation 
E (m)]]</f>
        <v>693909.31099999999</v>
      </c>
      <c r="W2017" s="7">
        <v>0.24</v>
      </c>
      <c r="X2017" s="2" t="s">
        <v>51</v>
      </c>
      <c r="AA2017" s="9">
        <v>46206</v>
      </c>
    </row>
    <row r="2018" spans="1:27" hidden="1" x14ac:dyDescent="0.65">
      <c r="A2018">
        <v>2012</v>
      </c>
      <c r="B2018" t="s">
        <v>29</v>
      </c>
      <c r="C2018" s="6">
        <v>1511674.2949999999</v>
      </c>
      <c r="D2018" s="6">
        <v>694078.978</v>
      </c>
      <c r="E2018" s="2" t="s">
        <v>35</v>
      </c>
      <c r="F2018" s="1">
        <v>24</v>
      </c>
      <c r="G2018" s="2" t="s">
        <v>50</v>
      </c>
      <c r="J2018"/>
      <c r="K2018" s="19"/>
      <c r="L2018" s="21"/>
      <c r="M2018" s="27"/>
      <c r="N2018" s="19"/>
      <c r="O2018" s="21"/>
      <c r="Q2018" s="7">
        <f>Table2[[#This Row],[Elevation
PILE TOP]]-Table2[[#This Row],[LENGTH(m.)
(Actual)]]</f>
        <v>0</v>
      </c>
      <c r="R2018" s="2"/>
      <c r="S2018" s="7">
        <f>Table2[[#This Row],[N]]+Table2[[#This Row],[Pile 
Deviation 
N (m)]]</f>
        <v>1511674.2949999999</v>
      </c>
      <c r="T2018" s="7">
        <f>Table2[[#This Row],[E]]+Table2[[#This Row],[Pile 
Deviation 
E (m)]]</f>
        <v>694078.978</v>
      </c>
      <c r="W2018" s="7">
        <v>0.24</v>
      </c>
      <c r="X2018" s="2" t="s">
        <v>51</v>
      </c>
    </row>
    <row r="2019" spans="1:27" ht="13.95" hidden="1" customHeight="1" x14ac:dyDescent="0.65">
      <c r="A2019">
        <v>2013</v>
      </c>
      <c r="B2019" t="s">
        <v>29</v>
      </c>
      <c r="C2019" s="6">
        <v>1511674.277</v>
      </c>
      <c r="D2019" s="6">
        <v>694049.07400000002</v>
      </c>
      <c r="E2019" s="2" t="s">
        <v>35</v>
      </c>
      <c r="F2019" s="1">
        <v>24</v>
      </c>
      <c r="G2019" s="2" t="s">
        <v>50</v>
      </c>
      <c r="J2019"/>
      <c r="K2019" s="19"/>
      <c r="L2019" s="21"/>
      <c r="M2019" s="27"/>
      <c r="N2019" s="19"/>
      <c r="O2019" s="21"/>
      <c r="Q2019" s="7">
        <f>Table2[[#This Row],[Elevation
PILE TOP]]-Table2[[#This Row],[LENGTH(m.)
(Actual)]]</f>
        <v>0</v>
      </c>
      <c r="R2019" s="2"/>
      <c r="S2019" s="7">
        <f>Table2[[#This Row],[N]]+Table2[[#This Row],[Pile 
Deviation 
N (m)]]</f>
        <v>1511674.277</v>
      </c>
      <c r="T2019" s="7">
        <f>Table2[[#This Row],[E]]+Table2[[#This Row],[Pile 
Deviation 
E (m)]]</f>
        <v>694049.07400000002</v>
      </c>
      <c r="W2019" s="7">
        <v>0.24</v>
      </c>
      <c r="X2019" s="2" t="s">
        <v>51</v>
      </c>
    </row>
    <row r="2020" spans="1:27" x14ac:dyDescent="0.65">
      <c r="A2020">
        <v>2014</v>
      </c>
      <c r="B2020" t="s">
        <v>29</v>
      </c>
      <c r="C2020" s="6">
        <v>1511674.0249999999</v>
      </c>
      <c r="D2020" s="6">
        <v>694019.08200000005</v>
      </c>
      <c r="E2020" s="2" t="s">
        <v>35</v>
      </c>
      <c r="F2020" s="1">
        <v>24</v>
      </c>
      <c r="G2020" s="2" t="s">
        <v>50</v>
      </c>
      <c r="J2020"/>
      <c r="K2020" s="19"/>
      <c r="L2020" s="21"/>
      <c r="M2020" s="27"/>
      <c r="N2020" s="19"/>
      <c r="O2020" s="21"/>
      <c r="Q2020" s="7">
        <f>Table2[[#This Row],[Elevation
PILE TOP]]-Table2[[#This Row],[LENGTH(m.)
(Actual)]]</f>
        <v>0</v>
      </c>
      <c r="R2020" s="2"/>
      <c r="S2020" s="7">
        <f>Table2[[#This Row],[N]]+Table2[[#This Row],[Pile 
Deviation 
N (m)]]</f>
        <v>1511674.0249999999</v>
      </c>
      <c r="T2020" s="7">
        <f>Table2[[#This Row],[E]]+Table2[[#This Row],[Pile 
Deviation 
E (m)]]</f>
        <v>694019.08200000005</v>
      </c>
      <c r="W2020" s="7">
        <v>0.24</v>
      </c>
      <c r="X2020" s="2" t="s">
        <v>51</v>
      </c>
      <c r="AA2020" s="9">
        <v>46198</v>
      </c>
    </row>
    <row r="2021" spans="1:27" ht="13.95" hidden="1" customHeight="1" x14ac:dyDescent="0.65">
      <c r="A2021">
        <v>2015</v>
      </c>
      <c r="B2021" t="s">
        <v>29</v>
      </c>
      <c r="C2021" s="6">
        <v>1511673.892</v>
      </c>
      <c r="D2021" s="6">
        <v>694090.03899999999</v>
      </c>
      <c r="E2021" s="2" t="s">
        <v>35</v>
      </c>
      <c r="F2021" s="1">
        <v>24</v>
      </c>
      <c r="G2021" s="2" t="s">
        <v>50</v>
      </c>
      <c r="J2021"/>
      <c r="K2021" s="19"/>
      <c r="L2021" s="21"/>
      <c r="M2021" s="27"/>
      <c r="N2021" s="19"/>
      <c r="O2021" s="21"/>
      <c r="Q2021" s="7">
        <f>Table2[[#This Row],[Elevation
PILE TOP]]-Table2[[#This Row],[LENGTH(m.)
(Actual)]]</f>
        <v>0</v>
      </c>
      <c r="R2021" s="2"/>
      <c r="S2021" s="7">
        <f>Table2[[#This Row],[N]]+Table2[[#This Row],[Pile 
Deviation 
N (m)]]</f>
        <v>1511673.892</v>
      </c>
      <c r="T2021" s="7">
        <f>Table2[[#This Row],[E]]+Table2[[#This Row],[Pile 
Deviation 
E (m)]]</f>
        <v>694090.03899999999</v>
      </c>
      <c r="W2021" s="7">
        <v>0.24</v>
      </c>
      <c r="X2021" s="2" t="s">
        <v>51</v>
      </c>
    </row>
    <row r="2022" spans="1:27" hidden="1" x14ac:dyDescent="0.65">
      <c r="A2022">
        <v>2016</v>
      </c>
      <c r="B2022" t="s">
        <v>29</v>
      </c>
      <c r="C2022" s="6">
        <v>1511673.8740000001</v>
      </c>
      <c r="D2022" s="6">
        <v>694060.13500000001</v>
      </c>
      <c r="E2022" s="2" t="s">
        <v>35</v>
      </c>
      <c r="F2022" s="1">
        <v>24</v>
      </c>
      <c r="G2022" s="2" t="s">
        <v>50</v>
      </c>
      <c r="J2022"/>
      <c r="K2022" s="19"/>
      <c r="L2022" s="21"/>
      <c r="M2022" s="27"/>
      <c r="N2022" s="19"/>
      <c r="O2022" s="21"/>
      <c r="Q2022" s="7">
        <f>Table2[[#This Row],[Elevation
PILE TOP]]-Table2[[#This Row],[LENGTH(m.)
(Actual)]]</f>
        <v>0</v>
      </c>
      <c r="R2022" s="2"/>
      <c r="S2022" s="7">
        <f>Table2[[#This Row],[N]]+Table2[[#This Row],[Pile 
Deviation 
N (m)]]</f>
        <v>1511673.8740000001</v>
      </c>
      <c r="T2022" s="7">
        <f>Table2[[#This Row],[E]]+Table2[[#This Row],[Pile 
Deviation 
E (m)]]</f>
        <v>694060.13500000001</v>
      </c>
      <c r="W2022" s="7">
        <v>0.24</v>
      </c>
      <c r="X2022" s="2" t="s">
        <v>51</v>
      </c>
    </row>
    <row r="2023" spans="1:27" ht="13.95" customHeight="1" x14ac:dyDescent="0.65">
      <c r="A2023">
        <v>2017</v>
      </c>
      <c r="B2023" t="s">
        <v>29</v>
      </c>
      <c r="C2023" s="6">
        <v>1511673.8559999999</v>
      </c>
      <c r="D2023" s="6">
        <v>694030.23100000003</v>
      </c>
      <c r="E2023" s="2" t="s">
        <v>35</v>
      </c>
      <c r="F2023" s="1">
        <v>24</v>
      </c>
      <c r="G2023" s="2" t="s">
        <v>50</v>
      </c>
      <c r="J2023"/>
      <c r="K2023" s="19"/>
      <c r="L2023" s="21"/>
      <c r="M2023" s="27"/>
      <c r="N2023" s="19"/>
      <c r="O2023" s="21"/>
      <c r="Q2023" s="7">
        <f>Table2[[#This Row],[Elevation
PILE TOP]]-Table2[[#This Row],[LENGTH(m.)
(Actual)]]</f>
        <v>0</v>
      </c>
      <c r="R2023" s="2"/>
      <c r="S2023" s="7">
        <f>Table2[[#This Row],[N]]+Table2[[#This Row],[Pile 
Deviation 
N (m)]]</f>
        <v>1511673.8559999999</v>
      </c>
      <c r="T2023" s="7">
        <f>Table2[[#This Row],[E]]+Table2[[#This Row],[Pile 
Deviation 
E (m)]]</f>
        <v>694030.23100000003</v>
      </c>
      <c r="W2023" s="7">
        <v>0.24</v>
      </c>
      <c r="X2023" s="2" t="s">
        <v>51</v>
      </c>
      <c r="AA2023" s="9">
        <v>46197</v>
      </c>
    </row>
    <row r="2024" spans="1:27" hidden="1" x14ac:dyDescent="0.65">
      <c r="A2024">
        <v>2018</v>
      </c>
      <c r="B2024" t="s">
        <v>29</v>
      </c>
      <c r="C2024" s="6">
        <v>1511673.7439999999</v>
      </c>
      <c r="D2024" s="6">
        <v>694127.6</v>
      </c>
      <c r="E2024" s="2" t="s">
        <v>35</v>
      </c>
      <c r="F2024" s="1">
        <v>24</v>
      </c>
      <c r="G2024" s="2" t="s">
        <v>50</v>
      </c>
      <c r="J2024"/>
      <c r="K2024" s="19"/>
      <c r="L2024" s="21"/>
      <c r="M2024" s="27"/>
      <c r="N2024" s="19"/>
      <c r="O2024" s="21"/>
      <c r="Q2024" s="7">
        <f>Table2[[#This Row],[Elevation
PILE TOP]]-Table2[[#This Row],[LENGTH(m.)
(Actual)]]</f>
        <v>0</v>
      </c>
      <c r="R2024" s="2"/>
      <c r="S2024" s="7">
        <f>Table2[[#This Row],[N]]+Table2[[#This Row],[Pile 
Deviation 
N (m)]]</f>
        <v>1511673.7439999999</v>
      </c>
      <c r="T2024" s="7">
        <f>Table2[[#This Row],[E]]+Table2[[#This Row],[Pile 
Deviation 
E (m)]]</f>
        <v>694127.6</v>
      </c>
      <c r="W2024" s="7">
        <v>0.24</v>
      </c>
      <c r="X2024" s="2" t="s">
        <v>51</v>
      </c>
    </row>
    <row r="2025" spans="1:27" ht="13.95" hidden="1" customHeight="1" x14ac:dyDescent="0.65">
      <c r="A2025">
        <v>2019</v>
      </c>
      <c r="B2025" t="s">
        <v>29</v>
      </c>
      <c r="C2025" s="6">
        <v>1511673.7339999999</v>
      </c>
      <c r="D2025" s="6">
        <v>694108.75199999998</v>
      </c>
      <c r="E2025" s="2" t="s">
        <v>35</v>
      </c>
      <c r="F2025" s="1">
        <v>24</v>
      </c>
      <c r="G2025" s="2" t="s">
        <v>50</v>
      </c>
      <c r="J2025"/>
      <c r="K2025" s="19"/>
      <c r="L2025" s="21"/>
      <c r="M2025" s="27"/>
      <c r="N2025" s="19"/>
      <c r="O2025" s="21"/>
      <c r="Q2025" s="7">
        <f>Table2[[#This Row],[Elevation
PILE TOP]]-Table2[[#This Row],[LENGTH(m.)
(Actual)]]</f>
        <v>0</v>
      </c>
      <c r="R2025" s="2"/>
      <c r="S2025" s="7">
        <f>Table2[[#This Row],[N]]+Table2[[#This Row],[Pile 
Deviation 
N (m)]]</f>
        <v>1511673.7339999999</v>
      </c>
      <c r="T2025" s="7">
        <f>Table2[[#This Row],[E]]+Table2[[#This Row],[Pile 
Deviation 
E (m)]]</f>
        <v>694108.75199999998</v>
      </c>
      <c r="W2025" s="7">
        <v>0.24</v>
      </c>
      <c r="X2025" s="2" t="s">
        <v>51</v>
      </c>
    </row>
    <row r="2026" spans="1:27" hidden="1" x14ac:dyDescent="0.65">
      <c r="A2026">
        <v>2020</v>
      </c>
      <c r="B2026" t="s">
        <v>29</v>
      </c>
      <c r="C2026" s="6">
        <v>1511673.4709999999</v>
      </c>
      <c r="D2026" s="6">
        <v>694071.19499999995</v>
      </c>
      <c r="E2026" s="2" t="s">
        <v>35</v>
      </c>
      <c r="F2026" s="1">
        <v>24</v>
      </c>
      <c r="G2026" s="2" t="s">
        <v>50</v>
      </c>
      <c r="J2026"/>
      <c r="K2026" s="19"/>
      <c r="L2026" s="21"/>
      <c r="M2026" s="27"/>
      <c r="N2026" s="19"/>
      <c r="O2026" s="21"/>
      <c r="Q2026" s="7">
        <f>Table2[[#This Row],[Elevation
PILE TOP]]-Table2[[#This Row],[LENGTH(m.)
(Actual)]]</f>
        <v>0</v>
      </c>
      <c r="R2026" s="2"/>
      <c r="S2026" s="7">
        <f>Table2[[#This Row],[N]]+Table2[[#This Row],[Pile 
Deviation 
N (m)]]</f>
        <v>1511673.4709999999</v>
      </c>
      <c r="T2026" s="7">
        <f>Table2[[#This Row],[E]]+Table2[[#This Row],[Pile 
Deviation 
E (m)]]</f>
        <v>694071.19499999995</v>
      </c>
      <c r="W2026" s="7">
        <v>0.24</v>
      </c>
      <c r="X2026" s="2" t="s">
        <v>51</v>
      </c>
    </row>
    <row r="2027" spans="1:27" ht="13.95" hidden="1" customHeight="1" x14ac:dyDescent="0.65">
      <c r="A2027">
        <v>2021</v>
      </c>
      <c r="B2027" t="s">
        <v>29</v>
      </c>
      <c r="C2027" s="6">
        <v>1511673.453</v>
      </c>
      <c r="D2027" s="6">
        <v>694041.29099999997</v>
      </c>
      <c r="E2027" s="2" t="s">
        <v>35</v>
      </c>
      <c r="F2027" s="1">
        <v>24</v>
      </c>
      <c r="G2027" s="2" t="s">
        <v>50</v>
      </c>
      <c r="J2027"/>
      <c r="K2027" s="19"/>
      <c r="L2027" s="21"/>
      <c r="M2027" s="27"/>
      <c r="N2027" s="19"/>
      <c r="O2027" s="21"/>
      <c r="Q2027" s="7">
        <f>Table2[[#This Row],[Elevation
PILE TOP]]-Table2[[#This Row],[LENGTH(m.)
(Actual)]]</f>
        <v>0</v>
      </c>
      <c r="R2027" s="2"/>
      <c r="S2027" s="7">
        <f>Table2[[#This Row],[N]]+Table2[[#This Row],[Pile 
Deviation 
N (m)]]</f>
        <v>1511673.453</v>
      </c>
      <c r="T2027" s="7">
        <f>Table2[[#This Row],[E]]+Table2[[#This Row],[Pile 
Deviation 
E (m)]]</f>
        <v>694041.29099999997</v>
      </c>
      <c r="W2027" s="7">
        <v>0.24</v>
      </c>
      <c r="X2027" s="2" t="s">
        <v>51</v>
      </c>
    </row>
    <row r="2028" spans="1:27" hidden="1" x14ac:dyDescent="0.65">
      <c r="A2028">
        <v>2022</v>
      </c>
      <c r="B2028" t="s">
        <v>29</v>
      </c>
      <c r="C2028" s="6">
        <v>1511673.142</v>
      </c>
      <c r="D2028" s="6">
        <v>693912.60400000005</v>
      </c>
      <c r="E2028" s="2" t="s">
        <v>35</v>
      </c>
      <c r="F2028" s="1">
        <v>24</v>
      </c>
      <c r="G2028" s="2" t="s">
        <v>50</v>
      </c>
      <c r="J2028"/>
      <c r="K2028" s="19"/>
      <c r="L2028" s="21"/>
      <c r="M2028" s="27"/>
      <c r="N2028" s="19"/>
      <c r="O2028" s="21"/>
      <c r="Q2028" s="7">
        <f>Table2[[#This Row],[Elevation
PILE TOP]]-Table2[[#This Row],[LENGTH(m.)
(Actual)]]</f>
        <v>0</v>
      </c>
      <c r="R2028" s="2"/>
      <c r="S2028" s="7">
        <f>Table2[[#This Row],[N]]+Table2[[#This Row],[Pile 
Deviation 
N (m)]]</f>
        <v>1511673.142</v>
      </c>
      <c r="T2028" s="7">
        <f>Table2[[#This Row],[E]]+Table2[[#This Row],[Pile 
Deviation 
E (m)]]</f>
        <v>693912.60400000005</v>
      </c>
      <c r="W2028" s="7">
        <v>0.24</v>
      </c>
      <c r="X2028" s="2" t="s">
        <v>51</v>
      </c>
      <c r="AA2028" s="9">
        <v>46206</v>
      </c>
    </row>
    <row r="2029" spans="1:27" ht="13.95" hidden="1" customHeight="1" x14ac:dyDescent="0.65">
      <c r="A2029">
        <v>2023</v>
      </c>
      <c r="B2029" t="s">
        <v>29</v>
      </c>
      <c r="C2029" s="6">
        <v>1511673.09</v>
      </c>
      <c r="D2029" s="6">
        <v>694119.80099999998</v>
      </c>
      <c r="E2029" s="2" t="s">
        <v>35</v>
      </c>
      <c r="F2029" s="1">
        <v>24</v>
      </c>
      <c r="G2029" s="2" t="s">
        <v>50</v>
      </c>
      <c r="J2029"/>
      <c r="K2029" s="19"/>
      <c r="L2029" s="21"/>
      <c r="M2029" s="27"/>
      <c r="N2029" s="19"/>
      <c r="O2029" s="21"/>
      <c r="Q2029" s="7">
        <f>Table2[[#This Row],[Elevation
PILE TOP]]-Table2[[#This Row],[LENGTH(m.)
(Actual)]]</f>
        <v>0</v>
      </c>
      <c r="R2029" s="2"/>
      <c r="S2029" s="7">
        <f>Table2[[#This Row],[N]]+Table2[[#This Row],[Pile 
Deviation 
N (m)]]</f>
        <v>1511673.09</v>
      </c>
      <c r="T2029" s="7">
        <f>Table2[[#This Row],[E]]+Table2[[#This Row],[Pile 
Deviation 
E (m)]]</f>
        <v>694119.80099999998</v>
      </c>
      <c r="W2029" s="7">
        <v>0.24</v>
      </c>
      <c r="X2029" s="2" t="s">
        <v>51</v>
      </c>
    </row>
    <row r="2030" spans="1:27" hidden="1" x14ac:dyDescent="0.65">
      <c r="A2030">
        <v>2024</v>
      </c>
      <c r="B2030" t="s">
        <v>29</v>
      </c>
      <c r="C2030" s="6">
        <v>1511673.0789999999</v>
      </c>
      <c r="D2030" s="6">
        <v>694100.95299999998</v>
      </c>
      <c r="E2030" s="2" t="s">
        <v>35</v>
      </c>
      <c r="F2030" s="1">
        <v>24</v>
      </c>
      <c r="G2030" s="2" t="s">
        <v>50</v>
      </c>
      <c r="J2030"/>
      <c r="K2030" s="19"/>
      <c r="L2030" s="21"/>
      <c r="M2030" s="27"/>
      <c r="N2030" s="19"/>
      <c r="O2030" s="21"/>
      <c r="Q2030" s="7">
        <f>Table2[[#This Row],[Elevation
PILE TOP]]-Table2[[#This Row],[LENGTH(m.)
(Actual)]]</f>
        <v>0</v>
      </c>
      <c r="R2030" s="2"/>
      <c r="S2030" s="7">
        <f>Table2[[#This Row],[N]]+Table2[[#This Row],[Pile 
Deviation 
N (m)]]</f>
        <v>1511673.0789999999</v>
      </c>
      <c r="T2030" s="7">
        <f>Table2[[#This Row],[E]]+Table2[[#This Row],[Pile 
Deviation 
E (m)]]</f>
        <v>694100.95299999998</v>
      </c>
      <c r="W2030" s="7">
        <v>0.24</v>
      </c>
      <c r="X2030" s="2" t="s">
        <v>51</v>
      </c>
    </row>
    <row r="2031" spans="1:27" ht="13.95" hidden="1" customHeight="1" x14ac:dyDescent="0.65">
      <c r="A2031">
        <v>2025</v>
      </c>
      <c r="B2031" t="s">
        <v>29</v>
      </c>
      <c r="C2031" s="6">
        <v>1511673.068</v>
      </c>
      <c r="D2031" s="6">
        <v>694082.25600000005</v>
      </c>
      <c r="E2031" s="2" t="s">
        <v>35</v>
      </c>
      <c r="F2031" s="1">
        <v>24</v>
      </c>
      <c r="G2031" s="2" t="s">
        <v>50</v>
      </c>
      <c r="J2031"/>
      <c r="K2031" s="19"/>
      <c r="L2031" s="21"/>
      <c r="M2031" s="27"/>
      <c r="N2031" s="19"/>
      <c r="O2031" s="21"/>
      <c r="Q2031" s="7">
        <f>Table2[[#This Row],[Elevation
PILE TOP]]-Table2[[#This Row],[LENGTH(m.)
(Actual)]]</f>
        <v>0</v>
      </c>
      <c r="R2031" s="2"/>
      <c r="S2031" s="7">
        <f>Table2[[#This Row],[N]]+Table2[[#This Row],[Pile 
Deviation 
N (m)]]</f>
        <v>1511673.068</v>
      </c>
      <c r="T2031" s="7">
        <f>Table2[[#This Row],[E]]+Table2[[#This Row],[Pile 
Deviation 
E (m)]]</f>
        <v>694082.25600000005</v>
      </c>
      <c r="W2031" s="7">
        <v>0.24</v>
      </c>
      <c r="X2031" s="2" t="s">
        <v>51</v>
      </c>
    </row>
    <row r="2032" spans="1:27" hidden="1" x14ac:dyDescent="0.65">
      <c r="A2032">
        <v>2026</v>
      </c>
      <c r="B2032" t="s">
        <v>29</v>
      </c>
      <c r="C2032" s="6">
        <v>1511673.05</v>
      </c>
      <c r="D2032" s="6">
        <v>694052.35199999996</v>
      </c>
      <c r="E2032" s="2" t="s">
        <v>35</v>
      </c>
      <c r="F2032" s="1">
        <v>24</v>
      </c>
      <c r="G2032" s="2" t="s">
        <v>50</v>
      </c>
      <c r="J2032"/>
      <c r="K2032" s="19"/>
      <c r="L2032" s="21"/>
      <c r="M2032" s="27"/>
      <c r="N2032" s="19"/>
      <c r="O2032" s="21"/>
      <c r="Q2032" s="7">
        <f>Table2[[#This Row],[Elevation
PILE TOP]]-Table2[[#This Row],[LENGTH(m.)
(Actual)]]</f>
        <v>0</v>
      </c>
      <c r="R2032" s="2"/>
      <c r="S2032" s="7">
        <f>Table2[[#This Row],[N]]+Table2[[#This Row],[Pile 
Deviation 
N (m)]]</f>
        <v>1511673.05</v>
      </c>
      <c r="T2032" s="7">
        <f>Table2[[#This Row],[E]]+Table2[[#This Row],[Pile 
Deviation 
E (m)]]</f>
        <v>694052.35199999996</v>
      </c>
      <c r="W2032" s="7">
        <v>0.24</v>
      </c>
      <c r="X2032" s="2" t="s">
        <v>51</v>
      </c>
    </row>
    <row r="2033" spans="1:27" ht="13.95" customHeight="1" x14ac:dyDescent="0.65">
      <c r="A2033">
        <v>2027</v>
      </c>
      <c r="B2033" t="s">
        <v>29</v>
      </c>
      <c r="C2033" s="6">
        <v>1511672.798</v>
      </c>
      <c r="D2033" s="6">
        <v>694022.36</v>
      </c>
      <c r="E2033" s="2" t="s">
        <v>35</v>
      </c>
      <c r="F2033" s="1">
        <v>24</v>
      </c>
      <c r="G2033" s="2" t="s">
        <v>50</v>
      </c>
      <c r="J2033"/>
      <c r="K2033" s="19"/>
      <c r="L2033" s="21"/>
      <c r="M2033" s="27"/>
      <c r="N2033" s="19"/>
      <c r="O2033" s="21"/>
      <c r="Q2033" s="7">
        <f>Table2[[#This Row],[Elevation
PILE TOP]]-Table2[[#This Row],[LENGTH(m.)
(Actual)]]</f>
        <v>0</v>
      </c>
      <c r="R2033" s="2"/>
      <c r="S2033" s="7">
        <f>Table2[[#This Row],[N]]+Table2[[#This Row],[Pile 
Deviation 
N (m)]]</f>
        <v>1511672.798</v>
      </c>
      <c r="T2033" s="7">
        <f>Table2[[#This Row],[E]]+Table2[[#This Row],[Pile 
Deviation 
E (m)]]</f>
        <v>694022.36</v>
      </c>
      <c r="W2033" s="7">
        <v>0.24</v>
      </c>
      <c r="X2033" s="2" t="s">
        <v>51</v>
      </c>
      <c r="AA2033" s="9">
        <v>46197</v>
      </c>
    </row>
    <row r="2034" spans="1:27" hidden="1" x14ac:dyDescent="0.65">
      <c r="A2034">
        <v>2028</v>
      </c>
      <c r="B2034" t="s">
        <v>29</v>
      </c>
      <c r="C2034" s="6">
        <v>1511672.665</v>
      </c>
      <c r="D2034" s="6">
        <v>694093.31599999999</v>
      </c>
      <c r="E2034" s="2" t="s">
        <v>35</v>
      </c>
      <c r="F2034" s="1">
        <v>24</v>
      </c>
      <c r="G2034" s="2" t="s">
        <v>50</v>
      </c>
      <c r="J2034"/>
      <c r="K2034" s="19"/>
      <c r="L2034" s="21"/>
      <c r="M2034" s="27"/>
      <c r="N2034" s="19"/>
      <c r="O2034" s="21"/>
      <c r="Q2034" s="7">
        <f>Table2[[#This Row],[Elevation
PILE TOP]]-Table2[[#This Row],[LENGTH(m.)
(Actual)]]</f>
        <v>0</v>
      </c>
      <c r="R2034" s="2"/>
      <c r="S2034" s="7">
        <f>Table2[[#This Row],[N]]+Table2[[#This Row],[Pile 
Deviation 
N (m)]]</f>
        <v>1511672.665</v>
      </c>
      <c r="T2034" s="7">
        <f>Table2[[#This Row],[E]]+Table2[[#This Row],[Pile 
Deviation 
E (m)]]</f>
        <v>694093.31599999999</v>
      </c>
      <c r="W2034" s="7">
        <v>0.24</v>
      </c>
      <c r="X2034" s="2" t="s">
        <v>51</v>
      </c>
    </row>
    <row r="2035" spans="1:27" ht="13.95" hidden="1" customHeight="1" x14ac:dyDescent="0.65">
      <c r="A2035">
        <v>2029</v>
      </c>
      <c r="B2035" t="s">
        <v>29</v>
      </c>
      <c r="C2035" s="6">
        <v>1511672.6470000001</v>
      </c>
      <c r="D2035" s="6">
        <v>694063.41200000001</v>
      </c>
      <c r="E2035" s="2" t="s">
        <v>35</v>
      </c>
      <c r="F2035" s="1">
        <v>24</v>
      </c>
      <c r="G2035" s="2" t="s">
        <v>50</v>
      </c>
      <c r="J2035"/>
      <c r="K2035" s="19"/>
      <c r="L2035" s="21"/>
      <c r="M2035" s="27"/>
      <c r="N2035" s="19"/>
      <c r="O2035" s="21"/>
      <c r="Q2035" s="7">
        <f>Table2[[#This Row],[Elevation
PILE TOP]]-Table2[[#This Row],[LENGTH(m.)
(Actual)]]</f>
        <v>0</v>
      </c>
      <c r="R2035" s="2"/>
      <c r="S2035" s="7">
        <f>Table2[[#This Row],[N]]+Table2[[#This Row],[Pile 
Deviation 
N (m)]]</f>
        <v>1511672.6470000001</v>
      </c>
      <c r="T2035" s="7">
        <f>Table2[[#This Row],[E]]+Table2[[#This Row],[Pile 
Deviation 
E (m)]]</f>
        <v>694063.41200000001</v>
      </c>
      <c r="W2035" s="7">
        <v>0.24</v>
      </c>
      <c r="X2035" s="2" t="s">
        <v>51</v>
      </c>
    </row>
    <row r="2036" spans="1:27" x14ac:dyDescent="0.65">
      <c r="A2036">
        <v>2030</v>
      </c>
      <c r="B2036" t="s">
        <v>29</v>
      </c>
      <c r="C2036" s="6">
        <v>1511672.629</v>
      </c>
      <c r="D2036" s="6">
        <v>694033.50800000003</v>
      </c>
      <c r="E2036" s="2" t="s">
        <v>35</v>
      </c>
      <c r="F2036" s="1">
        <v>24</v>
      </c>
      <c r="G2036" s="2" t="s">
        <v>50</v>
      </c>
      <c r="J2036"/>
      <c r="K2036" s="19"/>
      <c r="L2036" s="21"/>
      <c r="M2036" s="27"/>
      <c r="N2036" s="19"/>
      <c r="O2036" s="21"/>
      <c r="Q2036" s="7">
        <f>Table2[[#This Row],[Elevation
PILE TOP]]-Table2[[#This Row],[LENGTH(m.)
(Actual)]]</f>
        <v>0</v>
      </c>
      <c r="R2036" s="2"/>
      <c r="S2036" s="7">
        <f>Table2[[#This Row],[N]]+Table2[[#This Row],[Pile 
Deviation 
N (m)]]</f>
        <v>1511672.629</v>
      </c>
      <c r="T2036" s="7">
        <f>Table2[[#This Row],[E]]+Table2[[#This Row],[Pile 
Deviation 
E (m)]]</f>
        <v>694033.50800000003</v>
      </c>
      <c r="W2036" s="7">
        <v>0.24</v>
      </c>
      <c r="X2036" s="2" t="s">
        <v>51</v>
      </c>
      <c r="AA2036" s="9">
        <v>46196</v>
      </c>
    </row>
    <row r="2037" spans="1:27" ht="13.95" hidden="1" customHeight="1" x14ac:dyDescent="0.65">
      <c r="A2037">
        <v>2031</v>
      </c>
      <c r="B2037" t="s">
        <v>29</v>
      </c>
      <c r="C2037" s="6">
        <v>1511672.446</v>
      </c>
      <c r="D2037" s="6">
        <v>694130.85</v>
      </c>
      <c r="E2037" s="2" t="s">
        <v>35</v>
      </c>
      <c r="F2037" s="1">
        <v>24</v>
      </c>
      <c r="G2037" s="2" t="s">
        <v>50</v>
      </c>
      <c r="J2037"/>
      <c r="K2037" s="19"/>
      <c r="L2037" s="21"/>
      <c r="M2037" s="27"/>
      <c r="N2037" s="19"/>
      <c r="O2037" s="21"/>
      <c r="Q2037" s="7">
        <f>Table2[[#This Row],[Elevation
PILE TOP]]-Table2[[#This Row],[LENGTH(m.)
(Actual)]]</f>
        <v>0</v>
      </c>
      <c r="R2037" s="2"/>
      <c r="S2037" s="7">
        <f>Table2[[#This Row],[N]]+Table2[[#This Row],[Pile 
Deviation 
N (m)]]</f>
        <v>1511672.446</v>
      </c>
      <c r="T2037" s="7">
        <f>Table2[[#This Row],[E]]+Table2[[#This Row],[Pile 
Deviation 
E (m)]]</f>
        <v>694130.85</v>
      </c>
      <c r="W2037" s="7">
        <v>0.24</v>
      </c>
      <c r="X2037" s="2" t="s">
        <v>51</v>
      </c>
    </row>
    <row r="2038" spans="1:27" hidden="1" x14ac:dyDescent="0.65">
      <c r="A2038">
        <v>2032</v>
      </c>
      <c r="B2038" t="s">
        <v>29</v>
      </c>
      <c r="C2038" s="6">
        <v>1511672.436</v>
      </c>
      <c r="D2038" s="6">
        <v>694112.00199999998</v>
      </c>
      <c r="E2038" s="2" t="s">
        <v>35</v>
      </c>
      <c r="F2038" s="1">
        <v>24</v>
      </c>
      <c r="G2038" s="2" t="s">
        <v>50</v>
      </c>
      <c r="J2038"/>
      <c r="K2038" s="19"/>
      <c r="L2038" s="21"/>
      <c r="M2038" s="27"/>
      <c r="N2038" s="19"/>
      <c r="O2038" s="21"/>
      <c r="Q2038" s="7">
        <f>Table2[[#This Row],[Elevation
PILE TOP]]-Table2[[#This Row],[LENGTH(m.)
(Actual)]]</f>
        <v>0</v>
      </c>
      <c r="R2038" s="2"/>
      <c r="S2038" s="7">
        <f>Table2[[#This Row],[N]]+Table2[[#This Row],[Pile 
Deviation 
N (m)]]</f>
        <v>1511672.436</v>
      </c>
      <c r="T2038" s="7">
        <f>Table2[[#This Row],[E]]+Table2[[#This Row],[Pile 
Deviation 
E (m)]]</f>
        <v>694112.00199999998</v>
      </c>
      <c r="W2038" s="7">
        <v>0.24</v>
      </c>
      <c r="X2038" s="2" t="s">
        <v>51</v>
      </c>
    </row>
    <row r="2039" spans="1:27" ht="13.95" hidden="1" customHeight="1" x14ac:dyDescent="0.65">
      <c r="A2039">
        <v>2033</v>
      </c>
      <c r="B2039" t="s">
        <v>29</v>
      </c>
      <c r="C2039" s="6">
        <v>1511672.2439999999</v>
      </c>
      <c r="D2039" s="6">
        <v>694074.473</v>
      </c>
      <c r="E2039" s="2" t="s">
        <v>35</v>
      </c>
      <c r="F2039" s="1">
        <v>24</v>
      </c>
      <c r="G2039" s="2" t="s">
        <v>50</v>
      </c>
      <c r="J2039"/>
      <c r="K2039" s="19"/>
      <c r="L2039" s="21"/>
      <c r="M2039" s="27"/>
      <c r="N2039" s="19"/>
      <c r="O2039" s="21"/>
      <c r="Q2039" s="7">
        <f>Table2[[#This Row],[Elevation
PILE TOP]]-Table2[[#This Row],[LENGTH(m.)
(Actual)]]</f>
        <v>0</v>
      </c>
      <c r="R2039" s="2"/>
      <c r="S2039" s="7">
        <f>Table2[[#This Row],[N]]+Table2[[#This Row],[Pile 
Deviation 
N (m)]]</f>
        <v>1511672.2439999999</v>
      </c>
      <c r="T2039" s="7">
        <f>Table2[[#This Row],[E]]+Table2[[#This Row],[Pile 
Deviation 
E (m)]]</f>
        <v>694074.473</v>
      </c>
      <c r="W2039" s="7">
        <v>0.24</v>
      </c>
      <c r="X2039" s="2" t="s">
        <v>51</v>
      </c>
    </row>
    <row r="2040" spans="1:27" hidden="1" x14ac:dyDescent="0.65">
      <c r="A2040">
        <v>2034</v>
      </c>
      <c r="B2040" t="s">
        <v>29</v>
      </c>
      <c r="C2040" s="6">
        <v>1511672.2379999999</v>
      </c>
      <c r="D2040" s="6">
        <v>693925.24</v>
      </c>
      <c r="E2040" s="2" t="s">
        <v>35</v>
      </c>
      <c r="F2040" s="1">
        <v>24</v>
      </c>
      <c r="G2040" s="2" t="s">
        <v>50</v>
      </c>
      <c r="J2040"/>
      <c r="K2040" s="19"/>
      <c r="L2040" s="21"/>
      <c r="M2040" s="27"/>
      <c r="N2040" s="19"/>
      <c r="O2040" s="21"/>
      <c r="Q2040" s="7">
        <f>Table2[[#This Row],[Elevation
PILE TOP]]-Table2[[#This Row],[LENGTH(m.)
(Actual)]]</f>
        <v>0</v>
      </c>
      <c r="R2040" s="2"/>
      <c r="S2040" s="7">
        <f>Table2[[#This Row],[N]]+Table2[[#This Row],[Pile 
Deviation 
N (m)]]</f>
        <v>1511672.2379999999</v>
      </c>
      <c r="T2040" s="7">
        <f>Table2[[#This Row],[E]]+Table2[[#This Row],[Pile 
Deviation 
E (m)]]</f>
        <v>693925.24</v>
      </c>
      <c r="W2040" s="7">
        <v>0.24</v>
      </c>
      <c r="X2040" s="2" t="s">
        <v>51</v>
      </c>
      <c r="AA2040" s="9">
        <v>46205</v>
      </c>
    </row>
    <row r="2041" spans="1:27" ht="13.95" hidden="1" customHeight="1" x14ac:dyDescent="0.65">
      <c r="A2041">
        <v>2035</v>
      </c>
      <c r="B2041" t="s">
        <v>29</v>
      </c>
      <c r="C2041" s="6">
        <v>1511672.226</v>
      </c>
      <c r="D2041" s="6">
        <v>694044.56900000002</v>
      </c>
      <c r="E2041" s="2" t="s">
        <v>35</v>
      </c>
      <c r="F2041" s="1">
        <v>24</v>
      </c>
      <c r="G2041" s="2" t="s">
        <v>50</v>
      </c>
      <c r="J2041"/>
      <c r="K2041" s="19"/>
      <c r="L2041" s="21"/>
      <c r="M2041" s="27"/>
      <c r="N2041" s="19"/>
      <c r="O2041" s="21"/>
      <c r="Q2041" s="7">
        <f>Table2[[#This Row],[Elevation
PILE TOP]]-Table2[[#This Row],[LENGTH(m.)
(Actual)]]</f>
        <v>0</v>
      </c>
      <c r="R2041" s="2"/>
      <c r="S2041" s="7">
        <f>Table2[[#This Row],[N]]+Table2[[#This Row],[Pile 
Deviation 
N (m)]]</f>
        <v>1511672.226</v>
      </c>
      <c r="T2041" s="7">
        <f>Table2[[#This Row],[E]]+Table2[[#This Row],[Pile 
Deviation 
E (m)]]</f>
        <v>694044.56900000002</v>
      </c>
      <c r="W2041" s="7">
        <v>0.24</v>
      </c>
      <c r="X2041" s="2" t="s">
        <v>51</v>
      </c>
    </row>
    <row r="2042" spans="1:27" hidden="1" x14ac:dyDescent="0.65">
      <c r="A2042">
        <v>2036</v>
      </c>
      <c r="B2042" t="s">
        <v>29</v>
      </c>
      <c r="C2042" s="6">
        <v>1511671.9569999999</v>
      </c>
      <c r="D2042" s="6">
        <v>693915.89800000004</v>
      </c>
      <c r="E2042" s="2" t="s">
        <v>35</v>
      </c>
      <c r="F2042" s="1">
        <v>24</v>
      </c>
      <c r="G2042" s="2" t="s">
        <v>50</v>
      </c>
      <c r="J2042"/>
      <c r="K2042" s="19"/>
      <c r="L2042" s="21"/>
      <c r="M2042" s="27"/>
      <c r="N2042" s="19"/>
      <c r="O2042" s="21"/>
      <c r="Q2042" s="7">
        <f>Table2[[#This Row],[Elevation
PILE TOP]]-Table2[[#This Row],[LENGTH(m.)
(Actual)]]</f>
        <v>0</v>
      </c>
      <c r="R2042" s="2"/>
      <c r="S2042" s="7">
        <f>Table2[[#This Row],[N]]+Table2[[#This Row],[Pile 
Deviation 
N (m)]]</f>
        <v>1511671.9569999999</v>
      </c>
      <c r="T2042" s="7">
        <f>Table2[[#This Row],[E]]+Table2[[#This Row],[Pile 
Deviation 
E (m)]]</f>
        <v>693915.89800000004</v>
      </c>
      <c r="W2042" s="7">
        <v>0.24</v>
      </c>
      <c r="X2042" s="2" t="s">
        <v>51</v>
      </c>
      <c r="AA2042" s="9">
        <v>46206</v>
      </c>
    </row>
    <row r="2043" spans="1:27" ht="13.95" hidden="1" customHeight="1" x14ac:dyDescent="0.65">
      <c r="A2043">
        <v>2037</v>
      </c>
      <c r="B2043" t="s">
        <v>29</v>
      </c>
      <c r="C2043" s="6">
        <v>1511671.841</v>
      </c>
      <c r="D2043" s="6">
        <v>694085.53399999999</v>
      </c>
      <c r="E2043" s="2" t="s">
        <v>35</v>
      </c>
      <c r="F2043" s="1">
        <v>24</v>
      </c>
      <c r="G2043" s="2" t="s">
        <v>50</v>
      </c>
      <c r="J2043"/>
      <c r="K2043" s="19"/>
      <c r="L2043" s="21"/>
      <c r="M2043" s="27"/>
      <c r="N2043" s="19"/>
      <c r="O2043" s="21"/>
      <c r="Q2043" s="7">
        <f>Table2[[#This Row],[Elevation
PILE TOP]]-Table2[[#This Row],[LENGTH(m.)
(Actual)]]</f>
        <v>0</v>
      </c>
      <c r="R2043" s="2"/>
      <c r="S2043" s="7">
        <f>Table2[[#This Row],[N]]+Table2[[#This Row],[Pile 
Deviation 
N (m)]]</f>
        <v>1511671.841</v>
      </c>
      <c r="T2043" s="7">
        <f>Table2[[#This Row],[E]]+Table2[[#This Row],[Pile 
Deviation 
E (m)]]</f>
        <v>694085.53399999999</v>
      </c>
      <c r="W2043" s="7">
        <v>0.24</v>
      </c>
      <c r="X2043" s="2" t="s">
        <v>51</v>
      </c>
    </row>
    <row r="2044" spans="1:27" hidden="1" x14ac:dyDescent="0.65">
      <c r="A2044">
        <v>2038</v>
      </c>
      <c r="B2044" t="s">
        <v>29</v>
      </c>
      <c r="C2044" s="6">
        <v>1511671.8230000001</v>
      </c>
      <c r="D2044" s="6">
        <v>694055.63</v>
      </c>
      <c r="E2044" s="2" t="s">
        <v>35</v>
      </c>
      <c r="F2044" s="1">
        <v>24</v>
      </c>
      <c r="G2044" s="2" t="s">
        <v>50</v>
      </c>
      <c r="J2044"/>
      <c r="K2044" s="19"/>
      <c r="L2044" s="21"/>
      <c r="M2044" s="27"/>
      <c r="N2044" s="19"/>
      <c r="O2044" s="21"/>
      <c r="Q2044" s="7">
        <f>Table2[[#This Row],[Elevation
PILE TOP]]-Table2[[#This Row],[LENGTH(m.)
(Actual)]]</f>
        <v>0</v>
      </c>
      <c r="R2044" s="2"/>
      <c r="S2044" s="7">
        <f>Table2[[#This Row],[N]]+Table2[[#This Row],[Pile 
Deviation 
N (m)]]</f>
        <v>1511671.8230000001</v>
      </c>
      <c r="T2044" s="7">
        <f>Table2[[#This Row],[E]]+Table2[[#This Row],[Pile 
Deviation 
E (m)]]</f>
        <v>694055.63</v>
      </c>
      <c r="W2044" s="7">
        <v>0.24</v>
      </c>
      <c r="X2044" s="2" t="s">
        <v>51</v>
      </c>
    </row>
    <row r="2045" spans="1:27" ht="13.95" customHeight="1" x14ac:dyDescent="0.65">
      <c r="A2045">
        <v>2039</v>
      </c>
      <c r="B2045" t="s">
        <v>29</v>
      </c>
      <c r="C2045" s="6">
        <v>1511671.8049999999</v>
      </c>
      <c r="D2045" s="6">
        <v>694025.72600000002</v>
      </c>
      <c r="E2045" s="2" t="s">
        <v>35</v>
      </c>
      <c r="F2045" s="1">
        <v>24</v>
      </c>
      <c r="G2045" s="2" t="s">
        <v>50</v>
      </c>
      <c r="J2045"/>
      <c r="K2045" s="19"/>
      <c r="L2045" s="21"/>
      <c r="M2045" s="27"/>
      <c r="N2045" s="19"/>
      <c r="O2045" s="21"/>
      <c r="Q2045" s="7">
        <f>Table2[[#This Row],[Elevation
PILE TOP]]-Table2[[#This Row],[LENGTH(m.)
(Actual)]]</f>
        <v>0</v>
      </c>
      <c r="R2045" s="2"/>
      <c r="S2045" s="7">
        <f>Table2[[#This Row],[N]]+Table2[[#This Row],[Pile 
Deviation 
N (m)]]</f>
        <v>1511671.8049999999</v>
      </c>
      <c r="T2045" s="7">
        <f>Table2[[#This Row],[E]]+Table2[[#This Row],[Pile 
Deviation 
E (m)]]</f>
        <v>694025.72600000002</v>
      </c>
      <c r="W2045" s="7">
        <v>0.24</v>
      </c>
      <c r="X2045" s="2" t="s">
        <v>51</v>
      </c>
      <c r="AA2045" s="9">
        <v>46197</v>
      </c>
    </row>
    <row r="2046" spans="1:27" hidden="1" x14ac:dyDescent="0.65">
      <c r="A2046">
        <v>2040</v>
      </c>
      <c r="B2046" t="s">
        <v>29</v>
      </c>
      <c r="C2046" s="6">
        <v>1511671.7919999999</v>
      </c>
      <c r="D2046" s="6">
        <v>694123.05099999998</v>
      </c>
      <c r="E2046" s="2" t="s">
        <v>35</v>
      </c>
      <c r="F2046" s="1">
        <v>24</v>
      </c>
      <c r="G2046" s="2" t="s">
        <v>50</v>
      </c>
      <c r="J2046"/>
      <c r="K2046" s="19"/>
      <c r="L2046" s="21"/>
      <c r="M2046" s="27"/>
      <c r="N2046" s="19"/>
      <c r="O2046" s="21"/>
      <c r="Q2046" s="7">
        <f>Table2[[#This Row],[Elevation
PILE TOP]]-Table2[[#This Row],[LENGTH(m.)
(Actual)]]</f>
        <v>0</v>
      </c>
      <c r="R2046" s="2"/>
      <c r="S2046" s="7">
        <f>Table2[[#This Row],[N]]+Table2[[#This Row],[Pile 
Deviation 
N (m)]]</f>
        <v>1511671.7919999999</v>
      </c>
      <c r="T2046" s="7">
        <f>Table2[[#This Row],[E]]+Table2[[#This Row],[Pile 
Deviation 
E (m)]]</f>
        <v>694123.05099999998</v>
      </c>
      <c r="W2046" s="7">
        <v>0.24</v>
      </c>
      <c r="X2046" s="2" t="s">
        <v>51</v>
      </c>
    </row>
    <row r="2047" spans="1:27" ht="13.95" hidden="1" customHeight="1" x14ac:dyDescent="0.65">
      <c r="A2047">
        <v>2041</v>
      </c>
      <c r="B2047" t="s">
        <v>29</v>
      </c>
      <c r="C2047" s="6">
        <v>1511671.781</v>
      </c>
      <c r="D2047" s="6">
        <v>694104.20299999998</v>
      </c>
      <c r="E2047" s="2" t="s">
        <v>35</v>
      </c>
      <c r="F2047" s="1">
        <v>24</v>
      </c>
      <c r="G2047" s="2" t="s">
        <v>50</v>
      </c>
      <c r="J2047"/>
      <c r="K2047" s="19"/>
      <c r="L2047" s="21"/>
      <c r="M2047" s="27"/>
      <c r="N2047" s="19"/>
      <c r="O2047" s="21"/>
      <c r="Q2047" s="7">
        <f>Table2[[#This Row],[Elevation
PILE TOP]]-Table2[[#This Row],[LENGTH(m.)
(Actual)]]</f>
        <v>0</v>
      </c>
      <c r="R2047" s="2"/>
      <c r="S2047" s="7">
        <f>Table2[[#This Row],[N]]+Table2[[#This Row],[Pile 
Deviation 
N (m)]]</f>
        <v>1511671.781</v>
      </c>
      <c r="T2047" s="7">
        <f>Table2[[#This Row],[E]]+Table2[[#This Row],[Pile 
Deviation 
E (m)]]</f>
        <v>694104.20299999998</v>
      </c>
      <c r="W2047" s="7">
        <v>0.24</v>
      </c>
      <c r="X2047" s="2" t="s">
        <v>51</v>
      </c>
    </row>
    <row r="2048" spans="1:27" hidden="1" x14ac:dyDescent="0.65">
      <c r="A2048">
        <v>2042</v>
      </c>
      <c r="B2048" t="s">
        <v>29</v>
      </c>
      <c r="C2048" s="6">
        <v>1511671.4580000001</v>
      </c>
      <c r="D2048" s="6">
        <v>694133.32499999995</v>
      </c>
      <c r="E2048" s="2" t="s">
        <v>35</v>
      </c>
      <c r="F2048" s="1">
        <v>24</v>
      </c>
      <c r="G2048" s="2" t="s">
        <v>50</v>
      </c>
      <c r="J2048"/>
      <c r="K2048" s="19"/>
      <c r="L2048" s="21"/>
      <c r="M2048" s="27"/>
      <c r="N2048" s="19"/>
      <c r="O2048" s="21"/>
      <c r="Q2048" s="7">
        <f>Table2[[#This Row],[Elevation
PILE TOP]]-Table2[[#This Row],[LENGTH(m.)
(Actual)]]</f>
        <v>0</v>
      </c>
      <c r="R2048" s="2"/>
      <c r="S2048" s="7">
        <f>Table2[[#This Row],[N]]+Table2[[#This Row],[Pile 
Deviation 
N (m)]]</f>
        <v>1511671.4580000001</v>
      </c>
      <c r="T2048" s="7">
        <f>Table2[[#This Row],[E]]+Table2[[#This Row],[Pile 
Deviation 
E (m)]]</f>
        <v>694133.32499999995</v>
      </c>
      <c r="W2048" s="7">
        <v>0.24</v>
      </c>
      <c r="X2048" s="2" t="s">
        <v>51</v>
      </c>
    </row>
    <row r="2049" spans="1:27" ht="13.95" hidden="1" customHeight="1" x14ac:dyDescent="0.65">
      <c r="A2049">
        <v>2043</v>
      </c>
      <c r="B2049" t="s">
        <v>29</v>
      </c>
      <c r="C2049" s="6">
        <v>1511671.4380000001</v>
      </c>
      <c r="D2049" s="6">
        <v>694096.59400000004</v>
      </c>
      <c r="E2049" s="2" t="s">
        <v>35</v>
      </c>
      <c r="F2049" s="1">
        <v>24</v>
      </c>
      <c r="G2049" s="2" t="s">
        <v>50</v>
      </c>
      <c r="J2049"/>
      <c r="K2049" s="19"/>
      <c r="L2049" s="21"/>
      <c r="M2049" s="27"/>
      <c r="N2049" s="19"/>
      <c r="O2049" s="21"/>
      <c r="Q2049" s="7">
        <f>Table2[[#This Row],[Elevation
PILE TOP]]-Table2[[#This Row],[LENGTH(m.)
(Actual)]]</f>
        <v>0</v>
      </c>
      <c r="R2049" s="2"/>
      <c r="S2049" s="7">
        <f>Table2[[#This Row],[N]]+Table2[[#This Row],[Pile 
Deviation 
N (m)]]</f>
        <v>1511671.4380000001</v>
      </c>
      <c r="T2049" s="7">
        <f>Table2[[#This Row],[E]]+Table2[[#This Row],[Pile 
Deviation 
E (m)]]</f>
        <v>694096.59400000004</v>
      </c>
      <c r="W2049" s="7">
        <v>0.24</v>
      </c>
      <c r="X2049" s="2" t="s">
        <v>51</v>
      </c>
    </row>
    <row r="2050" spans="1:27" hidden="1" x14ac:dyDescent="0.65">
      <c r="A2050">
        <v>2044</v>
      </c>
      <c r="B2050" t="s">
        <v>29</v>
      </c>
      <c r="C2050" s="6">
        <v>1511671.42</v>
      </c>
      <c r="D2050" s="6">
        <v>694066.69</v>
      </c>
      <c r="E2050" s="2" t="s">
        <v>35</v>
      </c>
      <c r="F2050" s="1">
        <v>24</v>
      </c>
      <c r="G2050" s="2" t="s">
        <v>50</v>
      </c>
      <c r="J2050"/>
      <c r="K2050" s="19"/>
      <c r="L2050" s="21"/>
      <c r="M2050" s="27"/>
      <c r="N2050" s="19"/>
      <c r="O2050" s="21"/>
      <c r="Q2050" s="7">
        <f>Table2[[#This Row],[Elevation
PILE TOP]]-Table2[[#This Row],[LENGTH(m.)
(Actual)]]</f>
        <v>0</v>
      </c>
      <c r="R2050" s="2"/>
      <c r="S2050" s="7">
        <f>Table2[[#This Row],[N]]+Table2[[#This Row],[Pile 
Deviation 
N (m)]]</f>
        <v>1511671.42</v>
      </c>
      <c r="T2050" s="7">
        <f>Table2[[#This Row],[E]]+Table2[[#This Row],[Pile 
Deviation 
E (m)]]</f>
        <v>694066.69</v>
      </c>
      <c r="W2050" s="7">
        <v>0.24</v>
      </c>
      <c r="X2050" s="2" t="s">
        <v>51</v>
      </c>
    </row>
    <row r="2051" spans="1:27" ht="13.95" customHeight="1" x14ac:dyDescent="0.65">
      <c r="A2051">
        <v>2045</v>
      </c>
      <c r="B2051" t="s">
        <v>29</v>
      </c>
      <c r="C2051" s="6">
        <v>1511671.402</v>
      </c>
      <c r="D2051" s="6">
        <v>694036.78599999996</v>
      </c>
      <c r="E2051" s="2" t="s">
        <v>35</v>
      </c>
      <c r="F2051" s="1">
        <v>24</v>
      </c>
      <c r="G2051" s="2" t="s">
        <v>50</v>
      </c>
      <c r="J2051"/>
      <c r="K2051" s="19"/>
      <c r="L2051" s="21"/>
      <c r="M2051" s="27"/>
      <c r="N2051" s="19"/>
      <c r="O2051" s="21"/>
      <c r="Q2051" s="7">
        <f>Table2[[#This Row],[Elevation
PILE TOP]]-Table2[[#This Row],[LENGTH(m.)
(Actual)]]</f>
        <v>0</v>
      </c>
      <c r="R2051" s="2"/>
      <c r="S2051" s="7">
        <f>Table2[[#This Row],[N]]+Table2[[#This Row],[Pile 
Deviation 
N (m)]]</f>
        <v>1511671.402</v>
      </c>
      <c r="T2051" s="7">
        <f>Table2[[#This Row],[E]]+Table2[[#This Row],[Pile 
Deviation 
E (m)]]</f>
        <v>694036.78599999996</v>
      </c>
      <c r="W2051" s="7">
        <v>0.24</v>
      </c>
      <c r="X2051" s="2" t="s">
        <v>51</v>
      </c>
      <c r="AA2051" s="9">
        <v>46196</v>
      </c>
    </row>
    <row r="2052" spans="1:27" hidden="1" x14ac:dyDescent="0.65">
      <c r="A2052">
        <v>2046</v>
      </c>
      <c r="B2052" t="s">
        <v>29</v>
      </c>
      <c r="C2052" s="6">
        <v>1511671.1370000001</v>
      </c>
      <c r="D2052" s="6">
        <v>694115.25300000003</v>
      </c>
      <c r="E2052" s="2" t="s">
        <v>35</v>
      </c>
      <c r="F2052" s="1">
        <v>24</v>
      </c>
      <c r="G2052" s="2" t="s">
        <v>50</v>
      </c>
      <c r="J2052"/>
      <c r="K2052" s="19"/>
      <c r="L2052" s="21"/>
      <c r="M2052" s="27"/>
      <c r="N2052" s="19"/>
      <c r="O2052" s="21"/>
      <c r="Q2052" s="7">
        <f>Table2[[#This Row],[Elevation
PILE TOP]]-Table2[[#This Row],[LENGTH(m.)
(Actual)]]</f>
        <v>0</v>
      </c>
      <c r="R2052" s="2"/>
      <c r="S2052" s="7">
        <f>Table2[[#This Row],[N]]+Table2[[#This Row],[Pile 
Deviation 
N (m)]]</f>
        <v>1511671.1370000001</v>
      </c>
      <c r="T2052" s="7">
        <f>Table2[[#This Row],[E]]+Table2[[#This Row],[Pile 
Deviation 
E (m)]]</f>
        <v>694115.25300000003</v>
      </c>
      <c r="W2052" s="7">
        <v>0.24</v>
      </c>
      <c r="X2052" s="2" t="s">
        <v>51</v>
      </c>
    </row>
    <row r="2053" spans="1:27" ht="13.95" hidden="1" customHeight="1" x14ac:dyDescent="0.65">
      <c r="A2053">
        <v>2047</v>
      </c>
      <c r="B2053" t="s">
        <v>29</v>
      </c>
      <c r="C2053" s="6">
        <v>1511671.017</v>
      </c>
      <c r="D2053" s="6">
        <v>694077.75100000005</v>
      </c>
      <c r="E2053" s="2" t="s">
        <v>35</v>
      </c>
      <c r="F2053" s="1">
        <v>24</v>
      </c>
      <c r="G2053" s="2" t="s">
        <v>50</v>
      </c>
      <c r="J2053"/>
      <c r="K2053" s="19"/>
      <c r="L2053" s="21"/>
      <c r="M2053" s="27"/>
      <c r="N2053" s="19"/>
      <c r="O2053" s="21"/>
      <c r="Q2053" s="7">
        <f>Table2[[#This Row],[Elevation
PILE TOP]]-Table2[[#This Row],[LENGTH(m.)
(Actual)]]</f>
        <v>0</v>
      </c>
      <c r="R2053" s="2"/>
      <c r="S2053" s="7">
        <f>Table2[[#This Row],[N]]+Table2[[#This Row],[Pile 
Deviation 
N (m)]]</f>
        <v>1511671.017</v>
      </c>
      <c r="T2053" s="7">
        <f>Table2[[#This Row],[E]]+Table2[[#This Row],[Pile 
Deviation 
E (m)]]</f>
        <v>694077.75100000005</v>
      </c>
      <c r="W2053" s="7">
        <v>0.24</v>
      </c>
      <c r="X2053" s="2" t="s">
        <v>51</v>
      </c>
    </row>
    <row r="2054" spans="1:27" hidden="1" x14ac:dyDescent="0.65">
      <c r="A2054">
        <v>2048</v>
      </c>
      <c r="B2054" t="s">
        <v>29</v>
      </c>
      <c r="C2054" s="6">
        <v>1511670.9990000001</v>
      </c>
      <c r="D2054" s="6">
        <v>694047.84699999995</v>
      </c>
      <c r="E2054" s="2" t="s">
        <v>35</v>
      </c>
      <c r="F2054" s="1">
        <v>24</v>
      </c>
      <c r="G2054" s="2" t="s">
        <v>50</v>
      </c>
      <c r="J2054"/>
      <c r="K2054" s="19"/>
      <c r="L2054" s="21"/>
      <c r="M2054" s="27"/>
      <c r="N2054" s="19"/>
      <c r="O2054" s="21"/>
      <c r="Q2054" s="7">
        <f>Table2[[#This Row],[Elevation
PILE TOP]]-Table2[[#This Row],[LENGTH(m.)
(Actual)]]</f>
        <v>0</v>
      </c>
      <c r="R2054" s="2"/>
      <c r="S2054" s="7">
        <f>Table2[[#This Row],[N]]+Table2[[#This Row],[Pile 
Deviation 
N (m)]]</f>
        <v>1511670.9990000001</v>
      </c>
      <c r="T2054" s="7">
        <f>Table2[[#This Row],[E]]+Table2[[#This Row],[Pile 
Deviation 
E (m)]]</f>
        <v>694047.84699999995</v>
      </c>
      <c r="W2054" s="7">
        <v>0.24</v>
      </c>
      <c r="X2054" s="2" t="s">
        <v>51</v>
      </c>
    </row>
    <row r="2055" spans="1:27" ht="13.95" hidden="1" customHeight="1" x14ac:dyDescent="0.65">
      <c r="A2055">
        <v>2049</v>
      </c>
      <c r="B2055" t="s">
        <v>29</v>
      </c>
      <c r="C2055" s="6">
        <v>1511670.7720000001</v>
      </c>
      <c r="D2055" s="6">
        <v>693919.19099999999</v>
      </c>
      <c r="E2055" s="2" t="s">
        <v>35</v>
      </c>
      <c r="F2055" s="1">
        <v>24</v>
      </c>
      <c r="G2055" s="2" t="s">
        <v>50</v>
      </c>
      <c r="J2055"/>
      <c r="K2055" s="19"/>
      <c r="L2055" s="21"/>
      <c r="M2055" s="27"/>
      <c r="N2055" s="19"/>
      <c r="O2055" s="21"/>
      <c r="Q2055" s="7">
        <f>Table2[[#This Row],[Elevation
PILE TOP]]-Table2[[#This Row],[LENGTH(m.)
(Actual)]]</f>
        <v>0</v>
      </c>
      <c r="R2055" s="2"/>
      <c r="S2055" s="7">
        <f>Table2[[#This Row],[N]]+Table2[[#This Row],[Pile 
Deviation 
N (m)]]</f>
        <v>1511670.7720000001</v>
      </c>
      <c r="T2055" s="7">
        <f>Table2[[#This Row],[E]]+Table2[[#This Row],[Pile 
Deviation 
E (m)]]</f>
        <v>693919.19099999999</v>
      </c>
      <c r="W2055" s="7">
        <v>0.24</v>
      </c>
      <c r="X2055" s="2" t="s">
        <v>51</v>
      </c>
      <c r="AA2055" s="9">
        <v>46205</v>
      </c>
    </row>
    <row r="2056" spans="1:27" hidden="1" x14ac:dyDescent="0.65">
      <c r="A2056">
        <v>2050</v>
      </c>
      <c r="B2056" t="s">
        <v>29</v>
      </c>
      <c r="C2056" s="6">
        <v>1511670.6140000001</v>
      </c>
      <c r="D2056" s="6">
        <v>694088.81200000003</v>
      </c>
      <c r="E2056" s="2" t="s">
        <v>35</v>
      </c>
      <c r="F2056" s="1">
        <v>24</v>
      </c>
      <c r="G2056" s="2" t="s">
        <v>50</v>
      </c>
      <c r="J2056"/>
      <c r="K2056" s="19"/>
      <c r="L2056" s="21"/>
      <c r="M2056" s="27"/>
      <c r="N2056" s="19"/>
      <c r="O2056" s="21"/>
      <c r="Q2056" s="7">
        <f>Table2[[#This Row],[Elevation
PILE TOP]]-Table2[[#This Row],[LENGTH(m.)
(Actual)]]</f>
        <v>0</v>
      </c>
      <c r="R2056" s="2"/>
      <c r="S2056" s="7">
        <f>Table2[[#This Row],[N]]+Table2[[#This Row],[Pile 
Deviation 
N (m)]]</f>
        <v>1511670.6140000001</v>
      </c>
      <c r="T2056" s="7">
        <f>Table2[[#This Row],[E]]+Table2[[#This Row],[Pile 
Deviation 
E (m)]]</f>
        <v>694088.81200000003</v>
      </c>
      <c r="W2056" s="7">
        <v>0.24</v>
      </c>
      <c r="X2056" s="2" t="s">
        <v>51</v>
      </c>
    </row>
    <row r="2057" spans="1:27" ht="13.95" hidden="1" customHeight="1" x14ac:dyDescent="0.65">
      <c r="A2057">
        <v>2051</v>
      </c>
      <c r="B2057" t="s">
        <v>29</v>
      </c>
      <c r="C2057" s="6">
        <v>1511670.5959999999</v>
      </c>
      <c r="D2057" s="6">
        <v>694058.90800000005</v>
      </c>
      <c r="E2057" s="2" t="s">
        <v>35</v>
      </c>
      <c r="F2057" s="1">
        <v>24</v>
      </c>
      <c r="G2057" s="2" t="s">
        <v>50</v>
      </c>
      <c r="J2057"/>
      <c r="K2057" s="19"/>
      <c r="L2057" s="21"/>
      <c r="M2057" s="27"/>
      <c r="N2057" s="19"/>
      <c r="O2057" s="21"/>
      <c r="Q2057" s="7">
        <f>Table2[[#This Row],[Elevation
PILE TOP]]-Table2[[#This Row],[LENGTH(m.)
(Actual)]]</f>
        <v>0</v>
      </c>
      <c r="R2057" s="2"/>
      <c r="S2057" s="7">
        <f>Table2[[#This Row],[N]]+Table2[[#This Row],[Pile 
Deviation 
N (m)]]</f>
        <v>1511670.5959999999</v>
      </c>
      <c r="T2057" s="7">
        <f>Table2[[#This Row],[E]]+Table2[[#This Row],[Pile 
Deviation 
E (m)]]</f>
        <v>694058.90800000005</v>
      </c>
      <c r="W2057" s="7">
        <v>0.24</v>
      </c>
      <c r="X2057" s="2" t="s">
        <v>51</v>
      </c>
    </row>
    <row r="2058" spans="1:27" x14ac:dyDescent="0.65">
      <c r="A2058">
        <v>2052</v>
      </c>
      <c r="B2058" t="s">
        <v>29</v>
      </c>
      <c r="C2058" s="6">
        <v>1511670.578</v>
      </c>
      <c r="D2058" s="6">
        <v>694029.00300000003</v>
      </c>
      <c r="E2058" s="2" t="s">
        <v>35</v>
      </c>
      <c r="F2058" s="1">
        <v>24</v>
      </c>
      <c r="G2058" s="2" t="s">
        <v>50</v>
      </c>
      <c r="J2058"/>
      <c r="K2058" s="19"/>
      <c r="L2058" s="21"/>
      <c r="M2058" s="27"/>
      <c r="N2058" s="19"/>
      <c r="O2058" s="21"/>
      <c r="Q2058" s="7">
        <f>Table2[[#This Row],[Elevation
PILE TOP]]-Table2[[#This Row],[LENGTH(m.)
(Actual)]]</f>
        <v>0</v>
      </c>
      <c r="R2058" s="2"/>
      <c r="S2058" s="7">
        <f>Table2[[#This Row],[N]]+Table2[[#This Row],[Pile 
Deviation 
N (m)]]</f>
        <v>1511670.578</v>
      </c>
      <c r="T2058" s="7">
        <f>Table2[[#This Row],[E]]+Table2[[#This Row],[Pile 
Deviation 
E (m)]]</f>
        <v>694029.00300000003</v>
      </c>
      <c r="W2058" s="7">
        <v>0.24</v>
      </c>
      <c r="X2058" s="2" t="s">
        <v>51</v>
      </c>
      <c r="AA2058" s="9">
        <v>46197</v>
      </c>
    </row>
    <row r="2059" spans="1:27" ht="13.95" hidden="1" customHeight="1" x14ac:dyDescent="0.65">
      <c r="A2059">
        <v>2053</v>
      </c>
      <c r="B2059" t="s">
        <v>29</v>
      </c>
      <c r="C2059" s="6">
        <v>1511670.4939999999</v>
      </c>
      <c r="D2059" s="6">
        <v>694126.30200000003</v>
      </c>
      <c r="E2059" s="2" t="s">
        <v>35</v>
      </c>
      <c r="F2059" s="1">
        <v>24</v>
      </c>
      <c r="G2059" s="2" t="s">
        <v>50</v>
      </c>
      <c r="J2059"/>
      <c r="K2059" s="19"/>
      <c r="L2059" s="21"/>
      <c r="M2059" s="27"/>
      <c r="N2059" s="19"/>
      <c r="O2059" s="21"/>
      <c r="Q2059" s="7">
        <f>Table2[[#This Row],[Elevation
PILE TOP]]-Table2[[#This Row],[LENGTH(m.)
(Actual)]]</f>
        <v>0</v>
      </c>
      <c r="R2059" s="2"/>
      <c r="S2059" s="7">
        <f>Table2[[#This Row],[N]]+Table2[[#This Row],[Pile 
Deviation 
N (m)]]</f>
        <v>1511670.4939999999</v>
      </c>
      <c r="T2059" s="7">
        <f>Table2[[#This Row],[E]]+Table2[[#This Row],[Pile 
Deviation 
E (m)]]</f>
        <v>694126.30200000003</v>
      </c>
      <c r="W2059" s="7">
        <v>0.24</v>
      </c>
      <c r="X2059" s="2" t="s">
        <v>51</v>
      </c>
    </row>
    <row r="2060" spans="1:27" hidden="1" x14ac:dyDescent="0.65">
      <c r="A2060">
        <v>2054</v>
      </c>
      <c r="B2060" t="s">
        <v>29</v>
      </c>
      <c r="C2060" s="6">
        <v>1511670.483</v>
      </c>
      <c r="D2060" s="6">
        <v>694107.45400000003</v>
      </c>
      <c r="E2060" s="2" t="s">
        <v>35</v>
      </c>
      <c r="F2060" s="1">
        <v>24</v>
      </c>
      <c r="G2060" s="2" t="s">
        <v>50</v>
      </c>
      <c r="J2060"/>
      <c r="K2060" s="19"/>
      <c r="L2060" s="21"/>
      <c r="M2060" s="27"/>
      <c r="N2060" s="19"/>
      <c r="O2060" s="21"/>
      <c r="Q2060" s="7">
        <f>Table2[[#This Row],[Elevation
PILE TOP]]-Table2[[#This Row],[LENGTH(m.)
(Actual)]]</f>
        <v>0</v>
      </c>
      <c r="R2060" s="2"/>
      <c r="S2060" s="7">
        <f>Table2[[#This Row],[N]]+Table2[[#This Row],[Pile 
Deviation 
N (m)]]</f>
        <v>1511670.483</v>
      </c>
      <c r="T2060" s="7">
        <f>Table2[[#This Row],[E]]+Table2[[#This Row],[Pile 
Deviation 
E (m)]]</f>
        <v>694107.45400000003</v>
      </c>
      <c r="W2060" s="7">
        <v>0.24</v>
      </c>
      <c r="X2060" s="2" t="s">
        <v>51</v>
      </c>
    </row>
    <row r="2061" spans="1:27" ht="13.95" hidden="1" customHeight="1" x14ac:dyDescent="0.65">
      <c r="A2061">
        <v>2055</v>
      </c>
      <c r="B2061" t="s">
        <v>29</v>
      </c>
      <c r="C2061" s="6">
        <v>1511670.2109999999</v>
      </c>
      <c r="D2061" s="6">
        <v>694099.87199999997</v>
      </c>
      <c r="E2061" s="2" t="s">
        <v>35</v>
      </c>
      <c r="F2061" s="1">
        <v>24</v>
      </c>
      <c r="G2061" s="2" t="s">
        <v>50</v>
      </c>
      <c r="J2061"/>
      <c r="K2061" s="19"/>
      <c r="L2061" s="21"/>
      <c r="M2061" s="27"/>
      <c r="N2061" s="19"/>
      <c r="O2061" s="21"/>
      <c r="Q2061" s="7">
        <f>Table2[[#This Row],[Elevation
PILE TOP]]-Table2[[#This Row],[LENGTH(m.)
(Actual)]]</f>
        <v>0</v>
      </c>
      <c r="R2061" s="2"/>
      <c r="S2061" s="7">
        <f>Table2[[#This Row],[N]]+Table2[[#This Row],[Pile 
Deviation 
N (m)]]</f>
        <v>1511670.2109999999</v>
      </c>
      <c r="T2061" s="7">
        <f>Table2[[#This Row],[E]]+Table2[[#This Row],[Pile 
Deviation 
E (m)]]</f>
        <v>694099.87199999997</v>
      </c>
      <c r="W2061" s="7">
        <v>0.24</v>
      </c>
      <c r="X2061" s="2" t="s">
        <v>51</v>
      </c>
    </row>
    <row r="2062" spans="1:27" hidden="1" x14ac:dyDescent="0.65">
      <c r="A2062">
        <v>2056</v>
      </c>
      <c r="B2062" t="s">
        <v>29</v>
      </c>
      <c r="C2062" s="6">
        <v>1511670.193</v>
      </c>
      <c r="D2062" s="6">
        <v>694069.96799999999</v>
      </c>
      <c r="E2062" s="2" t="s">
        <v>35</v>
      </c>
      <c r="F2062" s="1">
        <v>24</v>
      </c>
      <c r="G2062" s="2" t="s">
        <v>50</v>
      </c>
      <c r="J2062"/>
      <c r="K2062" s="19"/>
      <c r="L2062" s="21"/>
      <c r="M2062" s="27"/>
      <c r="N2062" s="19"/>
      <c r="O2062" s="21"/>
      <c r="Q2062" s="7">
        <f>Table2[[#This Row],[Elevation
PILE TOP]]-Table2[[#This Row],[LENGTH(m.)
(Actual)]]</f>
        <v>0</v>
      </c>
      <c r="R2062" s="2"/>
      <c r="S2062" s="7">
        <f>Table2[[#This Row],[N]]+Table2[[#This Row],[Pile 
Deviation 
N (m)]]</f>
        <v>1511670.193</v>
      </c>
      <c r="T2062" s="7">
        <f>Table2[[#This Row],[E]]+Table2[[#This Row],[Pile 
Deviation 
E (m)]]</f>
        <v>694069.96799999999</v>
      </c>
      <c r="W2062" s="7">
        <v>0.24</v>
      </c>
      <c r="X2062" s="2" t="s">
        <v>51</v>
      </c>
    </row>
    <row r="2063" spans="1:27" ht="13.95" customHeight="1" x14ac:dyDescent="0.65">
      <c r="A2063">
        <v>2057</v>
      </c>
      <c r="B2063" t="s">
        <v>29</v>
      </c>
      <c r="C2063" s="6">
        <v>1511670.175</v>
      </c>
      <c r="D2063" s="6">
        <v>694040.06400000001</v>
      </c>
      <c r="E2063" s="2" t="s">
        <v>35</v>
      </c>
      <c r="F2063" s="1">
        <v>24</v>
      </c>
      <c r="G2063" s="2" t="s">
        <v>50</v>
      </c>
      <c r="J2063"/>
      <c r="K2063" s="19"/>
      <c r="L2063" s="21"/>
      <c r="M2063" s="27"/>
      <c r="N2063" s="19"/>
      <c r="O2063" s="21"/>
      <c r="Q2063" s="7">
        <f>Table2[[#This Row],[Elevation
PILE TOP]]-Table2[[#This Row],[LENGTH(m.)
(Actual)]]</f>
        <v>0</v>
      </c>
      <c r="R2063" s="2"/>
      <c r="S2063" s="7">
        <f>Table2[[#This Row],[N]]+Table2[[#This Row],[Pile 
Deviation 
N (m)]]</f>
        <v>1511670.175</v>
      </c>
      <c r="T2063" s="7">
        <f>Table2[[#This Row],[E]]+Table2[[#This Row],[Pile 
Deviation 
E (m)]]</f>
        <v>694040.06400000001</v>
      </c>
      <c r="W2063" s="7">
        <v>0.24</v>
      </c>
      <c r="X2063" s="2" t="s">
        <v>51</v>
      </c>
      <c r="AA2063" s="9">
        <v>46196</v>
      </c>
    </row>
    <row r="2064" spans="1:27" hidden="1" x14ac:dyDescent="0.65">
      <c r="A2064">
        <v>2058</v>
      </c>
      <c r="B2064" t="s">
        <v>29</v>
      </c>
      <c r="C2064" s="6">
        <v>1511669.8389999999</v>
      </c>
      <c r="D2064" s="6">
        <v>694118.50300000003</v>
      </c>
      <c r="E2064" s="2" t="s">
        <v>35</v>
      </c>
      <c r="F2064" s="1">
        <v>24</v>
      </c>
      <c r="G2064" s="2" t="s">
        <v>50</v>
      </c>
      <c r="J2064"/>
      <c r="K2064" s="19"/>
      <c r="L2064" s="21"/>
      <c r="M2064" s="27"/>
      <c r="N2064" s="19"/>
      <c r="O2064" s="21"/>
      <c r="Q2064" s="7">
        <f>Table2[[#This Row],[Elevation
PILE TOP]]-Table2[[#This Row],[LENGTH(m.)
(Actual)]]</f>
        <v>0</v>
      </c>
      <c r="R2064" s="2"/>
      <c r="S2064" s="7">
        <f>Table2[[#This Row],[N]]+Table2[[#This Row],[Pile 
Deviation 
N (m)]]</f>
        <v>1511669.8389999999</v>
      </c>
      <c r="T2064" s="7">
        <f>Table2[[#This Row],[E]]+Table2[[#This Row],[Pile 
Deviation 
E (m)]]</f>
        <v>694118.50300000003</v>
      </c>
      <c r="W2064" s="7">
        <v>0.24</v>
      </c>
      <c r="X2064" s="2" t="s">
        <v>51</v>
      </c>
    </row>
    <row r="2065" spans="1:28" ht="13.95" hidden="1" customHeight="1" x14ac:dyDescent="0.65">
      <c r="A2065">
        <v>2059</v>
      </c>
      <c r="B2065" t="s">
        <v>29</v>
      </c>
      <c r="C2065" s="6">
        <v>1511669.79</v>
      </c>
      <c r="D2065" s="6">
        <v>694081.02899999998</v>
      </c>
      <c r="E2065" s="2" t="s">
        <v>35</v>
      </c>
      <c r="F2065" s="1">
        <v>24</v>
      </c>
      <c r="G2065" s="2" t="s">
        <v>50</v>
      </c>
      <c r="J2065"/>
      <c r="K2065" s="19"/>
      <c r="L2065" s="21"/>
      <c r="M2065" s="27"/>
      <c r="N2065" s="19"/>
      <c r="O2065" s="21"/>
      <c r="Q2065" s="7">
        <f>Table2[[#This Row],[Elevation
PILE TOP]]-Table2[[#This Row],[LENGTH(m.)
(Actual)]]</f>
        <v>0</v>
      </c>
      <c r="R2065" s="2"/>
      <c r="S2065" s="7">
        <f>Table2[[#This Row],[N]]+Table2[[#This Row],[Pile 
Deviation 
N (m)]]</f>
        <v>1511669.79</v>
      </c>
      <c r="T2065" s="7">
        <f>Table2[[#This Row],[E]]+Table2[[#This Row],[Pile 
Deviation 
E (m)]]</f>
        <v>694081.02899999998</v>
      </c>
      <c r="W2065" s="7">
        <v>0.24</v>
      </c>
      <c r="X2065" s="2" t="s">
        <v>51</v>
      </c>
    </row>
    <row r="2066" spans="1:28" hidden="1" x14ac:dyDescent="0.65">
      <c r="A2066">
        <v>2060</v>
      </c>
      <c r="B2066" t="s">
        <v>29</v>
      </c>
      <c r="C2066" s="6">
        <v>1511669.7720000001</v>
      </c>
      <c r="D2066" s="6">
        <v>694051.125</v>
      </c>
      <c r="E2066" s="2" t="s">
        <v>35</v>
      </c>
      <c r="F2066" s="1">
        <v>24</v>
      </c>
      <c r="G2066" s="2" t="s">
        <v>50</v>
      </c>
      <c r="J2066"/>
      <c r="K2066" s="19"/>
      <c r="L2066" s="21"/>
      <c r="M2066" s="27"/>
      <c r="N2066" s="19"/>
      <c r="O2066" s="21"/>
      <c r="Q2066" s="7">
        <f>Table2[[#This Row],[Elevation
PILE TOP]]-Table2[[#This Row],[LENGTH(m.)
(Actual)]]</f>
        <v>0</v>
      </c>
      <c r="R2066" s="2"/>
      <c r="S2066" s="7">
        <f>Table2[[#This Row],[N]]+Table2[[#This Row],[Pile 
Deviation 
N (m)]]</f>
        <v>1511669.7720000001</v>
      </c>
      <c r="T2066" s="7">
        <f>Table2[[#This Row],[E]]+Table2[[#This Row],[Pile 
Deviation 
E (m)]]</f>
        <v>694051.125</v>
      </c>
      <c r="W2066" s="7">
        <v>0.24</v>
      </c>
      <c r="X2066" s="2" t="s">
        <v>51</v>
      </c>
    </row>
    <row r="2067" spans="1:28" ht="13.95" hidden="1" customHeight="1" x14ac:dyDescent="0.65">
      <c r="A2067">
        <v>2061</v>
      </c>
      <c r="B2067" t="s">
        <v>29</v>
      </c>
      <c r="C2067" s="6">
        <v>1511669.76</v>
      </c>
      <c r="D2067" s="6">
        <v>693922.00399999996</v>
      </c>
      <c r="E2067" s="2" t="s">
        <v>35</v>
      </c>
      <c r="F2067" s="1">
        <v>24</v>
      </c>
      <c r="G2067" s="2" t="s">
        <v>50</v>
      </c>
      <c r="J2067"/>
      <c r="K2067" s="19"/>
      <c r="L2067" s="21"/>
      <c r="M2067" s="27"/>
      <c r="N2067" s="19"/>
      <c r="O2067" s="21"/>
      <c r="Q2067" s="7">
        <f>Table2[[#This Row],[Elevation
PILE TOP]]-Table2[[#This Row],[LENGTH(m.)
(Actual)]]</f>
        <v>0</v>
      </c>
      <c r="R2067" s="2"/>
      <c r="S2067" s="7">
        <f>Table2[[#This Row],[N]]+Table2[[#This Row],[Pile 
Deviation 
N (m)]]</f>
        <v>1511669.76</v>
      </c>
      <c r="T2067" s="7">
        <f>Table2[[#This Row],[E]]+Table2[[#This Row],[Pile 
Deviation 
E (m)]]</f>
        <v>693922.00399999996</v>
      </c>
      <c r="W2067" s="7">
        <v>0.24</v>
      </c>
      <c r="X2067" s="2" t="s">
        <v>51</v>
      </c>
      <c r="AA2067" s="9">
        <v>46205</v>
      </c>
    </row>
    <row r="2068" spans="1:28" hidden="1" x14ac:dyDescent="0.65">
      <c r="A2068">
        <v>2062</v>
      </c>
      <c r="B2068" t="s">
        <v>29</v>
      </c>
      <c r="C2068" s="6">
        <v>1511669.3870000001</v>
      </c>
      <c r="D2068" s="6">
        <v>694092.08900000004</v>
      </c>
      <c r="E2068" s="2" t="s">
        <v>35</v>
      </c>
      <c r="F2068" s="1">
        <v>24</v>
      </c>
      <c r="G2068" s="2" t="s">
        <v>50</v>
      </c>
      <c r="J2068"/>
      <c r="K2068" s="19"/>
      <c r="L2068" s="21"/>
      <c r="M2068" s="27"/>
      <c r="N2068" s="19"/>
      <c r="O2068" s="21"/>
      <c r="Q2068" s="7">
        <f>Table2[[#This Row],[Elevation
PILE TOP]]-Table2[[#This Row],[LENGTH(m.)
(Actual)]]</f>
        <v>0</v>
      </c>
      <c r="R2068" s="2"/>
      <c r="S2068" s="7">
        <f>Table2[[#This Row],[N]]+Table2[[#This Row],[Pile 
Deviation 
N (m)]]</f>
        <v>1511669.3870000001</v>
      </c>
      <c r="T2068" s="7">
        <f>Table2[[#This Row],[E]]+Table2[[#This Row],[Pile 
Deviation 
E (m)]]</f>
        <v>694092.08900000004</v>
      </c>
      <c r="W2068" s="7">
        <v>0.24</v>
      </c>
      <c r="X2068" s="2" t="s">
        <v>51</v>
      </c>
    </row>
    <row r="2069" spans="1:28" ht="13.95" hidden="1" customHeight="1" x14ac:dyDescent="0.65">
      <c r="A2069">
        <v>2063</v>
      </c>
      <c r="B2069" t="s">
        <v>29</v>
      </c>
      <c r="C2069" s="6">
        <v>1511669.3689999999</v>
      </c>
      <c r="D2069" s="6">
        <v>694062.18500000006</v>
      </c>
      <c r="E2069" s="2" t="s">
        <v>35</v>
      </c>
      <c r="F2069" s="1">
        <v>24</v>
      </c>
      <c r="G2069" s="2" t="s">
        <v>50</v>
      </c>
      <c r="J2069"/>
      <c r="K2069" s="19"/>
      <c r="L2069" s="21"/>
      <c r="M2069" s="27"/>
      <c r="N2069" s="19"/>
      <c r="O2069" s="21"/>
      <c r="Q2069" s="7">
        <f>Table2[[#This Row],[Elevation
PILE TOP]]-Table2[[#This Row],[LENGTH(m.)
(Actual)]]</f>
        <v>0</v>
      </c>
      <c r="R2069" s="2"/>
      <c r="S2069" s="7">
        <f>Table2[[#This Row],[N]]+Table2[[#This Row],[Pile 
Deviation 
N (m)]]</f>
        <v>1511669.3689999999</v>
      </c>
      <c r="T2069" s="7">
        <f>Table2[[#This Row],[E]]+Table2[[#This Row],[Pile 
Deviation 
E (m)]]</f>
        <v>694062.18500000006</v>
      </c>
      <c r="W2069" s="7">
        <v>0.24</v>
      </c>
      <c r="X2069" s="2" t="s">
        <v>51</v>
      </c>
    </row>
    <row r="2070" spans="1:28" x14ac:dyDescent="0.65">
      <c r="A2070">
        <v>2064</v>
      </c>
      <c r="B2070" t="s">
        <v>29</v>
      </c>
      <c r="C2070" s="6">
        <v>1511669.351</v>
      </c>
      <c r="D2070" s="6">
        <v>694032.28099999996</v>
      </c>
      <c r="E2070" s="2" t="s">
        <v>35</v>
      </c>
      <c r="F2070" s="1">
        <v>24</v>
      </c>
      <c r="G2070" s="2" t="s">
        <v>50</v>
      </c>
      <c r="J2070"/>
      <c r="K2070" s="19"/>
      <c r="L2070" s="21"/>
      <c r="M2070" s="27"/>
      <c r="N2070" s="19"/>
      <c r="O2070" s="21"/>
      <c r="Q2070" s="7">
        <f>Table2[[#This Row],[Elevation
PILE TOP]]-Table2[[#This Row],[LENGTH(m.)
(Actual)]]</f>
        <v>0</v>
      </c>
      <c r="R2070" s="2"/>
      <c r="S2070" s="7">
        <f>Table2[[#This Row],[N]]+Table2[[#This Row],[Pile 
Deviation 
N (m)]]</f>
        <v>1511669.351</v>
      </c>
      <c r="T2070" s="7">
        <f>Table2[[#This Row],[E]]+Table2[[#This Row],[Pile 
Deviation 
E (m)]]</f>
        <v>694032.28099999996</v>
      </c>
      <c r="W2070" s="7">
        <v>0.24</v>
      </c>
      <c r="X2070" s="2" t="s">
        <v>51</v>
      </c>
      <c r="AA2070" s="9">
        <v>46195</v>
      </c>
    </row>
    <row r="2071" spans="1:28" ht="13.95" hidden="1" customHeight="1" x14ac:dyDescent="0.65">
      <c r="A2071">
        <v>2065</v>
      </c>
      <c r="B2071" t="s">
        <v>29</v>
      </c>
      <c r="C2071" s="6">
        <v>1511669.196</v>
      </c>
      <c r="D2071" s="6">
        <v>694129.55200000003</v>
      </c>
      <c r="E2071" s="2" t="s">
        <v>35</v>
      </c>
      <c r="F2071" s="1">
        <v>24</v>
      </c>
      <c r="G2071" s="2" t="s">
        <v>50</v>
      </c>
      <c r="J2071"/>
      <c r="K2071" s="19"/>
      <c r="L2071" s="21"/>
      <c r="M2071" s="27"/>
      <c r="N2071" s="19"/>
      <c r="O2071" s="21"/>
      <c r="Q2071" s="7">
        <f>Table2[[#This Row],[Elevation
PILE TOP]]-Table2[[#This Row],[LENGTH(m.)
(Actual)]]</f>
        <v>0</v>
      </c>
      <c r="R2071" s="2"/>
      <c r="S2071" s="7">
        <f>Table2[[#This Row],[N]]+Table2[[#This Row],[Pile 
Deviation 
N (m)]]</f>
        <v>1511669.196</v>
      </c>
      <c r="T2071" s="7">
        <f>Table2[[#This Row],[E]]+Table2[[#This Row],[Pile 
Deviation 
E (m)]]</f>
        <v>694129.55200000003</v>
      </c>
      <c r="W2071" s="7">
        <v>0.24</v>
      </c>
      <c r="X2071" s="2" t="s">
        <v>51</v>
      </c>
    </row>
    <row r="2072" spans="1:28" hidden="1" x14ac:dyDescent="0.65">
      <c r="A2072">
        <v>2066</v>
      </c>
      <c r="B2072" t="s">
        <v>29</v>
      </c>
      <c r="C2072" s="6">
        <v>1511669.1850000001</v>
      </c>
      <c r="D2072" s="6">
        <v>694110.70400000003</v>
      </c>
      <c r="E2072" s="2" t="s">
        <v>35</v>
      </c>
      <c r="F2072" s="1">
        <v>24</v>
      </c>
      <c r="G2072" s="2" t="s">
        <v>50</v>
      </c>
      <c r="J2072"/>
      <c r="K2072" s="19"/>
      <c r="L2072" s="21"/>
      <c r="M2072" s="27"/>
      <c r="N2072" s="19"/>
      <c r="O2072" s="21"/>
      <c r="Q2072" s="7">
        <f>Table2[[#This Row],[Elevation
PILE TOP]]-Table2[[#This Row],[LENGTH(m.)
(Actual)]]</f>
        <v>0</v>
      </c>
      <c r="R2072" s="2"/>
      <c r="S2072" s="7">
        <f>Table2[[#This Row],[N]]+Table2[[#This Row],[Pile 
Deviation 
N (m)]]</f>
        <v>1511669.1850000001</v>
      </c>
      <c r="T2072" s="7">
        <f>Table2[[#This Row],[E]]+Table2[[#This Row],[Pile 
Deviation 
E (m)]]</f>
        <v>694110.70400000003</v>
      </c>
      <c r="W2072" s="7">
        <v>0.24</v>
      </c>
      <c r="X2072" s="2" t="s">
        <v>51</v>
      </c>
    </row>
    <row r="2073" spans="1:28" ht="13.95" hidden="1" customHeight="1" x14ac:dyDescent="0.65">
      <c r="A2073">
        <v>2067</v>
      </c>
      <c r="B2073" t="s">
        <v>29</v>
      </c>
      <c r="C2073" s="6">
        <v>1511668.9839999999</v>
      </c>
      <c r="D2073" s="6">
        <v>694103.15</v>
      </c>
      <c r="E2073" s="2" t="s">
        <v>35</v>
      </c>
      <c r="F2073" s="1">
        <v>24</v>
      </c>
      <c r="G2073" s="2" t="s">
        <v>50</v>
      </c>
      <c r="J2073"/>
      <c r="K2073" s="19"/>
      <c r="L2073" s="21"/>
      <c r="M2073" s="27"/>
      <c r="N2073" s="19"/>
      <c r="O2073" s="21"/>
      <c r="Q2073" s="7">
        <f>Table2[[#This Row],[Elevation
PILE TOP]]-Table2[[#This Row],[LENGTH(m.)
(Actual)]]</f>
        <v>0</v>
      </c>
      <c r="R2073" s="2"/>
      <c r="S2073" s="7">
        <f>Table2[[#This Row],[N]]+Table2[[#This Row],[Pile 
Deviation 
N (m)]]</f>
        <v>1511668.9839999999</v>
      </c>
      <c r="T2073" s="7">
        <f>Table2[[#This Row],[E]]+Table2[[#This Row],[Pile 
Deviation 
E (m)]]</f>
        <v>694103.15</v>
      </c>
      <c r="W2073" s="7">
        <v>0.24</v>
      </c>
      <c r="X2073" s="2" t="s">
        <v>51</v>
      </c>
    </row>
    <row r="2074" spans="1:28" x14ac:dyDescent="0.65">
      <c r="A2074">
        <v>2068</v>
      </c>
      <c r="B2074" t="s">
        <v>29</v>
      </c>
      <c r="C2074" s="6">
        <v>1511668.966</v>
      </c>
      <c r="D2074" s="6">
        <v>694073.24600000004</v>
      </c>
      <c r="E2074" s="2" t="s">
        <v>35</v>
      </c>
      <c r="F2074" s="1">
        <v>24</v>
      </c>
      <c r="G2074" s="2" t="s">
        <v>50</v>
      </c>
      <c r="J2074">
        <v>1</v>
      </c>
      <c r="K2074" s="19"/>
      <c r="L2074" s="21">
        <v>0.55625000000000002</v>
      </c>
      <c r="M2074" s="27" t="s">
        <v>32</v>
      </c>
      <c r="N2074" s="19"/>
      <c r="O2074" s="21">
        <v>0.59722222222222221</v>
      </c>
      <c r="Q2074" s="7">
        <f>Table2[[#This Row],[Elevation
PILE TOP]]-Table2[[#This Row],[LENGTH(m.)
(Actual)]]</f>
        <v>-26</v>
      </c>
      <c r="R2074" s="2">
        <v>26</v>
      </c>
      <c r="S2074" s="7">
        <f>Table2[[#This Row],[N]]+Table2[[#This Row],[Pile 
Deviation 
N (m)]]</f>
        <v>1511668.946</v>
      </c>
      <c r="T2074" s="7">
        <f>Table2[[#This Row],[E]]+Table2[[#This Row],[Pile 
Deviation 
E (m)]]</f>
        <v>694073.26600000006</v>
      </c>
      <c r="U2074" s="7">
        <v>-0.02</v>
      </c>
      <c r="V2074" s="7">
        <v>0.02</v>
      </c>
      <c r="W2074" s="7">
        <v>0.24</v>
      </c>
      <c r="X2074" s="2" t="s">
        <v>51</v>
      </c>
      <c r="Y2074" t="s">
        <v>63</v>
      </c>
      <c r="Z2074" s="9">
        <v>46183</v>
      </c>
      <c r="AA2074" s="9">
        <v>46183</v>
      </c>
      <c r="AB2074">
        <v>1</v>
      </c>
    </row>
    <row r="2075" spans="1:28" ht="13.95" customHeight="1" x14ac:dyDescent="0.65">
      <c r="A2075">
        <v>2069</v>
      </c>
      <c r="B2075" t="s">
        <v>29</v>
      </c>
      <c r="C2075" s="6">
        <v>1511668.9480000001</v>
      </c>
      <c r="D2075" s="6">
        <v>694043.34199999995</v>
      </c>
      <c r="E2075" s="2" t="s">
        <v>35</v>
      </c>
      <c r="F2075" s="1">
        <v>24</v>
      </c>
      <c r="G2075" s="2" t="s">
        <v>50</v>
      </c>
      <c r="J2075"/>
      <c r="K2075" s="19"/>
      <c r="L2075" s="21"/>
      <c r="M2075" s="27"/>
      <c r="N2075" s="19"/>
      <c r="O2075" s="21"/>
      <c r="Q2075" s="7">
        <f>Table2[[#This Row],[Elevation
PILE TOP]]-Table2[[#This Row],[LENGTH(m.)
(Actual)]]</f>
        <v>0</v>
      </c>
      <c r="R2075" s="2"/>
      <c r="S2075" s="7">
        <f>Table2[[#This Row],[N]]+Table2[[#This Row],[Pile 
Deviation 
N (m)]]</f>
        <v>1511668.9480000001</v>
      </c>
      <c r="T2075" s="7">
        <f>Table2[[#This Row],[E]]+Table2[[#This Row],[Pile 
Deviation 
E (m)]]</f>
        <v>694043.34199999995</v>
      </c>
      <c r="W2075" s="7">
        <v>0.24</v>
      </c>
      <c r="X2075" s="2" t="s">
        <v>51</v>
      </c>
      <c r="AA2075" s="9">
        <v>46196</v>
      </c>
    </row>
    <row r="2076" spans="1:28" hidden="1" x14ac:dyDescent="0.65">
      <c r="A2076">
        <v>2070</v>
      </c>
      <c r="B2076" t="s">
        <v>29</v>
      </c>
      <c r="C2076" s="6">
        <v>1511668.91</v>
      </c>
      <c r="D2076" s="6">
        <v>693924.36600000004</v>
      </c>
      <c r="E2076" s="2" t="s">
        <v>35</v>
      </c>
      <c r="F2076" s="1">
        <v>24</v>
      </c>
      <c r="G2076" s="2" t="s">
        <v>50</v>
      </c>
      <c r="J2076"/>
      <c r="K2076" s="19"/>
      <c r="L2076" s="21"/>
      <c r="M2076" s="27"/>
      <c r="N2076" s="19"/>
      <c r="O2076" s="21"/>
      <c r="Q2076" s="7">
        <f>Table2[[#This Row],[Elevation
PILE TOP]]-Table2[[#This Row],[LENGTH(m.)
(Actual)]]</f>
        <v>0</v>
      </c>
      <c r="R2076" s="2"/>
      <c r="S2076" s="7">
        <f>Table2[[#This Row],[N]]+Table2[[#This Row],[Pile 
Deviation 
N (m)]]</f>
        <v>1511668.91</v>
      </c>
      <c r="T2076" s="7">
        <f>Table2[[#This Row],[E]]+Table2[[#This Row],[Pile 
Deviation 
E (m)]]</f>
        <v>693924.36600000004</v>
      </c>
      <c r="W2076" s="7">
        <v>0.24</v>
      </c>
      <c r="X2076" s="2" t="s">
        <v>51</v>
      </c>
      <c r="AA2076" s="9">
        <v>46205</v>
      </c>
    </row>
    <row r="2077" spans="1:28" ht="13.95" hidden="1" customHeight="1" x14ac:dyDescent="0.65">
      <c r="A2077">
        <v>2071</v>
      </c>
      <c r="B2077" t="s">
        <v>29</v>
      </c>
      <c r="C2077" s="6">
        <v>1511668.5630000001</v>
      </c>
      <c r="D2077" s="6">
        <v>694084.30700000003</v>
      </c>
      <c r="E2077" s="2" t="s">
        <v>35</v>
      </c>
      <c r="F2077" s="1">
        <v>24</v>
      </c>
      <c r="G2077" s="2" t="s">
        <v>50</v>
      </c>
      <c r="J2077"/>
      <c r="K2077" s="19"/>
      <c r="L2077" s="21"/>
      <c r="M2077" s="27"/>
      <c r="N2077" s="19"/>
      <c r="O2077" s="21"/>
      <c r="Q2077" s="7">
        <f>Table2[[#This Row],[Elevation
PILE TOP]]-Table2[[#This Row],[LENGTH(m.)
(Actual)]]</f>
        <v>0</v>
      </c>
      <c r="R2077" s="2"/>
      <c r="S2077" s="7">
        <f>Table2[[#This Row],[N]]+Table2[[#This Row],[Pile 
Deviation 
N (m)]]</f>
        <v>1511668.5630000001</v>
      </c>
      <c r="T2077" s="7">
        <f>Table2[[#This Row],[E]]+Table2[[#This Row],[Pile 
Deviation 
E (m)]]</f>
        <v>694084.30700000003</v>
      </c>
      <c r="W2077" s="7">
        <v>0.24</v>
      </c>
      <c r="X2077" s="2" t="s">
        <v>51</v>
      </c>
    </row>
    <row r="2078" spans="1:28" hidden="1" x14ac:dyDescent="0.65">
      <c r="A2078">
        <v>2072</v>
      </c>
      <c r="B2078" t="s">
        <v>29</v>
      </c>
      <c r="C2078" s="6">
        <v>1511668.5449999999</v>
      </c>
      <c r="D2078" s="6">
        <v>694054.40300000005</v>
      </c>
      <c r="E2078" s="2" t="s">
        <v>35</v>
      </c>
      <c r="F2078" s="1">
        <v>24</v>
      </c>
      <c r="G2078" s="2" t="s">
        <v>50</v>
      </c>
      <c r="J2078"/>
      <c r="K2078" s="19"/>
      <c r="L2078" s="21"/>
      <c r="M2078" s="27"/>
      <c r="N2078" s="19"/>
      <c r="O2078" s="21"/>
      <c r="Q2078" s="7">
        <f>Table2[[#This Row],[Elevation
PILE TOP]]-Table2[[#This Row],[LENGTH(m.)
(Actual)]]</f>
        <v>0</v>
      </c>
      <c r="R2078" s="2"/>
      <c r="S2078" s="7">
        <f>Table2[[#This Row],[N]]+Table2[[#This Row],[Pile 
Deviation 
N (m)]]</f>
        <v>1511668.5449999999</v>
      </c>
      <c r="T2078" s="7">
        <f>Table2[[#This Row],[E]]+Table2[[#This Row],[Pile 
Deviation 
E (m)]]</f>
        <v>694054.40300000005</v>
      </c>
      <c r="W2078" s="7">
        <v>0.24</v>
      </c>
      <c r="X2078" s="2" t="s">
        <v>51</v>
      </c>
    </row>
    <row r="2079" spans="1:28" ht="13.95" hidden="1" customHeight="1" x14ac:dyDescent="0.65">
      <c r="A2079">
        <v>2073</v>
      </c>
      <c r="B2079" t="s">
        <v>29</v>
      </c>
      <c r="C2079" s="6">
        <v>1511668.541</v>
      </c>
      <c r="D2079" s="6">
        <v>694121.75300000003</v>
      </c>
      <c r="E2079" s="2" t="s">
        <v>35</v>
      </c>
      <c r="F2079" s="1">
        <v>24</v>
      </c>
      <c r="G2079" s="2" t="s">
        <v>50</v>
      </c>
      <c r="J2079"/>
      <c r="K2079" s="19"/>
      <c r="L2079" s="21"/>
      <c r="M2079" s="27"/>
      <c r="N2079" s="19"/>
      <c r="O2079" s="21"/>
      <c r="Q2079" s="7">
        <f>Table2[[#This Row],[Elevation
PILE TOP]]-Table2[[#This Row],[LENGTH(m.)
(Actual)]]</f>
        <v>0</v>
      </c>
      <c r="R2079" s="2"/>
      <c r="S2079" s="7">
        <f>Table2[[#This Row],[N]]+Table2[[#This Row],[Pile 
Deviation 
N (m)]]</f>
        <v>1511668.541</v>
      </c>
      <c r="T2079" s="7">
        <f>Table2[[#This Row],[E]]+Table2[[#This Row],[Pile 
Deviation 
E (m)]]</f>
        <v>694121.75300000003</v>
      </c>
      <c r="W2079" s="7">
        <v>0.24</v>
      </c>
      <c r="X2079" s="2" t="s">
        <v>51</v>
      </c>
    </row>
    <row r="2080" spans="1:28" hidden="1" x14ac:dyDescent="0.65">
      <c r="A2080">
        <v>2074</v>
      </c>
      <c r="B2080" t="s">
        <v>29</v>
      </c>
      <c r="C2080" s="6">
        <v>1511668.4</v>
      </c>
      <c r="D2080" s="6">
        <v>694131.54399999999</v>
      </c>
      <c r="E2080" s="2" t="s">
        <v>35</v>
      </c>
      <c r="F2080" s="1">
        <v>24</v>
      </c>
      <c r="G2080" s="2" t="s">
        <v>50</v>
      </c>
      <c r="J2080"/>
      <c r="K2080" s="19"/>
      <c r="L2080" s="21"/>
      <c r="M2080" s="27"/>
      <c r="N2080" s="19"/>
      <c r="O2080" s="21"/>
      <c r="Q2080" s="7">
        <f>Table2[[#This Row],[Elevation
PILE TOP]]-Table2[[#This Row],[LENGTH(m.)
(Actual)]]</f>
        <v>0</v>
      </c>
      <c r="R2080" s="2"/>
      <c r="S2080" s="7">
        <f>Table2[[#This Row],[N]]+Table2[[#This Row],[Pile 
Deviation 
N (m)]]</f>
        <v>1511668.4</v>
      </c>
      <c r="T2080" s="7">
        <f>Table2[[#This Row],[E]]+Table2[[#This Row],[Pile 
Deviation 
E (m)]]</f>
        <v>694131.54399999999</v>
      </c>
      <c r="W2080" s="7">
        <v>0.24</v>
      </c>
      <c r="X2080" s="2" t="s">
        <v>51</v>
      </c>
    </row>
    <row r="2081" spans="1:28" ht="13.95" hidden="1" customHeight="1" x14ac:dyDescent="0.65">
      <c r="A2081">
        <v>2075</v>
      </c>
      <c r="B2081" t="s">
        <v>29</v>
      </c>
      <c r="C2081" s="6">
        <v>1511668.16</v>
      </c>
      <c r="D2081" s="6">
        <v>694095.36699999997</v>
      </c>
      <c r="E2081" s="2" t="s">
        <v>35</v>
      </c>
      <c r="F2081" s="1">
        <v>24</v>
      </c>
      <c r="G2081" s="2" t="s">
        <v>50</v>
      </c>
      <c r="J2081"/>
      <c r="K2081" s="19"/>
      <c r="L2081" s="21"/>
      <c r="M2081" s="27"/>
      <c r="N2081" s="19"/>
      <c r="O2081" s="21"/>
      <c r="Q2081" s="7">
        <f>Table2[[#This Row],[Elevation
PILE TOP]]-Table2[[#This Row],[LENGTH(m.)
(Actual)]]</f>
        <v>0</v>
      </c>
      <c r="R2081" s="2"/>
      <c r="S2081" s="7">
        <f>Table2[[#This Row],[N]]+Table2[[#This Row],[Pile 
Deviation 
N (m)]]</f>
        <v>1511668.16</v>
      </c>
      <c r="T2081" s="7">
        <f>Table2[[#This Row],[E]]+Table2[[#This Row],[Pile 
Deviation 
E (m)]]</f>
        <v>694095.36699999997</v>
      </c>
      <c r="W2081" s="7">
        <v>0.24</v>
      </c>
      <c r="X2081" s="2" t="s">
        <v>51</v>
      </c>
    </row>
    <row r="2082" spans="1:28" hidden="1" x14ac:dyDescent="0.65">
      <c r="A2082">
        <v>2076</v>
      </c>
      <c r="B2082" t="s">
        <v>29</v>
      </c>
      <c r="C2082" s="6">
        <v>1511668.142</v>
      </c>
      <c r="D2082" s="6">
        <v>694065.46299999999</v>
      </c>
      <c r="E2082" s="2" t="s">
        <v>35</v>
      </c>
      <c r="F2082" s="1">
        <v>24</v>
      </c>
      <c r="G2082" s="2" t="s">
        <v>50</v>
      </c>
      <c r="J2082"/>
      <c r="K2082" s="19"/>
      <c r="L2082" s="21"/>
      <c r="M2082" s="27"/>
      <c r="N2082" s="19"/>
      <c r="O2082" s="21"/>
      <c r="Q2082" s="7">
        <f>Table2[[#This Row],[Elevation
PILE TOP]]-Table2[[#This Row],[LENGTH(m.)
(Actual)]]</f>
        <v>0</v>
      </c>
      <c r="R2082" s="2"/>
      <c r="S2082" s="7">
        <f>Table2[[#This Row],[N]]+Table2[[#This Row],[Pile 
Deviation 
N (m)]]</f>
        <v>1511668.142</v>
      </c>
      <c r="T2082" s="7">
        <f>Table2[[#This Row],[E]]+Table2[[#This Row],[Pile 
Deviation 
E (m)]]</f>
        <v>694065.46299999999</v>
      </c>
      <c r="W2082" s="7">
        <v>0.24</v>
      </c>
      <c r="X2082" s="2" t="s">
        <v>51</v>
      </c>
    </row>
    <row r="2083" spans="1:28" ht="13.95" customHeight="1" x14ac:dyDescent="0.65">
      <c r="A2083">
        <v>2077</v>
      </c>
      <c r="B2083" t="s">
        <v>29</v>
      </c>
      <c r="C2083" s="6">
        <v>1511668.1240000001</v>
      </c>
      <c r="D2083" s="6">
        <v>694035.55900000001</v>
      </c>
      <c r="E2083" s="2" t="s">
        <v>35</v>
      </c>
      <c r="F2083" s="1">
        <v>24</v>
      </c>
      <c r="G2083" s="2" t="s">
        <v>50</v>
      </c>
      <c r="J2083"/>
      <c r="K2083" s="19"/>
      <c r="L2083" s="21"/>
      <c r="M2083" s="27"/>
      <c r="N2083" s="19"/>
      <c r="O2083" s="21"/>
      <c r="Q2083" s="7">
        <f>Table2[[#This Row],[Elevation
PILE TOP]]-Table2[[#This Row],[LENGTH(m.)
(Actual)]]</f>
        <v>0</v>
      </c>
      <c r="R2083" s="2"/>
      <c r="S2083" s="7">
        <f>Table2[[#This Row],[N]]+Table2[[#This Row],[Pile 
Deviation 
N (m)]]</f>
        <v>1511668.1240000001</v>
      </c>
      <c r="T2083" s="7">
        <f>Table2[[#This Row],[E]]+Table2[[#This Row],[Pile 
Deviation 
E (m)]]</f>
        <v>694035.55900000001</v>
      </c>
      <c r="W2083" s="7">
        <v>0.24</v>
      </c>
      <c r="X2083" s="2" t="s">
        <v>51</v>
      </c>
      <c r="AA2083" s="9">
        <v>46195</v>
      </c>
    </row>
    <row r="2084" spans="1:28" hidden="1" x14ac:dyDescent="0.65">
      <c r="A2084">
        <v>2078</v>
      </c>
      <c r="B2084" t="s">
        <v>29</v>
      </c>
      <c r="C2084" s="6">
        <v>1511667.8870000001</v>
      </c>
      <c r="D2084" s="6">
        <v>694113.95499999996</v>
      </c>
      <c r="E2084" s="2" t="s">
        <v>35</v>
      </c>
      <c r="F2084" s="1">
        <v>24</v>
      </c>
      <c r="G2084" s="2" t="s">
        <v>50</v>
      </c>
      <c r="J2084"/>
      <c r="K2084" s="19"/>
      <c r="L2084" s="21"/>
      <c r="M2084" s="27"/>
      <c r="N2084" s="19"/>
      <c r="O2084" s="21"/>
      <c r="Q2084" s="7">
        <f>Table2[[#This Row],[Elevation
PILE TOP]]-Table2[[#This Row],[LENGTH(m.)
(Actual)]]</f>
        <v>0</v>
      </c>
      <c r="R2084" s="2"/>
      <c r="S2084" s="7">
        <f>Table2[[#This Row],[N]]+Table2[[#This Row],[Pile 
Deviation 
N (m)]]</f>
        <v>1511667.8870000001</v>
      </c>
      <c r="T2084" s="7">
        <f>Table2[[#This Row],[E]]+Table2[[#This Row],[Pile 
Deviation 
E (m)]]</f>
        <v>694113.95499999996</v>
      </c>
      <c r="W2084" s="7">
        <v>0.24</v>
      </c>
      <c r="X2084" s="2" t="s">
        <v>51</v>
      </c>
    </row>
    <row r="2085" spans="1:28" ht="13.95" hidden="1" customHeight="1" x14ac:dyDescent="0.65">
      <c r="A2085">
        <v>2079</v>
      </c>
      <c r="B2085" t="s">
        <v>29</v>
      </c>
      <c r="C2085" s="6">
        <v>1511667.757</v>
      </c>
      <c r="D2085" s="6">
        <v>694106.42799999996</v>
      </c>
      <c r="E2085" s="2" t="s">
        <v>35</v>
      </c>
      <c r="F2085" s="1">
        <v>24</v>
      </c>
      <c r="G2085" s="2" t="s">
        <v>50</v>
      </c>
      <c r="J2085"/>
      <c r="K2085" s="19"/>
      <c r="L2085" s="21"/>
      <c r="M2085" s="27"/>
      <c r="N2085" s="19"/>
      <c r="O2085" s="21"/>
      <c r="Q2085" s="7">
        <f>Table2[[#This Row],[Elevation
PILE TOP]]-Table2[[#This Row],[LENGTH(m.)
(Actual)]]</f>
        <v>0</v>
      </c>
      <c r="R2085" s="2"/>
      <c r="S2085" s="7">
        <f>Table2[[#This Row],[N]]+Table2[[#This Row],[Pile 
Deviation 
N (m)]]</f>
        <v>1511667.757</v>
      </c>
      <c r="T2085" s="7">
        <f>Table2[[#This Row],[E]]+Table2[[#This Row],[Pile 
Deviation 
E (m)]]</f>
        <v>694106.42799999996</v>
      </c>
      <c r="W2085" s="7">
        <v>0.24</v>
      </c>
      <c r="X2085" s="2" t="s">
        <v>51</v>
      </c>
    </row>
    <row r="2086" spans="1:28" hidden="1" x14ac:dyDescent="0.65">
      <c r="A2086">
        <v>2080</v>
      </c>
      <c r="B2086" t="s">
        <v>29</v>
      </c>
      <c r="C2086" s="6">
        <v>1511667.7390000001</v>
      </c>
      <c r="D2086" s="6">
        <v>694076.52399999998</v>
      </c>
      <c r="E2086" s="2" t="s">
        <v>35</v>
      </c>
      <c r="F2086" s="1">
        <v>24</v>
      </c>
      <c r="G2086" s="2" t="s">
        <v>50</v>
      </c>
      <c r="J2086"/>
      <c r="K2086" s="19"/>
      <c r="L2086" s="21"/>
      <c r="M2086" s="27"/>
      <c r="N2086" s="19"/>
      <c r="O2086" s="21"/>
      <c r="Q2086" s="7">
        <f>Table2[[#This Row],[Elevation
PILE TOP]]-Table2[[#This Row],[LENGTH(m.)
(Actual)]]</f>
        <v>0</v>
      </c>
      <c r="R2086" s="2"/>
      <c r="S2086" s="7">
        <f>Table2[[#This Row],[N]]+Table2[[#This Row],[Pile 
Deviation 
N (m)]]</f>
        <v>1511667.7390000001</v>
      </c>
      <c r="T2086" s="7">
        <f>Table2[[#This Row],[E]]+Table2[[#This Row],[Pile 
Deviation 
E (m)]]</f>
        <v>694076.52399999998</v>
      </c>
      <c r="W2086" s="7">
        <v>0.24</v>
      </c>
      <c r="X2086" s="2" t="s">
        <v>51</v>
      </c>
    </row>
    <row r="2087" spans="1:28" ht="13.95" customHeight="1" x14ac:dyDescent="0.65">
      <c r="A2087">
        <v>2081</v>
      </c>
      <c r="B2087" t="s">
        <v>29</v>
      </c>
      <c r="C2087" s="6">
        <v>1511667.7209999999</v>
      </c>
      <c r="D2087" s="6">
        <v>694046.62</v>
      </c>
      <c r="E2087" s="2" t="s">
        <v>35</v>
      </c>
      <c r="F2087" s="1">
        <v>24</v>
      </c>
      <c r="G2087" s="2" t="s">
        <v>50</v>
      </c>
      <c r="J2087"/>
      <c r="K2087" s="19"/>
      <c r="L2087" s="21"/>
      <c r="M2087" s="27"/>
      <c r="N2087" s="19"/>
      <c r="O2087" s="21"/>
      <c r="Q2087" s="7">
        <f>Table2[[#This Row],[Elevation
PILE TOP]]-Table2[[#This Row],[LENGTH(m.)
(Actual)]]</f>
        <v>0</v>
      </c>
      <c r="R2087" s="2"/>
      <c r="S2087" s="7">
        <f>Table2[[#This Row],[N]]+Table2[[#This Row],[Pile 
Deviation 
N (m)]]</f>
        <v>1511667.7209999999</v>
      </c>
      <c r="T2087" s="7">
        <f>Table2[[#This Row],[E]]+Table2[[#This Row],[Pile 
Deviation 
E (m)]]</f>
        <v>694046.62</v>
      </c>
      <c r="W2087" s="7">
        <v>0.24</v>
      </c>
      <c r="X2087" s="2" t="s">
        <v>51</v>
      </c>
      <c r="AA2087" s="9">
        <v>46196</v>
      </c>
    </row>
    <row r="2088" spans="1:28" hidden="1" x14ac:dyDescent="0.65">
      <c r="A2088">
        <v>2082</v>
      </c>
      <c r="B2088" t="s">
        <v>29</v>
      </c>
      <c r="C2088" s="6">
        <v>1511667.3359999999</v>
      </c>
      <c r="D2088" s="6">
        <v>694087.58499999996</v>
      </c>
      <c r="E2088" s="2" t="s">
        <v>35</v>
      </c>
      <c r="F2088" s="1">
        <v>24</v>
      </c>
      <c r="G2088" s="2" t="s">
        <v>50</v>
      </c>
      <c r="J2088"/>
      <c r="K2088" s="19"/>
      <c r="L2088" s="21"/>
      <c r="M2088" s="27"/>
      <c r="N2088" s="19"/>
      <c r="O2088" s="21"/>
      <c r="Q2088" s="7">
        <f>Table2[[#This Row],[Elevation
PILE TOP]]-Table2[[#This Row],[LENGTH(m.)
(Actual)]]</f>
        <v>0</v>
      </c>
      <c r="R2088" s="2"/>
      <c r="S2088" s="7">
        <f>Table2[[#This Row],[N]]+Table2[[#This Row],[Pile 
Deviation 
N (m)]]</f>
        <v>1511667.3359999999</v>
      </c>
      <c r="T2088" s="7">
        <f>Table2[[#This Row],[E]]+Table2[[#This Row],[Pile 
Deviation 
E (m)]]</f>
        <v>694087.58499999996</v>
      </c>
      <c r="W2088" s="7">
        <v>0.24</v>
      </c>
      <c r="X2088" s="2" t="s">
        <v>51</v>
      </c>
    </row>
    <row r="2089" spans="1:28" ht="13.95" hidden="1" customHeight="1" x14ac:dyDescent="0.65">
      <c r="A2089">
        <v>2083</v>
      </c>
      <c r="B2089" t="s">
        <v>29</v>
      </c>
      <c r="C2089" s="6">
        <v>1511667.318</v>
      </c>
      <c r="D2089" s="6">
        <v>694057.68099999998</v>
      </c>
      <c r="E2089" s="2" t="s">
        <v>35</v>
      </c>
      <c r="F2089" s="1">
        <v>24</v>
      </c>
      <c r="G2089" s="2" t="s">
        <v>50</v>
      </c>
      <c r="J2089"/>
      <c r="K2089" s="19"/>
      <c r="L2089" s="21"/>
      <c r="M2089" s="27"/>
      <c r="N2089" s="19"/>
      <c r="O2089" s="21"/>
      <c r="Q2089" s="7">
        <f>Table2[[#This Row],[Elevation
PILE TOP]]-Table2[[#This Row],[LENGTH(m.)
(Actual)]]</f>
        <v>0</v>
      </c>
      <c r="R2089" s="2"/>
      <c r="S2089" s="7">
        <f>Table2[[#This Row],[N]]+Table2[[#This Row],[Pile 
Deviation 
N (m)]]</f>
        <v>1511667.318</v>
      </c>
      <c r="T2089" s="7">
        <f>Table2[[#This Row],[E]]+Table2[[#This Row],[Pile 
Deviation 
E (m)]]</f>
        <v>694057.68099999998</v>
      </c>
      <c r="W2089" s="7">
        <v>0.24</v>
      </c>
      <c r="X2089" s="2" t="s">
        <v>51</v>
      </c>
    </row>
    <row r="2090" spans="1:28" hidden="1" x14ac:dyDescent="0.65">
      <c r="A2090">
        <v>2084</v>
      </c>
      <c r="B2090" t="s">
        <v>29</v>
      </c>
      <c r="C2090" s="6">
        <v>1511667.243</v>
      </c>
      <c r="D2090" s="6">
        <v>694125.00399999996</v>
      </c>
      <c r="E2090" s="2" t="s">
        <v>35</v>
      </c>
      <c r="F2090" s="1">
        <v>24</v>
      </c>
      <c r="G2090" s="2" t="s">
        <v>50</v>
      </c>
      <c r="J2090"/>
      <c r="K2090" s="19"/>
      <c r="L2090" s="21"/>
      <c r="M2090" s="27"/>
      <c r="N2090" s="19"/>
      <c r="O2090" s="21"/>
      <c r="Q2090" s="7">
        <f>Table2[[#This Row],[Elevation
PILE TOP]]-Table2[[#This Row],[LENGTH(m.)
(Actual)]]</f>
        <v>0</v>
      </c>
      <c r="R2090" s="2"/>
      <c r="S2090" s="7">
        <f>Table2[[#This Row],[N]]+Table2[[#This Row],[Pile 
Deviation 
N (m)]]</f>
        <v>1511667.243</v>
      </c>
      <c r="T2090" s="7">
        <f>Table2[[#This Row],[E]]+Table2[[#This Row],[Pile 
Deviation 
E (m)]]</f>
        <v>694125.00399999996</v>
      </c>
      <c r="W2090" s="7">
        <v>0.24</v>
      </c>
      <c r="X2090" s="2" t="s">
        <v>51</v>
      </c>
    </row>
    <row r="2091" spans="1:28" ht="13.95" hidden="1" customHeight="1" x14ac:dyDescent="0.65">
      <c r="A2091">
        <v>2085</v>
      </c>
      <c r="B2091" t="s">
        <v>29</v>
      </c>
      <c r="C2091" s="6">
        <v>1511666.933</v>
      </c>
      <c r="D2091" s="6">
        <v>694098.64500000002</v>
      </c>
      <c r="E2091" s="2" t="s">
        <v>35</v>
      </c>
      <c r="F2091" s="1">
        <v>24</v>
      </c>
      <c r="G2091" s="2" t="s">
        <v>50</v>
      </c>
      <c r="J2091"/>
      <c r="K2091" s="19"/>
      <c r="L2091" s="21"/>
      <c r="M2091" s="27"/>
      <c r="N2091" s="19"/>
      <c r="O2091" s="21"/>
      <c r="Q2091" s="7">
        <f>Table2[[#This Row],[Elevation
PILE TOP]]-Table2[[#This Row],[LENGTH(m.)
(Actual)]]</f>
        <v>0</v>
      </c>
      <c r="R2091" s="2"/>
      <c r="S2091" s="7">
        <f>Table2[[#This Row],[N]]+Table2[[#This Row],[Pile 
Deviation 
N (m)]]</f>
        <v>1511666.933</v>
      </c>
      <c r="T2091" s="7">
        <f>Table2[[#This Row],[E]]+Table2[[#This Row],[Pile 
Deviation 
E (m)]]</f>
        <v>694098.64500000002</v>
      </c>
      <c r="W2091" s="7">
        <v>0.24</v>
      </c>
      <c r="X2091" s="2" t="s">
        <v>51</v>
      </c>
    </row>
    <row r="2092" spans="1:28" hidden="1" x14ac:dyDescent="0.65">
      <c r="A2092">
        <v>2086</v>
      </c>
      <c r="B2092" t="s">
        <v>29</v>
      </c>
      <c r="C2092" s="6">
        <v>1511666.915</v>
      </c>
      <c r="D2092" s="6">
        <v>694068.74100000004</v>
      </c>
      <c r="E2092" s="2" t="s">
        <v>35</v>
      </c>
      <c r="F2092" s="1">
        <v>24</v>
      </c>
      <c r="G2092" s="2" t="s">
        <v>50</v>
      </c>
      <c r="J2092"/>
      <c r="K2092" s="19"/>
      <c r="L2092" s="21"/>
      <c r="M2092" s="27"/>
      <c r="N2092" s="19"/>
      <c r="O2092" s="21"/>
      <c r="Q2092" s="7">
        <f>Table2[[#This Row],[Elevation
PILE TOP]]-Table2[[#This Row],[LENGTH(m.)
(Actual)]]</f>
        <v>0</v>
      </c>
      <c r="R2092" s="2"/>
      <c r="S2092" s="7">
        <f>Table2[[#This Row],[N]]+Table2[[#This Row],[Pile 
Deviation 
N (m)]]</f>
        <v>1511666.915</v>
      </c>
      <c r="T2092" s="7">
        <f>Table2[[#This Row],[E]]+Table2[[#This Row],[Pile 
Deviation 
E (m)]]</f>
        <v>694068.74100000004</v>
      </c>
      <c r="W2092" s="7">
        <v>0.24</v>
      </c>
      <c r="X2092" s="2" t="s">
        <v>51</v>
      </c>
    </row>
    <row r="2093" spans="1:28" ht="13.95" customHeight="1" x14ac:dyDescent="0.65">
      <c r="A2093">
        <v>2087</v>
      </c>
      <c r="B2093" t="s">
        <v>29</v>
      </c>
      <c r="C2093" s="6">
        <v>1511666.8970000001</v>
      </c>
      <c r="D2093" s="6">
        <v>694038.83700000006</v>
      </c>
      <c r="E2093" s="2" t="s">
        <v>35</v>
      </c>
      <c r="F2093" s="1">
        <v>24</v>
      </c>
      <c r="G2093" s="2" t="s">
        <v>50</v>
      </c>
      <c r="J2093">
        <v>1</v>
      </c>
      <c r="K2093" s="19"/>
      <c r="L2093" s="21">
        <v>0.625</v>
      </c>
      <c r="M2093" s="27" t="s">
        <v>32</v>
      </c>
      <c r="N2093" s="19"/>
      <c r="O2093" s="21">
        <v>0.64652777777777781</v>
      </c>
      <c r="P2093" s="7">
        <v>0.28799999999999998</v>
      </c>
      <c r="Q2093" s="7">
        <f>Table2[[#This Row],[Elevation
PILE TOP]]-Table2[[#This Row],[LENGTH(m.)
(Actual)]]</f>
        <v>-21.712</v>
      </c>
      <c r="R2093" s="2">
        <v>22</v>
      </c>
      <c r="S2093" s="7">
        <f>Table2[[#This Row],[N]]+Table2[[#This Row],[Pile 
Deviation 
N (m)]]</f>
        <v>1511666.9170000001</v>
      </c>
      <c r="T2093" s="7">
        <f>Table2[[#This Row],[E]]+Table2[[#This Row],[Pile 
Deviation 
E (m)]]</f>
        <v>694038.82700000005</v>
      </c>
      <c r="U2093" s="7">
        <v>0.02</v>
      </c>
      <c r="V2093" s="7">
        <v>-0.01</v>
      </c>
      <c r="W2093" s="7">
        <v>0.24</v>
      </c>
      <c r="X2093" s="2" t="s">
        <v>51</v>
      </c>
      <c r="Y2093" t="s">
        <v>63</v>
      </c>
      <c r="Z2093" s="9">
        <v>46196</v>
      </c>
      <c r="AA2093" s="9">
        <v>46195</v>
      </c>
      <c r="AB2093">
        <v>57</v>
      </c>
    </row>
    <row r="2094" spans="1:28" hidden="1" x14ac:dyDescent="0.65">
      <c r="A2094">
        <v>2088</v>
      </c>
      <c r="B2094" t="s">
        <v>29</v>
      </c>
      <c r="C2094" s="6">
        <v>1511666.5889999999</v>
      </c>
      <c r="D2094" s="6">
        <v>694117.20499999996</v>
      </c>
      <c r="E2094" s="2" t="s">
        <v>35</v>
      </c>
      <c r="F2094" s="1">
        <v>24</v>
      </c>
      <c r="G2094" s="2" t="s">
        <v>50</v>
      </c>
      <c r="J2094"/>
      <c r="K2094" s="19"/>
      <c r="L2094" s="21"/>
      <c r="M2094" s="27"/>
      <c r="N2094" s="19"/>
      <c r="O2094" s="21"/>
      <c r="Q2094" s="7">
        <f>Table2[[#This Row],[Elevation
PILE TOP]]-Table2[[#This Row],[LENGTH(m.)
(Actual)]]</f>
        <v>0</v>
      </c>
      <c r="R2094" s="2"/>
      <c r="S2094" s="7">
        <f>Table2[[#This Row],[N]]+Table2[[#This Row],[Pile 
Deviation 
N (m)]]</f>
        <v>1511666.5889999999</v>
      </c>
      <c r="T2094" s="7">
        <f>Table2[[#This Row],[E]]+Table2[[#This Row],[Pile 
Deviation 
E (m)]]</f>
        <v>694117.20499999996</v>
      </c>
      <c r="W2094" s="7">
        <v>0.24</v>
      </c>
      <c r="X2094" s="2" t="s">
        <v>51</v>
      </c>
    </row>
    <row r="2095" spans="1:28" ht="13.95" hidden="1" customHeight="1" x14ac:dyDescent="0.65">
      <c r="A2095">
        <v>2089</v>
      </c>
      <c r="B2095" t="s">
        <v>29</v>
      </c>
      <c r="C2095" s="6">
        <v>1511666.53</v>
      </c>
      <c r="D2095" s="6">
        <v>694109.70600000001</v>
      </c>
      <c r="E2095" s="2" t="s">
        <v>35</v>
      </c>
      <c r="F2095" s="1">
        <v>24</v>
      </c>
      <c r="G2095" s="2" t="s">
        <v>50</v>
      </c>
      <c r="J2095"/>
      <c r="K2095" s="19"/>
      <c r="L2095" s="21"/>
      <c r="M2095" s="27"/>
      <c r="N2095" s="19"/>
      <c r="O2095" s="21"/>
      <c r="Q2095" s="7">
        <f>Table2[[#This Row],[Elevation
PILE TOP]]-Table2[[#This Row],[LENGTH(m.)
(Actual)]]</f>
        <v>0</v>
      </c>
      <c r="R2095" s="2"/>
      <c r="S2095" s="7">
        <f>Table2[[#This Row],[N]]+Table2[[#This Row],[Pile 
Deviation 
N (m)]]</f>
        <v>1511666.53</v>
      </c>
      <c r="T2095" s="7">
        <f>Table2[[#This Row],[E]]+Table2[[#This Row],[Pile 
Deviation 
E (m)]]</f>
        <v>694109.70600000001</v>
      </c>
      <c r="W2095" s="7">
        <v>0.24</v>
      </c>
      <c r="X2095" s="2" t="s">
        <v>51</v>
      </c>
    </row>
    <row r="2096" spans="1:28" hidden="1" x14ac:dyDescent="0.65">
      <c r="A2096">
        <v>2090</v>
      </c>
      <c r="B2096" t="s">
        <v>29</v>
      </c>
      <c r="C2096" s="6">
        <v>1511666.5120000001</v>
      </c>
      <c r="D2096" s="6">
        <v>694079.80200000003</v>
      </c>
      <c r="E2096" s="2" t="s">
        <v>35</v>
      </c>
      <c r="F2096" s="1">
        <v>24</v>
      </c>
      <c r="G2096" s="2" t="s">
        <v>50</v>
      </c>
      <c r="J2096"/>
      <c r="K2096" s="19"/>
      <c r="L2096" s="21"/>
      <c r="M2096" s="27"/>
      <c r="N2096" s="19"/>
      <c r="O2096" s="21"/>
      <c r="Q2096" s="7">
        <f>Table2[[#This Row],[Elevation
PILE TOP]]-Table2[[#This Row],[LENGTH(m.)
(Actual)]]</f>
        <v>0</v>
      </c>
      <c r="R2096" s="2"/>
      <c r="S2096" s="7">
        <f>Table2[[#This Row],[N]]+Table2[[#This Row],[Pile 
Deviation 
N (m)]]</f>
        <v>1511666.5120000001</v>
      </c>
      <c r="T2096" s="7">
        <f>Table2[[#This Row],[E]]+Table2[[#This Row],[Pile 
Deviation 
E (m)]]</f>
        <v>694079.80200000003</v>
      </c>
      <c r="W2096" s="7">
        <v>0.24</v>
      </c>
      <c r="X2096" s="2" t="s">
        <v>51</v>
      </c>
    </row>
    <row r="2097" spans="1:28" ht="13.95" customHeight="1" x14ac:dyDescent="0.65">
      <c r="A2097">
        <v>2091</v>
      </c>
      <c r="B2097" t="s">
        <v>29</v>
      </c>
      <c r="C2097" s="6">
        <v>1511666.4939999999</v>
      </c>
      <c r="D2097" s="6">
        <v>694049.89800000004</v>
      </c>
      <c r="E2097" s="2" t="s">
        <v>35</v>
      </c>
      <c r="F2097" s="1">
        <v>24</v>
      </c>
      <c r="G2097" s="2" t="s">
        <v>50</v>
      </c>
      <c r="J2097"/>
      <c r="K2097" s="19"/>
      <c r="L2097" s="21"/>
      <c r="M2097" s="27"/>
      <c r="N2097" s="19"/>
      <c r="O2097" s="21"/>
      <c r="Q2097" s="7">
        <f>Table2[[#This Row],[Elevation
PILE TOP]]-Table2[[#This Row],[LENGTH(m.)
(Actual)]]</f>
        <v>0</v>
      </c>
      <c r="R2097" s="2"/>
      <c r="S2097" s="7">
        <f>Table2[[#This Row],[N]]+Table2[[#This Row],[Pile 
Deviation 
N (m)]]</f>
        <v>1511666.4939999999</v>
      </c>
      <c r="T2097" s="7">
        <f>Table2[[#This Row],[E]]+Table2[[#This Row],[Pile 
Deviation 
E (m)]]</f>
        <v>694049.89800000004</v>
      </c>
      <c r="W2097" s="7">
        <v>0.24</v>
      </c>
      <c r="X2097" s="2" t="s">
        <v>51</v>
      </c>
      <c r="AA2097" s="9">
        <v>46196</v>
      </c>
    </row>
    <row r="2098" spans="1:28" hidden="1" x14ac:dyDescent="0.65">
      <c r="A2098">
        <v>2092</v>
      </c>
      <c r="B2098" t="s">
        <v>29</v>
      </c>
      <c r="C2098" s="6">
        <v>1511666.1089999999</v>
      </c>
      <c r="D2098" s="6">
        <v>694090.86300000001</v>
      </c>
      <c r="E2098" s="2" t="s">
        <v>35</v>
      </c>
      <c r="F2098" s="1">
        <v>24</v>
      </c>
      <c r="G2098" s="2" t="s">
        <v>50</v>
      </c>
      <c r="J2098"/>
      <c r="K2098" s="19"/>
      <c r="L2098" s="21"/>
      <c r="M2098" s="27"/>
      <c r="N2098" s="19"/>
      <c r="O2098" s="21"/>
      <c r="Q2098" s="7">
        <f>Table2[[#This Row],[Elevation
PILE TOP]]-Table2[[#This Row],[LENGTH(m.)
(Actual)]]</f>
        <v>0</v>
      </c>
      <c r="R2098" s="2"/>
      <c r="S2098" s="7">
        <f>Table2[[#This Row],[N]]+Table2[[#This Row],[Pile 
Deviation 
N (m)]]</f>
        <v>1511666.1089999999</v>
      </c>
      <c r="T2098" s="7">
        <f>Table2[[#This Row],[E]]+Table2[[#This Row],[Pile 
Deviation 
E (m)]]</f>
        <v>694090.86300000001</v>
      </c>
      <c r="W2098" s="7">
        <v>0.24</v>
      </c>
      <c r="X2098" s="2" t="s">
        <v>51</v>
      </c>
    </row>
    <row r="2099" spans="1:28" ht="13.95" hidden="1" customHeight="1" x14ac:dyDescent="0.65">
      <c r="A2099">
        <v>2093</v>
      </c>
      <c r="B2099" t="s">
        <v>29</v>
      </c>
      <c r="C2099" s="6">
        <v>1511666.091</v>
      </c>
      <c r="D2099" s="6">
        <v>694060.95900000003</v>
      </c>
      <c r="E2099" s="2" t="s">
        <v>35</v>
      </c>
      <c r="F2099" s="1">
        <v>24</v>
      </c>
      <c r="G2099" s="2" t="s">
        <v>50</v>
      </c>
      <c r="J2099"/>
      <c r="K2099" s="19"/>
      <c r="L2099" s="21"/>
      <c r="M2099" s="27"/>
      <c r="N2099" s="19"/>
      <c r="O2099" s="21"/>
      <c r="Q2099" s="7">
        <f>Table2[[#This Row],[Elevation
PILE TOP]]-Table2[[#This Row],[LENGTH(m.)
(Actual)]]</f>
        <v>0</v>
      </c>
      <c r="R2099" s="2"/>
      <c r="S2099" s="7">
        <f>Table2[[#This Row],[N]]+Table2[[#This Row],[Pile 
Deviation 
N (m)]]</f>
        <v>1511666.091</v>
      </c>
      <c r="T2099" s="7">
        <f>Table2[[#This Row],[E]]+Table2[[#This Row],[Pile 
Deviation 
E (m)]]</f>
        <v>694060.95900000003</v>
      </c>
      <c r="W2099" s="7">
        <v>0.24</v>
      </c>
      <c r="X2099" s="2" t="s">
        <v>51</v>
      </c>
    </row>
    <row r="2100" spans="1:28" hidden="1" x14ac:dyDescent="0.65">
      <c r="A2100">
        <v>2094</v>
      </c>
      <c r="B2100" t="s">
        <v>29</v>
      </c>
      <c r="C2100" s="6">
        <v>1511665.9450000001</v>
      </c>
      <c r="D2100" s="6">
        <v>694128.25399999996</v>
      </c>
      <c r="E2100" s="2" t="s">
        <v>35</v>
      </c>
      <c r="F2100" s="1">
        <v>24</v>
      </c>
      <c r="G2100" s="2" t="s">
        <v>50</v>
      </c>
      <c r="J2100"/>
      <c r="K2100" s="19"/>
      <c r="L2100" s="21"/>
      <c r="M2100" s="27"/>
      <c r="N2100" s="19"/>
      <c r="O2100" s="21"/>
      <c r="Q2100" s="7">
        <f>Table2[[#This Row],[Elevation
PILE TOP]]-Table2[[#This Row],[LENGTH(m.)
(Actual)]]</f>
        <v>0</v>
      </c>
      <c r="R2100" s="2"/>
      <c r="S2100" s="7">
        <f>Table2[[#This Row],[N]]+Table2[[#This Row],[Pile 
Deviation 
N (m)]]</f>
        <v>1511665.9450000001</v>
      </c>
      <c r="T2100" s="7">
        <f>Table2[[#This Row],[E]]+Table2[[#This Row],[Pile 
Deviation 
E (m)]]</f>
        <v>694128.25399999996</v>
      </c>
      <c r="W2100" s="7">
        <v>0.24</v>
      </c>
      <c r="X2100" s="2" t="s">
        <v>51</v>
      </c>
    </row>
    <row r="2101" spans="1:28" ht="13.95" hidden="1" customHeight="1" x14ac:dyDescent="0.65">
      <c r="A2101">
        <v>2095</v>
      </c>
      <c r="B2101" t="s">
        <v>29</v>
      </c>
      <c r="C2101" s="6">
        <v>1511665.706</v>
      </c>
      <c r="D2101" s="6">
        <v>694101.92299999995</v>
      </c>
      <c r="E2101" s="2" t="s">
        <v>35</v>
      </c>
      <c r="F2101" s="1">
        <v>24</v>
      </c>
      <c r="G2101" s="2" t="s">
        <v>50</v>
      </c>
      <c r="J2101"/>
      <c r="K2101" s="19"/>
      <c r="L2101" s="21"/>
      <c r="M2101" s="27"/>
      <c r="N2101" s="19"/>
      <c r="O2101" s="21"/>
      <c r="Q2101" s="7">
        <f>Table2[[#This Row],[Elevation
PILE TOP]]-Table2[[#This Row],[LENGTH(m.)
(Actual)]]</f>
        <v>0</v>
      </c>
      <c r="R2101" s="2"/>
      <c r="S2101" s="7">
        <f>Table2[[#This Row],[N]]+Table2[[#This Row],[Pile 
Deviation 
N (m)]]</f>
        <v>1511665.706</v>
      </c>
      <c r="T2101" s="7">
        <f>Table2[[#This Row],[E]]+Table2[[#This Row],[Pile 
Deviation 
E (m)]]</f>
        <v>694101.92299999995</v>
      </c>
      <c r="W2101" s="7">
        <v>0.24</v>
      </c>
      <c r="X2101" s="2" t="s">
        <v>51</v>
      </c>
    </row>
    <row r="2102" spans="1:28" hidden="1" x14ac:dyDescent="0.65">
      <c r="A2102">
        <v>2096</v>
      </c>
      <c r="B2102" t="s">
        <v>29</v>
      </c>
      <c r="C2102" s="6">
        <v>1511665.6880000001</v>
      </c>
      <c r="D2102" s="6">
        <v>694072.01899999997</v>
      </c>
      <c r="E2102" s="2" t="s">
        <v>35</v>
      </c>
      <c r="F2102" s="1">
        <v>24</v>
      </c>
      <c r="G2102" s="2" t="s">
        <v>50</v>
      </c>
      <c r="J2102"/>
      <c r="K2102" s="19"/>
      <c r="L2102" s="21"/>
      <c r="M2102" s="27"/>
      <c r="N2102" s="19"/>
      <c r="O2102" s="21"/>
      <c r="Q2102" s="7">
        <f>Table2[[#This Row],[Elevation
PILE TOP]]-Table2[[#This Row],[LENGTH(m.)
(Actual)]]</f>
        <v>0</v>
      </c>
      <c r="R2102" s="2"/>
      <c r="S2102" s="7">
        <f>Table2[[#This Row],[N]]+Table2[[#This Row],[Pile 
Deviation 
N (m)]]</f>
        <v>1511665.6880000001</v>
      </c>
      <c r="T2102" s="7">
        <f>Table2[[#This Row],[E]]+Table2[[#This Row],[Pile 
Deviation 
E (m)]]</f>
        <v>694072.01899999997</v>
      </c>
      <c r="W2102" s="7">
        <v>0.24</v>
      </c>
      <c r="X2102" s="2" t="s">
        <v>51</v>
      </c>
    </row>
    <row r="2103" spans="1:28" ht="13.95" customHeight="1" x14ac:dyDescent="0.65">
      <c r="A2103">
        <v>2097</v>
      </c>
      <c r="B2103" t="s">
        <v>29</v>
      </c>
      <c r="C2103" s="6">
        <v>1511665.67</v>
      </c>
      <c r="D2103" s="6">
        <v>694042.11499999999</v>
      </c>
      <c r="E2103" s="2" t="s">
        <v>35</v>
      </c>
      <c r="F2103" s="1">
        <v>24</v>
      </c>
      <c r="G2103" s="2" t="s">
        <v>50</v>
      </c>
      <c r="J2103">
        <v>1</v>
      </c>
      <c r="K2103" s="19"/>
      <c r="L2103" s="21">
        <v>0.65138888888888891</v>
      </c>
      <c r="M2103" s="27" t="s">
        <v>32</v>
      </c>
      <c r="N2103" s="19"/>
      <c r="O2103" s="21">
        <v>0.67013888888888884</v>
      </c>
      <c r="P2103" s="7">
        <v>0.96799999999999997</v>
      </c>
      <c r="Q2103" s="7">
        <f>Table2[[#This Row],[Elevation
PILE TOP]]-Table2[[#This Row],[LENGTH(m.)
(Actual)]]</f>
        <v>-21.032</v>
      </c>
      <c r="R2103" s="2">
        <v>22</v>
      </c>
      <c r="S2103" s="7">
        <f>Table2[[#This Row],[N]]+Table2[[#This Row],[Pile 
Deviation 
N (m)]]</f>
        <v>1511665.69</v>
      </c>
      <c r="T2103" s="7">
        <f>Table2[[#This Row],[E]]+Table2[[#This Row],[Pile 
Deviation 
E (m)]]</f>
        <v>694042.125</v>
      </c>
      <c r="U2103" s="7">
        <v>0.02</v>
      </c>
      <c r="V2103" s="7">
        <v>0.01</v>
      </c>
      <c r="W2103" s="7">
        <v>0.24</v>
      </c>
      <c r="X2103" s="2" t="s">
        <v>51</v>
      </c>
      <c r="Y2103" t="s">
        <v>63</v>
      </c>
      <c r="Z2103" s="9">
        <v>46196</v>
      </c>
      <c r="AA2103" s="9">
        <v>46195</v>
      </c>
      <c r="AB2103">
        <v>58</v>
      </c>
    </row>
    <row r="2104" spans="1:28" hidden="1" x14ac:dyDescent="0.65">
      <c r="A2104">
        <v>2098</v>
      </c>
      <c r="B2104" t="s">
        <v>29</v>
      </c>
      <c r="C2104" s="6">
        <v>1511665.3430000001</v>
      </c>
      <c r="D2104" s="6">
        <v>694129.76300000004</v>
      </c>
      <c r="E2104" s="2" t="s">
        <v>35</v>
      </c>
      <c r="F2104" s="1">
        <v>24</v>
      </c>
      <c r="G2104" s="2" t="s">
        <v>50</v>
      </c>
      <c r="J2104"/>
      <c r="K2104" s="19"/>
      <c r="L2104" s="21"/>
      <c r="M2104" s="27"/>
      <c r="N2104" s="19"/>
      <c r="O2104" s="21"/>
      <c r="Q2104" s="7">
        <f>Table2[[#This Row],[Elevation
PILE TOP]]-Table2[[#This Row],[LENGTH(m.)
(Actual)]]</f>
        <v>0</v>
      </c>
      <c r="R2104" s="2"/>
      <c r="S2104" s="7">
        <f>Table2[[#This Row],[N]]+Table2[[#This Row],[Pile 
Deviation 
N (m)]]</f>
        <v>1511665.3430000001</v>
      </c>
      <c r="T2104" s="7">
        <f>Table2[[#This Row],[E]]+Table2[[#This Row],[Pile 
Deviation 
E (m)]]</f>
        <v>694129.76300000004</v>
      </c>
      <c r="W2104" s="7">
        <v>0.24</v>
      </c>
      <c r="X2104" s="2" t="s">
        <v>51</v>
      </c>
    </row>
    <row r="2105" spans="1:28" ht="13.95" hidden="1" customHeight="1" x14ac:dyDescent="0.65">
      <c r="A2105">
        <v>2099</v>
      </c>
      <c r="B2105" t="s">
        <v>29</v>
      </c>
      <c r="C2105" s="6">
        <v>1511665.3030000001</v>
      </c>
      <c r="D2105" s="6">
        <v>694112.98400000005</v>
      </c>
      <c r="E2105" s="2" t="s">
        <v>35</v>
      </c>
      <c r="F2105" s="1">
        <v>24</v>
      </c>
      <c r="G2105" s="2" t="s">
        <v>50</v>
      </c>
      <c r="J2105"/>
      <c r="K2105" s="19"/>
      <c r="L2105" s="21"/>
      <c r="M2105" s="27"/>
      <c r="N2105" s="19"/>
      <c r="O2105" s="21"/>
      <c r="Q2105" s="7">
        <f>Table2[[#This Row],[Elevation
PILE TOP]]-Table2[[#This Row],[LENGTH(m.)
(Actual)]]</f>
        <v>0</v>
      </c>
      <c r="R2105" s="2"/>
      <c r="S2105" s="7">
        <f>Table2[[#This Row],[N]]+Table2[[#This Row],[Pile 
Deviation 
N (m)]]</f>
        <v>1511665.3030000001</v>
      </c>
      <c r="T2105" s="7">
        <f>Table2[[#This Row],[E]]+Table2[[#This Row],[Pile 
Deviation 
E (m)]]</f>
        <v>694112.98400000005</v>
      </c>
      <c r="W2105" s="7">
        <v>0.24</v>
      </c>
      <c r="X2105" s="2" t="s">
        <v>51</v>
      </c>
    </row>
    <row r="2106" spans="1:28" hidden="1" x14ac:dyDescent="0.65">
      <c r="A2106">
        <v>2100</v>
      </c>
      <c r="B2106" t="s">
        <v>29</v>
      </c>
      <c r="C2106" s="6">
        <v>1511665.291</v>
      </c>
      <c r="D2106" s="6">
        <v>694120.45499999996</v>
      </c>
      <c r="E2106" s="2" t="s">
        <v>35</v>
      </c>
      <c r="F2106" s="1">
        <v>24</v>
      </c>
      <c r="G2106" s="2" t="s">
        <v>50</v>
      </c>
      <c r="J2106"/>
      <c r="K2106" s="19"/>
      <c r="L2106" s="21"/>
      <c r="M2106" s="27"/>
      <c r="N2106" s="19"/>
      <c r="O2106" s="21"/>
      <c r="Q2106" s="7">
        <f>Table2[[#This Row],[Elevation
PILE TOP]]-Table2[[#This Row],[LENGTH(m.)
(Actual)]]</f>
        <v>0</v>
      </c>
      <c r="R2106" s="2"/>
      <c r="S2106" s="7">
        <f>Table2[[#This Row],[N]]+Table2[[#This Row],[Pile 
Deviation 
N (m)]]</f>
        <v>1511665.291</v>
      </c>
      <c r="T2106" s="7">
        <f>Table2[[#This Row],[E]]+Table2[[#This Row],[Pile 
Deviation 
E (m)]]</f>
        <v>694120.45499999996</v>
      </c>
      <c r="W2106" s="7">
        <v>0.24</v>
      </c>
      <c r="X2106" s="2" t="s">
        <v>51</v>
      </c>
    </row>
    <row r="2107" spans="1:28" ht="13.95" hidden="1" customHeight="1" x14ac:dyDescent="0.65">
      <c r="A2107">
        <v>2101</v>
      </c>
      <c r="B2107" t="s">
        <v>29</v>
      </c>
      <c r="C2107" s="6">
        <v>1511665.2849999999</v>
      </c>
      <c r="D2107" s="6">
        <v>694083.08</v>
      </c>
      <c r="E2107" s="2" t="s">
        <v>35</v>
      </c>
      <c r="F2107" s="1">
        <v>24</v>
      </c>
      <c r="G2107" s="2" t="s">
        <v>50</v>
      </c>
      <c r="J2107"/>
      <c r="K2107" s="19"/>
      <c r="L2107" s="21"/>
      <c r="M2107" s="27"/>
      <c r="N2107" s="19"/>
      <c r="O2107" s="21"/>
      <c r="Q2107" s="7">
        <f>Table2[[#This Row],[Elevation
PILE TOP]]-Table2[[#This Row],[LENGTH(m.)
(Actual)]]</f>
        <v>0</v>
      </c>
      <c r="R2107" s="2"/>
      <c r="S2107" s="7">
        <f>Table2[[#This Row],[N]]+Table2[[#This Row],[Pile 
Deviation 
N (m)]]</f>
        <v>1511665.2849999999</v>
      </c>
      <c r="T2107" s="7">
        <f>Table2[[#This Row],[E]]+Table2[[#This Row],[Pile 
Deviation 
E (m)]]</f>
        <v>694083.08</v>
      </c>
      <c r="W2107" s="7">
        <v>0.24</v>
      </c>
      <c r="X2107" s="2" t="s">
        <v>51</v>
      </c>
    </row>
    <row r="2108" spans="1:28" x14ac:dyDescent="0.65">
      <c r="A2108">
        <v>2102</v>
      </c>
      <c r="B2108" t="s">
        <v>29</v>
      </c>
      <c r="C2108" s="6">
        <v>1511665.267</v>
      </c>
      <c r="D2108" s="6">
        <v>694053.17599999998</v>
      </c>
      <c r="E2108" s="2" t="s">
        <v>35</v>
      </c>
      <c r="F2108" s="1">
        <v>24</v>
      </c>
      <c r="G2108" s="2" t="s">
        <v>50</v>
      </c>
      <c r="J2108"/>
      <c r="K2108" s="19"/>
      <c r="L2108" s="21"/>
      <c r="M2108" s="27"/>
      <c r="N2108" s="19"/>
      <c r="O2108" s="21"/>
      <c r="Q2108" s="7">
        <f>Table2[[#This Row],[Elevation
PILE TOP]]-Table2[[#This Row],[LENGTH(m.)
(Actual)]]</f>
        <v>0</v>
      </c>
      <c r="R2108" s="2"/>
      <c r="S2108" s="7">
        <f>Table2[[#This Row],[N]]+Table2[[#This Row],[Pile 
Deviation 
N (m)]]</f>
        <v>1511665.267</v>
      </c>
      <c r="T2108" s="7">
        <f>Table2[[#This Row],[E]]+Table2[[#This Row],[Pile 
Deviation 
E (m)]]</f>
        <v>694053.17599999998</v>
      </c>
      <c r="W2108" s="7">
        <v>0.24</v>
      </c>
      <c r="X2108" s="2" t="s">
        <v>51</v>
      </c>
      <c r="AA2108" s="9">
        <v>46196</v>
      </c>
    </row>
    <row r="2109" spans="1:28" ht="13.95" hidden="1" customHeight="1" x14ac:dyDescent="0.65">
      <c r="A2109">
        <v>2103</v>
      </c>
      <c r="B2109" t="s">
        <v>29</v>
      </c>
      <c r="C2109" s="6">
        <v>1511664.882</v>
      </c>
      <c r="D2109" s="6">
        <v>694094.14</v>
      </c>
      <c r="E2109" s="2" t="s">
        <v>35</v>
      </c>
      <c r="F2109" s="1">
        <v>24</v>
      </c>
      <c r="G2109" s="2" t="s">
        <v>50</v>
      </c>
      <c r="J2109"/>
      <c r="K2109" s="19"/>
      <c r="L2109" s="21"/>
      <c r="M2109" s="27"/>
      <c r="N2109" s="19"/>
      <c r="O2109" s="21"/>
      <c r="Q2109" s="7">
        <f>Table2[[#This Row],[Elevation
PILE TOP]]-Table2[[#This Row],[LENGTH(m.)
(Actual)]]</f>
        <v>0</v>
      </c>
      <c r="R2109" s="2"/>
      <c r="S2109" s="7">
        <f>Table2[[#This Row],[N]]+Table2[[#This Row],[Pile 
Deviation 
N (m)]]</f>
        <v>1511664.882</v>
      </c>
      <c r="T2109" s="7">
        <f>Table2[[#This Row],[E]]+Table2[[#This Row],[Pile 
Deviation 
E (m)]]</f>
        <v>694094.14</v>
      </c>
      <c r="W2109" s="7">
        <v>0.24</v>
      </c>
      <c r="X2109" s="2" t="s">
        <v>51</v>
      </c>
    </row>
    <row r="2110" spans="1:28" hidden="1" x14ac:dyDescent="0.65">
      <c r="A2110">
        <v>2104</v>
      </c>
      <c r="B2110" t="s">
        <v>29</v>
      </c>
      <c r="C2110" s="6">
        <v>1511664.8640000001</v>
      </c>
      <c r="D2110" s="6">
        <v>694064.23600000003</v>
      </c>
      <c r="E2110" s="2" t="s">
        <v>35</v>
      </c>
      <c r="F2110" s="1">
        <v>24</v>
      </c>
      <c r="G2110" s="2" t="s">
        <v>50</v>
      </c>
      <c r="J2110"/>
      <c r="K2110" s="19"/>
      <c r="L2110" s="21"/>
      <c r="M2110" s="27"/>
      <c r="N2110" s="19"/>
      <c r="O2110" s="21"/>
      <c r="Q2110" s="7">
        <f>Table2[[#This Row],[Elevation
PILE TOP]]-Table2[[#This Row],[LENGTH(m.)
(Actual)]]</f>
        <v>0</v>
      </c>
      <c r="R2110" s="2"/>
      <c r="S2110" s="7">
        <f>Table2[[#This Row],[N]]+Table2[[#This Row],[Pile 
Deviation 
N (m)]]</f>
        <v>1511664.8640000001</v>
      </c>
      <c r="T2110" s="7">
        <f>Table2[[#This Row],[E]]+Table2[[#This Row],[Pile 
Deviation 
E (m)]]</f>
        <v>694064.23600000003</v>
      </c>
      <c r="W2110" s="7">
        <v>0.24</v>
      </c>
      <c r="X2110" s="2" t="s">
        <v>51</v>
      </c>
    </row>
    <row r="2111" spans="1:28" ht="13.95" hidden="1" customHeight="1" x14ac:dyDescent="0.65">
      <c r="A2111">
        <v>2105</v>
      </c>
      <c r="B2111" t="s">
        <v>29</v>
      </c>
      <c r="C2111" s="6">
        <v>1511664.4790000001</v>
      </c>
      <c r="D2111" s="6">
        <v>694105.201</v>
      </c>
      <c r="E2111" s="2" t="s">
        <v>35</v>
      </c>
      <c r="F2111" s="1">
        <v>24</v>
      </c>
      <c r="G2111" s="2" t="s">
        <v>50</v>
      </c>
      <c r="J2111"/>
      <c r="K2111" s="19"/>
      <c r="L2111" s="21"/>
      <c r="M2111" s="27"/>
      <c r="N2111" s="19"/>
      <c r="O2111" s="21"/>
      <c r="Q2111" s="7">
        <f>Table2[[#This Row],[Elevation
PILE TOP]]-Table2[[#This Row],[LENGTH(m.)
(Actual)]]</f>
        <v>0</v>
      </c>
      <c r="R2111" s="2"/>
      <c r="S2111" s="7">
        <f>Table2[[#This Row],[N]]+Table2[[#This Row],[Pile 
Deviation 
N (m)]]</f>
        <v>1511664.4790000001</v>
      </c>
      <c r="T2111" s="7">
        <f>Table2[[#This Row],[E]]+Table2[[#This Row],[Pile 
Deviation 
E (m)]]</f>
        <v>694105.201</v>
      </c>
      <c r="W2111" s="7">
        <v>0.24</v>
      </c>
      <c r="X2111" s="2" t="s">
        <v>51</v>
      </c>
    </row>
    <row r="2112" spans="1:28" hidden="1" x14ac:dyDescent="0.65">
      <c r="A2112">
        <v>2106</v>
      </c>
      <c r="B2112" t="s">
        <v>29</v>
      </c>
      <c r="C2112" s="6">
        <v>1511664.4609999999</v>
      </c>
      <c r="D2112" s="6">
        <v>694075.29700000002</v>
      </c>
      <c r="E2112" s="2" t="s">
        <v>35</v>
      </c>
      <c r="F2112" s="1">
        <v>24</v>
      </c>
      <c r="G2112" s="2" t="s">
        <v>50</v>
      </c>
      <c r="J2112"/>
      <c r="K2112" s="19"/>
      <c r="L2112" s="21"/>
      <c r="M2112" s="27"/>
      <c r="N2112" s="19"/>
      <c r="O2112" s="21"/>
      <c r="Q2112" s="7">
        <f>Table2[[#This Row],[Elevation
PILE TOP]]-Table2[[#This Row],[LENGTH(m.)
(Actual)]]</f>
        <v>0</v>
      </c>
      <c r="R2112" s="2"/>
      <c r="S2112" s="7">
        <f>Table2[[#This Row],[N]]+Table2[[#This Row],[Pile 
Deviation 
N (m)]]</f>
        <v>1511664.4609999999</v>
      </c>
      <c r="T2112" s="7">
        <f>Table2[[#This Row],[E]]+Table2[[#This Row],[Pile 
Deviation 
E (m)]]</f>
        <v>694075.29700000002</v>
      </c>
      <c r="W2112" s="7">
        <v>0.24</v>
      </c>
      <c r="X2112" s="2" t="s">
        <v>51</v>
      </c>
    </row>
    <row r="2113" spans="1:28" ht="13.95" customHeight="1" x14ac:dyDescent="0.65">
      <c r="A2113">
        <v>2107</v>
      </c>
      <c r="B2113" t="s">
        <v>29</v>
      </c>
      <c r="C2113" s="6">
        <v>1511664.443</v>
      </c>
      <c r="D2113" s="6">
        <v>694045.39300000004</v>
      </c>
      <c r="E2113" s="2" t="s">
        <v>35</v>
      </c>
      <c r="F2113" s="1">
        <v>24</v>
      </c>
      <c r="G2113" s="2" t="s">
        <v>50</v>
      </c>
      <c r="J2113">
        <v>1</v>
      </c>
      <c r="K2113" s="19"/>
      <c r="L2113" s="21">
        <v>0.59027777777777779</v>
      </c>
      <c r="M2113" s="27" t="s">
        <v>32</v>
      </c>
      <c r="N2113" s="19"/>
      <c r="O2113" s="21">
        <v>0.61458333333333337</v>
      </c>
      <c r="P2113" s="7">
        <v>1.5880000000000001</v>
      </c>
      <c r="Q2113" s="7">
        <f>Table2[[#This Row],[Elevation
PILE TOP]]-Table2[[#This Row],[LENGTH(m.)
(Actual)]]</f>
        <v>-20.411999999999999</v>
      </c>
      <c r="R2113" s="2">
        <v>22</v>
      </c>
      <c r="S2113" s="7">
        <f>Table2[[#This Row],[N]]+Table2[[#This Row],[Pile 
Deviation 
N (m)]]</f>
        <v>1511664.453</v>
      </c>
      <c r="T2113" s="7">
        <f>Table2[[#This Row],[E]]+Table2[[#This Row],[Pile 
Deviation 
E (m)]]</f>
        <v>694045.36300000001</v>
      </c>
      <c r="U2113" s="7">
        <v>0.01</v>
      </c>
      <c r="V2113" s="7">
        <v>-0.03</v>
      </c>
      <c r="W2113" s="7">
        <v>0.24</v>
      </c>
      <c r="X2113" s="2" t="s">
        <v>51</v>
      </c>
      <c r="Y2113" t="s">
        <v>63</v>
      </c>
      <c r="Z2113" s="9">
        <v>46196</v>
      </c>
      <c r="AA2113" s="9">
        <v>46195</v>
      </c>
      <c r="AB2113">
        <v>56</v>
      </c>
    </row>
    <row r="2114" spans="1:28" hidden="1" x14ac:dyDescent="0.65">
      <c r="A2114">
        <v>2108</v>
      </c>
      <c r="B2114" t="s">
        <v>29</v>
      </c>
      <c r="C2114" s="6">
        <v>1511664.0759999999</v>
      </c>
      <c r="D2114" s="6">
        <v>694116.26199999999</v>
      </c>
      <c r="E2114" s="2" t="s">
        <v>35</v>
      </c>
      <c r="F2114" s="1">
        <v>24</v>
      </c>
      <c r="G2114" s="2" t="s">
        <v>50</v>
      </c>
      <c r="J2114"/>
      <c r="K2114" s="19"/>
      <c r="L2114" s="21"/>
      <c r="M2114" s="27"/>
      <c r="N2114" s="19"/>
      <c r="O2114" s="21"/>
      <c r="Q2114" s="7">
        <f>Table2[[#This Row],[Elevation
PILE TOP]]-Table2[[#This Row],[LENGTH(m.)
(Actual)]]</f>
        <v>0</v>
      </c>
      <c r="R2114" s="2"/>
      <c r="S2114" s="7">
        <f>Table2[[#This Row],[N]]+Table2[[#This Row],[Pile 
Deviation 
N (m)]]</f>
        <v>1511664.0759999999</v>
      </c>
      <c r="T2114" s="7">
        <f>Table2[[#This Row],[E]]+Table2[[#This Row],[Pile 
Deviation 
E (m)]]</f>
        <v>694116.26199999999</v>
      </c>
      <c r="W2114" s="7">
        <v>0.24</v>
      </c>
      <c r="X2114" s="2" t="s">
        <v>51</v>
      </c>
    </row>
    <row r="2115" spans="1:28" ht="13.95" hidden="1" customHeight="1" x14ac:dyDescent="0.65">
      <c r="A2115">
        <v>2109</v>
      </c>
      <c r="B2115" t="s">
        <v>29</v>
      </c>
      <c r="C2115" s="6">
        <v>1511664.058</v>
      </c>
      <c r="D2115" s="6">
        <v>694086.35800000001</v>
      </c>
      <c r="E2115" s="2" t="s">
        <v>35</v>
      </c>
      <c r="F2115" s="1">
        <v>24</v>
      </c>
      <c r="G2115" s="2" t="s">
        <v>50</v>
      </c>
      <c r="J2115"/>
      <c r="K2115" s="19"/>
      <c r="L2115" s="21"/>
      <c r="M2115" s="27"/>
      <c r="N2115" s="19"/>
      <c r="O2115" s="21"/>
      <c r="Q2115" s="7">
        <f>Table2[[#This Row],[Elevation
PILE TOP]]-Table2[[#This Row],[LENGTH(m.)
(Actual)]]</f>
        <v>0</v>
      </c>
      <c r="R2115" s="2"/>
      <c r="S2115" s="7">
        <f>Table2[[#This Row],[N]]+Table2[[#This Row],[Pile 
Deviation 
N (m)]]</f>
        <v>1511664.058</v>
      </c>
      <c r="T2115" s="7">
        <f>Table2[[#This Row],[E]]+Table2[[#This Row],[Pile 
Deviation 
E (m)]]</f>
        <v>694086.35800000001</v>
      </c>
      <c r="W2115" s="7">
        <v>0.24</v>
      </c>
      <c r="X2115" s="2" t="s">
        <v>51</v>
      </c>
    </row>
    <row r="2116" spans="1:28" x14ac:dyDescent="0.65">
      <c r="A2116">
        <v>2110</v>
      </c>
      <c r="B2116" t="s">
        <v>29</v>
      </c>
      <c r="C2116" s="6">
        <v>1511664.04</v>
      </c>
      <c r="D2116" s="6">
        <v>694056.45400000003</v>
      </c>
      <c r="E2116" s="2" t="s">
        <v>35</v>
      </c>
      <c r="F2116" s="1">
        <v>24</v>
      </c>
      <c r="G2116" s="2" t="s">
        <v>50</v>
      </c>
      <c r="J2116">
        <v>1</v>
      </c>
      <c r="K2116" s="19"/>
      <c r="L2116" s="21">
        <v>0.69166666666666676</v>
      </c>
      <c r="M2116" s="27" t="s">
        <v>32</v>
      </c>
      <c r="N2116" s="19"/>
      <c r="O2116" s="21">
        <v>0.71388888888888891</v>
      </c>
      <c r="P2116" s="7">
        <v>0.51100000000000001</v>
      </c>
      <c r="Q2116" s="7">
        <f>Table2[[#This Row],[Elevation
PILE TOP]]-Table2[[#This Row],[LENGTH(m.)
(Actual)]]</f>
        <v>-21.489000000000001</v>
      </c>
      <c r="R2116" s="2">
        <v>22</v>
      </c>
      <c r="S2116" s="7">
        <f>Table2[[#This Row],[N]]+Table2[[#This Row],[Pile 
Deviation 
N (m)]]</f>
        <v>1511664.02</v>
      </c>
      <c r="T2116" s="7">
        <f>Table2[[#This Row],[E]]+Table2[[#This Row],[Pile 
Deviation 
E (m)]]</f>
        <v>694056.43400000001</v>
      </c>
      <c r="U2116" s="7">
        <v>-0.02</v>
      </c>
      <c r="V2116" s="7">
        <v>-0.02</v>
      </c>
      <c r="W2116" s="7">
        <v>0.24</v>
      </c>
      <c r="X2116" s="2" t="s">
        <v>51</v>
      </c>
      <c r="Y2116" t="s">
        <v>63</v>
      </c>
      <c r="Z2116" s="9">
        <v>46196</v>
      </c>
      <c r="AA2116" s="9">
        <v>46196</v>
      </c>
      <c r="AB2116">
        <v>59</v>
      </c>
    </row>
    <row r="2117" spans="1:28" ht="13.95" hidden="1" customHeight="1" x14ac:dyDescent="0.65">
      <c r="A2117">
        <v>2111</v>
      </c>
      <c r="B2117" t="s">
        <v>29</v>
      </c>
      <c r="C2117" s="6">
        <v>1511663.993</v>
      </c>
      <c r="D2117" s="6">
        <v>694123.70600000001</v>
      </c>
      <c r="E2117" s="2" t="s">
        <v>35</v>
      </c>
      <c r="F2117" s="1">
        <v>24</v>
      </c>
      <c r="G2117" s="2" t="s">
        <v>50</v>
      </c>
      <c r="J2117"/>
      <c r="K2117" s="19"/>
      <c r="L2117" s="21"/>
      <c r="M2117" s="27"/>
      <c r="N2117" s="19"/>
      <c r="O2117" s="21"/>
      <c r="Q2117" s="7">
        <f>Table2[[#This Row],[Elevation
PILE TOP]]-Table2[[#This Row],[LENGTH(m.)
(Actual)]]</f>
        <v>0</v>
      </c>
      <c r="R2117" s="2"/>
      <c r="S2117" s="7">
        <f>Table2[[#This Row],[N]]+Table2[[#This Row],[Pile 
Deviation 
N (m)]]</f>
        <v>1511663.993</v>
      </c>
      <c r="T2117" s="7">
        <f>Table2[[#This Row],[E]]+Table2[[#This Row],[Pile 
Deviation 
E (m)]]</f>
        <v>694123.70600000001</v>
      </c>
      <c r="W2117" s="7">
        <v>0.24</v>
      </c>
      <c r="X2117" s="2" t="s">
        <v>51</v>
      </c>
    </row>
    <row r="2118" spans="1:28" hidden="1" x14ac:dyDescent="0.65">
      <c r="A2118">
        <v>2112</v>
      </c>
      <c r="B2118" t="s">
        <v>29</v>
      </c>
      <c r="C2118" s="6">
        <v>1511663.655</v>
      </c>
      <c r="D2118" s="6">
        <v>694097.41799999995</v>
      </c>
      <c r="E2118" s="2" t="s">
        <v>35</v>
      </c>
      <c r="F2118" s="1">
        <v>24</v>
      </c>
      <c r="G2118" s="2" t="s">
        <v>50</v>
      </c>
      <c r="J2118"/>
      <c r="K2118" s="19"/>
      <c r="L2118" s="21"/>
      <c r="M2118" s="27"/>
      <c r="N2118" s="19"/>
      <c r="O2118" s="21"/>
      <c r="Q2118" s="7">
        <f>Table2[[#This Row],[Elevation
PILE TOP]]-Table2[[#This Row],[LENGTH(m.)
(Actual)]]</f>
        <v>0</v>
      </c>
      <c r="R2118" s="2"/>
      <c r="S2118" s="7">
        <f>Table2[[#This Row],[N]]+Table2[[#This Row],[Pile 
Deviation 
N (m)]]</f>
        <v>1511663.655</v>
      </c>
      <c r="T2118" s="7">
        <f>Table2[[#This Row],[E]]+Table2[[#This Row],[Pile 
Deviation 
E (m)]]</f>
        <v>694097.41799999995</v>
      </c>
      <c r="W2118" s="7">
        <v>0.24</v>
      </c>
      <c r="X2118" s="2" t="s">
        <v>51</v>
      </c>
    </row>
    <row r="2119" spans="1:28" ht="13.95" hidden="1" customHeight="1" x14ac:dyDescent="0.65">
      <c r="A2119">
        <v>2113</v>
      </c>
      <c r="B2119" t="s">
        <v>29</v>
      </c>
      <c r="C2119" s="6">
        <v>1511663.6370000001</v>
      </c>
      <c r="D2119" s="6">
        <v>694067.51399999997</v>
      </c>
      <c r="E2119" s="2" t="s">
        <v>35</v>
      </c>
      <c r="F2119" s="1">
        <v>24</v>
      </c>
      <c r="G2119" s="2" t="s">
        <v>50</v>
      </c>
      <c r="J2119"/>
      <c r="K2119" s="19"/>
      <c r="L2119" s="21"/>
      <c r="M2119" s="27"/>
      <c r="N2119" s="19"/>
      <c r="O2119" s="21"/>
      <c r="Q2119" s="7">
        <f>Table2[[#This Row],[Elevation
PILE TOP]]-Table2[[#This Row],[LENGTH(m.)
(Actual)]]</f>
        <v>0</v>
      </c>
      <c r="R2119" s="2"/>
      <c r="S2119" s="7">
        <f>Table2[[#This Row],[N]]+Table2[[#This Row],[Pile 
Deviation 
N (m)]]</f>
        <v>1511663.6370000001</v>
      </c>
      <c r="T2119" s="7">
        <f>Table2[[#This Row],[E]]+Table2[[#This Row],[Pile 
Deviation 
E (m)]]</f>
        <v>694067.51399999997</v>
      </c>
      <c r="W2119" s="7">
        <v>0.24</v>
      </c>
      <c r="X2119" s="2" t="s">
        <v>51</v>
      </c>
    </row>
    <row r="2120" spans="1:28" hidden="1" x14ac:dyDescent="0.65">
      <c r="A2120">
        <v>2114</v>
      </c>
      <c r="B2120" t="s">
        <v>29</v>
      </c>
      <c r="C2120" s="6">
        <v>1511663.2520000001</v>
      </c>
      <c r="D2120" s="6">
        <v>694108.47900000005</v>
      </c>
      <c r="E2120" s="2" t="s">
        <v>35</v>
      </c>
      <c r="F2120" s="1">
        <v>24</v>
      </c>
      <c r="G2120" s="2" t="s">
        <v>50</v>
      </c>
      <c r="J2120"/>
      <c r="K2120" s="19"/>
      <c r="L2120" s="21"/>
      <c r="M2120" s="27"/>
      <c r="N2120" s="19"/>
      <c r="O2120" s="21"/>
      <c r="Q2120" s="7">
        <f>Table2[[#This Row],[Elevation
PILE TOP]]-Table2[[#This Row],[LENGTH(m.)
(Actual)]]</f>
        <v>0</v>
      </c>
      <c r="R2120" s="2"/>
      <c r="S2120" s="7">
        <f>Table2[[#This Row],[N]]+Table2[[#This Row],[Pile 
Deviation 
N (m)]]</f>
        <v>1511663.2520000001</v>
      </c>
      <c r="T2120" s="7">
        <f>Table2[[#This Row],[E]]+Table2[[#This Row],[Pile 
Deviation 
E (m)]]</f>
        <v>694108.47900000005</v>
      </c>
      <c r="W2120" s="7">
        <v>0.24</v>
      </c>
      <c r="X2120" s="2" t="s">
        <v>51</v>
      </c>
    </row>
    <row r="2121" spans="1:28" ht="13.95" hidden="1" customHeight="1" x14ac:dyDescent="0.65">
      <c r="A2121">
        <v>2115</v>
      </c>
      <c r="B2121" t="s">
        <v>29</v>
      </c>
      <c r="C2121" s="6">
        <v>1511663.2339999999</v>
      </c>
      <c r="D2121" s="6">
        <v>694078.57499999995</v>
      </c>
      <c r="E2121" s="2" t="s">
        <v>35</v>
      </c>
      <c r="F2121" s="1">
        <v>24</v>
      </c>
      <c r="G2121" s="2" t="s">
        <v>50</v>
      </c>
      <c r="J2121"/>
      <c r="K2121" s="19"/>
      <c r="L2121" s="21"/>
      <c r="M2121" s="27"/>
      <c r="N2121" s="19"/>
      <c r="O2121" s="21"/>
      <c r="Q2121" s="7">
        <f>Table2[[#This Row],[Elevation
PILE TOP]]-Table2[[#This Row],[LENGTH(m.)
(Actual)]]</f>
        <v>0</v>
      </c>
      <c r="R2121" s="2"/>
      <c r="S2121" s="7">
        <f>Table2[[#This Row],[N]]+Table2[[#This Row],[Pile 
Deviation 
N (m)]]</f>
        <v>1511663.2339999999</v>
      </c>
      <c r="T2121" s="7">
        <f>Table2[[#This Row],[E]]+Table2[[#This Row],[Pile 
Deviation 
E (m)]]</f>
        <v>694078.57499999995</v>
      </c>
      <c r="W2121" s="7">
        <v>0.24</v>
      </c>
      <c r="X2121" s="2" t="s">
        <v>51</v>
      </c>
    </row>
    <row r="2122" spans="1:28" x14ac:dyDescent="0.65">
      <c r="A2122">
        <v>2116</v>
      </c>
      <c r="B2122" t="s">
        <v>29</v>
      </c>
      <c r="C2122" s="6">
        <v>1511663.216</v>
      </c>
      <c r="D2122" s="6">
        <v>694048.67099999997</v>
      </c>
      <c r="E2122" s="2" t="s">
        <v>35</v>
      </c>
      <c r="F2122" s="1">
        <v>24</v>
      </c>
      <c r="G2122" s="2" t="s">
        <v>50</v>
      </c>
      <c r="J2122">
        <v>1</v>
      </c>
      <c r="K2122" s="19"/>
      <c r="L2122" s="21">
        <v>0.5708333333333333</v>
      </c>
      <c r="M2122" s="27" t="s">
        <v>32</v>
      </c>
      <c r="N2122" s="19"/>
      <c r="O2122" s="21">
        <v>0.58333333333333337</v>
      </c>
      <c r="P2122" s="7">
        <v>0.79500000000000004</v>
      </c>
      <c r="Q2122" s="7">
        <f>Table2[[#This Row],[Elevation
PILE TOP]]-Table2[[#This Row],[LENGTH(m.)
(Actual)]]</f>
        <v>-21.204999999999998</v>
      </c>
      <c r="R2122" s="2">
        <v>22</v>
      </c>
      <c r="S2122" s="7">
        <f>Table2[[#This Row],[N]]+Table2[[#This Row],[Pile 
Deviation 
N (m)]]</f>
        <v>1511663.226</v>
      </c>
      <c r="T2122" s="7">
        <f>Table2[[#This Row],[E]]+Table2[[#This Row],[Pile 
Deviation 
E (m)]]</f>
        <v>694048.68099999998</v>
      </c>
      <c r="U2122" s="7">
        <v>0.01</v>
      </c>
      <c r="V2122" s="7">
        <v>0.01</v>
      </c>
      <c r="W2122" s="7">
        <v>0.24</v>
      </c>
      <c r="X2122" s="2" t="s">
        <v>51</v>
      </c>
      <c r="Y2122" t="s">
        <v>63</v>
      </c>
      <c r="Z2122" s="9">
        <v>46196</v>
      </c>
      <c r="AA2122" s="9">
        <v>46195</v>
      </c>
      <c r="AB2122">
        <v>55</v>
      </c>
    </row>
    <row r="2123" spans="1:28" ht="13.95" hidden="1" customHeight="1" x14ac:dyDescent="0.65">
      <c r="A2123">
        <v>2117</v>
      </c>
      <c r="B2123" t="s">
        <v>29</v>
      </c>
      <c r="C2123" s="6">
        <v>1511662.8489999999</v>
      </c>
      <c r="D2123" s="6">
        <v>694119.54</v>
      </c>
      <c r="E2123" s="2" t="s">
        <v>35</v>
      </c>
      <c r="F2123" s="1">
        <v>24</v>
      </c>
      <c r="G2123" s="2" t="s">
        <v>50</v>
      </c>
      <c r="J2123"/>
      <c r="K2123" s="19"/>
      <c r="L2123" s="21"/>
      <c r="M2123" s="27"/>
      <c r="N2123" s="19"/>
      <c r="O2123" s="21"/>
      <c r="Q2123" s="7">
        <f>Table2[[#This Row],[Elevation
PILE TOP]]-Table2[[#This Row],[LENGTH(m.)
(Actual)]]</f>
        <v>0</v>
      </c>
      <c r="R2123" s="2"/>
      <c r="S2123" s="7">
        <f>Table2[[#This Row],[N]]+Table2[[#This Row],[Pile 
Deviation 
N (m)]]</f>
        <v>1511662.8489999999</v>
      </c>
      <c r="T2123" s="7">
        <f>Table2[[#This Row],[E]]+Table2[[#This Row],[Pile 
Deviation 
E (m)]]</f>
        <v>694119.54</v>
      </c>
      <c r="W2123" s="7">
        <v>0.24</v>
      </c>
      <c r="X2123" s="2" t="s">
        <v>51</v>
      </c>
    </row>
    <row r="2124" spans="1:28" x14ac:dyDescent="0.65">
      <c r="A2124">
        <v>2118</v>
      </c>
      <c r="B2124" t="s">
        <v>29</v>
      </c>
      <c r="C2124" s="6">
        <v>1511662.831</v>
      </c>
      <c r="D2124" s="6">
        <v>694089.63600000006</v>
      </c>
      <c r="E2124" s="2" t="s">
        <v>35</v>
      </c>
      <c r="F2124" s="1">
        <v>24</v>
      </c>
      <c r="G2124" s="2" t="s">
        <v>50</v>
      </c>
      <c r="J2124">
        <v>6</v>
      </c>
      <c r="K2124" s="19"/>
      <c r="L2124" s="21">
        <v>0.59444444444444444</v>
      </c>
      <c r="M2124" s="27" t="s">
        <v>32</v>
      </c>
      <c r="N2124" s="19"/>
      <c r="O2124" s="21">
        <v>0.625</v>
      </c>
      <c r="Q2124" s="7">
        <f>Table2[[#This Row],[Elevation
PILE TOP]]-Table2[[#This Row],[LENGTH(m.)
(Actual)]]</f>
        <v>-24</v>
      </c>
      <c r="R2124" s="2">
        <v>24</v>
      </c>
      <c r="S2124" s="7">
        <f>Table2[[#This Row],[N]]+Table2[[#This Row],[Pile 
Deviation 
N (m)]]</f>
        <v>1511662.831</v>
      </c>
      <c r="T2124" s="7">
        <f>Table2[[#This Row],[E]]+Table2[[#This Row],[Pile 
Deviation 
E (m)]]</f>
        <v>694089.61600000004</v>
      </c>
      <c r="U2124" s="7">
        <v>0</v>
      </c>
      <c r="V2124" s="7">
        <v>-0.02</v>
      </c>
      <c r="W2124" s="7">
        <v>0.24</v>
      </c>
      <c r="X2124" s="2" t="s">
        <v>51</v>
      </c>
      <c r="Y2124" t="s">
        <v>52</v>
      </c>
      <c r="Z2124" s="9">
        <v>46188</v>
      </c>
      <c r="AA2124" s="9">
        <v>46188</v>
      </c>
      <c r="AB2124">
        <v>1</v>
      </c>
    </row>
    <row r="2125" spans="1:28" ht="13.95" customHeight="1" x14ac:dyDescent="0.65">
      <c r="A2125">
        <v>2119</v>
      </c>
      <c r="B2125" t="s">
        <v>29</v>
      </c>
      <c r="C2125" s="6">
        <v>1511662.8130000001</v>
      </c>
      <c r="D2125" s="6">
        <v>694059.73199999996</v>
      </c>
      <c r="E2125" s="2" t="s">
        <v>35</v>
      </c>
      <c r="F2125" s="1">
        <v>24</v>
      </c>
      <c r="G2125" s="2" t="s">
        <v>50</v>
      </c>
      <c r="J2125">
        <v>1</v>
      </c>
      <c r="K2125" s="19"/>
      <c r="L2125" s="21">
        <v>0.66041666666666665</v>
      </c>
      <c r="M2125" s="27" t="s">
        <v>32</v>
      </c>
      <c r="N2125" s="19"/>
      <c r="O2125" s="21">
        <v>0.68402777777777779</v>
      </c>
      <c r="P2125" s="7">
        <v>2.2090000000000001</v>
      </c>
      <c r="Q2125" s="7">
        <f>Table2[[#This Row],[Elevation
PILE TOP]]-Table2[[#This Row],[LENGTH(m.)
(Actual)]]</f>
        <v>-21.791</v>
      </c>
      <c r="R2125" s="2">
        <v>24</v>
      </c>
      <c r="S2125" s="7">
        <f>Table2[[#This Row],[N]]+Table2[[#This Row],[Pile 
Deviation 
N (m)]]</f>
        <v>1511662.8330000001</v>
      </c>
      <c r="T2125" s="7">
        <f>Table2[[#This Row],[E]]+Table2[[#This Row],[Pile 
Deviation 
E (m)]]</f>
        <v>694059.73199999996</v>
      </c>
      <c r="U2125" s="7">
        <v>0.02</v>
      </c>
      <c r="V2125" s="7">
        <v>0</v>
      </c>
      <c r="W2125" s="7">
        <v>0.24</v>
      </c>
      <c r="X2125" s="2" t="s">
        <v>51</v>
      </c>
      <c r="Y2125" t="s">
        <v>63</v>
      </c>
      <c r="Z2125" s="9">
        <v>46195</v>
      </c>
      <c r="AA2125" s="9">
        <v>46193</v>
      </c>
      <c r="AB2125">
        <v>49</v>
      </c>
    </row>
    <row r="2126" spans="1:28" hidden="1" x14ac:dyDescent="0.65">
      <c r="A2126">
        <v>2120</v>
      </c>
      <c r="B2126" t="s">
        <v>29</v>
      </c>
      <c r="C2126" s="6">
        <v>1511662.6950000001</v>
      </c>
      <c r="D2126" s="6">
        <v>694126.95600000001</v>
      </c>
      <c r="E2126" s="2" t="s">
        <v>35</v>
      </c>
      <c r="F2126" s="1">
        <v>24</v>
      </c>
      <c r="G2126" s="2" t="s">
        <v>50</v>
      </c>
      <c r="J2126"/>
      <c r="K2126" s="19"/>
      <c r="L2126" s="21"/>
      <c r="M2126" s="27"/>
      <c r="N2126" s="19"/>
      <c r="O2126" s="21"/>
      <c r="Q2126" s="7">
        <f>Table2[[#This Row],[Elevation
PILE TOP]]-Table2[[#This Row],[LENGTH(m.)
(Actual)]]</f>
        <v>0</v>
      </c>
      <c r="R2126" s="2"/>
      <c r="S2126" s="7">
        <f>Table2[[#This Row],[N]]+Table2[[#This Row],[Pile 
Deviation 
N (m)]]</f>
        <v>1511662.6950000001</v>
      </c>
      <c r="T2126" s="7">
        <f>Table2[[#This Row],[E]]+Table2[[#This Row],[Pile 
Deviation 
E (m)]]</f>
        <v>694126.95600000001</v>
      </c>
      <c r="W2126" s="7">
        <v>0.24</v>
      </c>
      <c r="X2126" s="2" t="s">
        <v>51</v>
      </c>
    </row>
    <row r="2127" spans="1:28" ht="13.95" hidden="1" customHeight="1" x14ac:dyDescent="0.65">
      <c r="A2127">
        <v>2121</v>
      </c>
      <c r="B2127" t="s">
        <v>29</v>
      </c>
      <c r="C2127" s="6">
        <v>1511662.4280000001</v>
      </c>
      <c r="D2127" s="6">
        <v>694100.696</v>
      </c>
      <c r="E2127" s="2" t="s">
        <v>35</v>
      </c>
      <c r="F2127" s="1">
        <v>24</v>
      </c>
      <c r="G2127" s="2" t="s">
        <v>50</v>
      </c>
      <c r="J2127"/>
      <c r="K2127" s="19"/>
      <c r="L2127" s="21"/>
      <c r="M2127" s="27"/>
      <c r="N2127" s="19"/>
      <c r="O2127" s="21"/>
      <c r="Q2127" s="7">
        <f>Table2[[#This Row],[Elevation
PILE TOP]]-Table2[[#This Row],[LENGTH(m.)
(Actual)]]</f>
        <v>0</v>
      </c>
      <c r="R2127" s="2"/>
      <c r="S2127" s="7">
        <f>Table2[[#This Row],[N]]+Table2[[#This Row],[Pile 
Deviation 
N (m)]]</f>
        <v>1511662.4280000001</v>
      </c>
      <c r="T2127" s="7">
        <f>Table2[[#This Row],[E]]+Table2[[#This Row],[Pile 
Deviation 
E (m)]]</f>
        <v>694100.696</v>
      </c>
      <c r="W2127" s="7">
        <v>0.24</v>
      </c>
      <c r="X2127" s="2" t="s">
        <v>51</v>
      </c>
    </row>
    <row r="2128" spans="1:28" hidden="1" x14ac:dyDescent="0.65">
      <c r="A2128">
        <v>2122</v>
      </c>
      <c r="B2128" t="s">
        <v>29</v>
      </c>
      <c r="C2128" s="6">
        <v>1511662.41</v>
      </c>
      <c r="D2128" s="6">
        <v>694070.79200000002</v>
      </c>
      <c r="E2128" s="2" t="s">
        <v>35</v>
      </c>
      <c r="F2128" s="1">
        <v>24</v>
      </c>
      <c r="G2128" s="2" t="s">
        <v>50</v>
      </c>
      <c r="J2128"/>
      <c r="K2128" s="19"/>
      <c r="L2128" s="21"/>
      <c r="M2128" s="27"/>
      <c r="N2128" s="19"/>
      <c r="O2128" s="21"/>
      <c r="Q2128" s="7">
        <f>Table2[[#This Row],[Elevation
PILE TOP]]-Table2[[#This Row],[LENGTH(m.)
(Actual)]]</f>
        <v>0</v>
      </c>
      <c r="R2128" s="2"/>
      <c r="S2128" s="7">
        <f>Table2[[#This Row],[N]]+Table2[[#This Row],[Pile 
Deviation 
N (m)]]</f>
        <v>1511662.41</v>
      </c>
      <c r="T2128" s="7">
        <f>Table2[[#This Row],[E]]+Table2[[#This Row],[Pile 
Deviation 
E (m)]]</f>
        <v>694070.79200000002</v>
      </c>
      <c r="W2128" s="7">
        <v>0.24</v>
      </c>
      <c r="X2128" s="2" t="s">
        <v>51</v>
      </c>
    </row>
    <row r="2129" spans="1:28" ht="13.95" hidden="1" customHeight="1" x14ac:dyDescent="0.65">
      <c r="A2129">
        <v>2123</v>
      </c>
      <c r="B2129" t="s">
        <v>29</v>
      </c>
      <c r="C2129" s="6">
        <v>1511662.0249999999</v>
      </c>
      <c r="D2129" s="6">
        <v>694111.75699999998</v>
      </c>
      <c r="E2129" s="2" t="s">
        <v>35</v>
      </c>
      <c r="F2129" s="1">
        <v>24</v>
      </c>
      <c r="G2129" s="2" t="s">
        <v>50</v>
      </c>
      <c r="J2129"/>
      <c r="K2129" s="19"/>
      <c r="L2129" s="21"/>
      <c r="M2129" s="27"/>
      <c r="N2129" s="19"/>
      <c r="O2129" s="21"/>
      <c r="Q2129" s="7">
        <f>Table2[[#This Row],[Elevation
PILE TOP]]-Table2[[#This Row],[LENGTH(m.)
(Actual)]]</f>
        <v>0</v>
      </c>
      <c r="R2129" s="2"/>
      <c r="S2129" s="7">
        <f>Table2[[#This Row],[N]]+Table2[[#This Row],[Pile 
Deviation 
N (m)]]</f>
        <v>1511662.0249999999</v>
      </c>
      <c r="T2129" s="7">
        <f>Table2[[#This Row],[E]]+Table2[[#This Row],[Pile 
Deviation 
E (m)]]</f>
        <v>694111.75699999998</v>
      </c>
      <c r="W2129" s="7">
        <v>0.24</v>
      </c>
      <c r="X2129" s="2" t="s">
        <v>51</v>
      </c>
    </row>
    <row r="2130" spans="1:28" hidden="1" x14ac:dyDescent="0.65">
      <c r="A2130">
        <v>2124</v>
      </c>
      <c r="B2130" t="s">
        <v>29</v>
      </c>
      <c r="C2130" s="6">
        <v>1511662.007</v>
      </c>
      <c r="D2130" s="6">
        <v>694081.853</v>
      </c>
      <c r="E2130" s="2" t="s">
        <v>35</v>
      </c>
      <c r="F2130" s="1">
        <v>24</v>
      </c>
      <c r="G2130" s="2" t="s">
        <v>50</v>
      </c>
      <c r="J2130"/>
      <c r="K2130" s="19"/>
      <c r="L2130" s="21"/>
      <c r="M2130" s="27"/>
      <c r="N2130" s="19"/>
      <c r="O2130" s="21"/>
      <c r="Q2130" s="7">
        <f>Table2[[#This Row],[Elevation
PILE TOP]]-Table2[[#This Row],[LENGTH(m.)
(Actual)]]</f>
        <v>0</v>
      </c>
      <c r="R2130" s="2"/>
      <c r="S2130" s="7">
        <f>Table2[[#This Row],[N]]+Table2[[#This Row],[Pile 
Deviation 
N (m)]]</f>
        <v>1511662.007</v>
      </c>
      <c r="T2130" s="7">
        <f>Table2[[#This Row],[E]]+Table2[[#This Row],[Pile 
Deviation 
E (m)]]</f>
        <v>694081.853</v>
      </c>
      <c r="W2130" s="7">
        <v>0.24</v>
      </c>
      <c r="X2130" s="2" t="s">
        <v>51</v>
      </c>
    </row>
    <row r="2131" spans="1:28" ht="13.95" customHeight="1" x14ac:dyDescent="0.65">
      <c r="A2131">
        <v>2125</v>
      </c>
      <c r="B2131" t="s">
        <v>29</v>
      </c>
      <c r="C2131" s="6">
        <v>1511661.9890000001</v>
      </c>
      <c r="D2131" s="6">
        <v>694051.94900000002</v>
      </c>
      <c r="E2131" s="2" t="s">
        <v>35</v>
      </c>
      <c r="F2131" s="1">
        <v>24</v>
      </c>
      <c r="G2131" s="2" t="s">
        <v>50</v>
      </c>
      <c r="J2131">
        <v>1</v>
      </c>
      <c r="K2131" s="19"/>
      <c r="L2131" s="21">
        <v>0.48125000000000001</v>
      </c>
      <c r="M2131" s="27" t="s">
        <v>32</v>
      </c>
      <c r="N2131" s="19"/>
      <c r="O2131" s="21">
        <v>0.55972222222222223</v>
      </c>
      <c r="P2131" s="7">
        <v>0.65</v>
      </c>
      <c r="Q2131" s="7">
        <f>Table2[[#This Row],[Elevation
PILE TOP]]-Table2[[#This Row],[LENGTH(m.)
(Actual)]]</f>
        <v>-21.35</v>
      </c>
      <c r="R2131" s="2">
        <v>22</v>
      </c>
      <c r="S2131" s="7">
        <f>Table2[[#This Row],[N]]+Table2[[#This Row],[Pile 
Deviation 
N (m)]]</f>
        <v>1511661.9990000001</v>
      </c>
      <c r="T2131" s="7">
        <f>Table2[[#This Row],[E]]+Table2[[#This Row],[Pile 
Deviation 
E (m)]]</f>
        <v>694051.93900000001</v>
      </c>
      <c r="U2131" s="7">
        <v>0.01</v>
      </c>
      <c r="V2131" s="7">
        <v>-0.01</v>
      </c>
      <c r="W2131" s="7">
        <v>0.24</v>
      </c>
      <c r="X2131" s="2" t="s">
        <v>51</v>
      </c>
      <c r="Y2131" t="s">
        <v>63</v>
      </c>
      <c r="Z2131" s="9">
        <v>46196</v>
      </c>
      <c r="AA2131" s="9">
        <v>46195</v>
      </c>
      <c r="AB2131">
        <v>54</v>
      </c>
    </row>
    <row r="2132" spans="1:28" hidden="1" x14ac:dyDescent="0.65">
      <c r="A2132">
        <v>2126</v>
      </c>
      <c r="B2132" t="s">
        <v>29</v>
      </c>
      <c r="C2132" s="6">
        <v>1511661.622</v>
      </c>
      <c r="D2132" s="6">
        <v>694122.81700000004</v>
      </c>
      <c r="E2132" s="2" t="s">
        <v>35</v>
      </c>
      <c r="F2132" s="1">
        <v>24</v>
      </c>
      <c r="G2132" s="2" t="s">
        <v>50</v>
      </c>
      <c r="J2132"/>
      <c r="K2132" s="19"/>
      <c r="L2132" s="21"/>
      <c r="M2132" s="27"/>
      <c r="N2132" s="19"/>
      <c r="O2132" s="21"/>
      <c r="Q2132" s="7">
        <f>Table2[[#This Row],[Elevation
PILE TOP]]-Table2[[#This Row],[LENGTH(m.)
(Actual)]]</f>
        <v>0</v>
      </c>
      <c r="R2132" s="2"/>
      <c r="S2132" s="7">
        <f>Table2[[#This Row],[N]]+Table2[[#This Row],[Pile 
Deviation 
N (m)]]</f>
        <v>1511661.622</v>
      </c>
      <c r="T2132" s="7">
        <f>Table2[[#This Row],[E]]+Table2[[#This Row],[Pile 
Deviation 
E (m)]]</f>
        <v>694122.81700000004</v>
      </c>
      <c r="W2132" s="7">
        <v>0.24</v>
      </c>
      <c r="X2132" s="2" t="s">
        <v>51</v>
      </c>
    </row>
    <row r="2133" spans="1:28" ht="13.95" customHeight="1" x14ac:dyDescent="0.65">
      <c r="A2133">
        <v>2127</v>
      </c>
      <c r="B2133" t="s">
        <v>29</v>
      </c>
      <c r="C2133" s="6">
        <v>1511661.6040000001</v>
      </c>
      <c r="D2133" s="6">
        <v>694092.91299999994</v>
      </c>
      <c r="E2133" s="2" t="s">
        <v>35</v>
      </c>
      <c r="F2133" s="1">
        <v>24</v>
      </c>
      <c r="G2133" s="2" t="s">
        <v>50</v>
      </c>
      <c r="J2133">
        <v>6</v>
      </c>
      <c r="K2133" s="19"/>
      <c r="L2133" s="21">
        <v>0.64583333333333337</v>
      </c>
      <c r="M2133" s="27" t="s">
        <v>32</v>
      </c>
      <c r="N2133" s="19"/>
      <c r="O2133" s="21">
        <v>0.67569444444444438</v>
      </c>
      <c r="Q2133" s="7">
        <f>Table2[[#This Row],[Elevation
PILE TOP]]-Table2[[#This Row],[LENGTH(m.)
(Actual)]]</f>
        <v>-24</v>
      </c>
      <c r="R2133" s="2">
        <v>24</v>
      </c>
      <c r="S2133" s="7">
        <f>Table2[[#This Row],[N]]+Table2[[#This Row],[Pile 
Deviation 
N (m)]]</f>
        <v>1511661.6040000001</v>
      </c>
      <c r="T2133" s="7">
        <f>Table2[[#This Row],[E]]+Table2[[#This Row],[Pile 
Deviation 
E (m)]]</f>
        <v>694092.92299999995</v>
      </c>
      <c r="U2133" s="7">
        <v>0</v>
      </c>
      <c r="V2133" s="7">
        <v>0.01</v>
      </c>
      <c r="W2133" s="7">
        <v>0.24</v>
      </c>
      <c r="X2133" s="2" t="s">
        <v>51</v>
      </c>
      <c r="Y2133" t="s">
        <v>52</v>
      </c>
      <c r="Z2133" s="9">
        <v>46188</v>
      </c>
      <c r="AA2133" s="9">
        <v>46188</v>
      </c>
      <c r="AB2133">
        <v>2</v>
      </c>
    </row>
    <row r="2134" spans="1:28" x14ac:dyDescent="0.65">
      <c r="A2134">
        <v>2128</v>
      </c>
      <c r="B2134" t="s">
        <v>29</v>
      </c>
      <c r="C2134" s="6">
        <v>1511661.5859999999</v>
      </c>
      <c r="D2134" s="6">
        <v>694063.00899999996</v>
      </c>
      <c r="E2134" s="2" t="s">
        <v>35</v>
      </c>
      <c r="F2134" s="1">
        <v>24</v>
      </c>
      <c r="G2134" s="2" t="s">
        <v>50</v>
      </c>
      <c r="J2134">
        <v>1</v>
      </c>
      <c r="K2134" s="19"/>
      <c r="L2134" s="21">
        <v>0.62708333333333333</v>
      </c>
      <c r="M2134" s="27" t="s">
        <v>32</v>
      </c>
      <c r="N2134" s="19"/>
      <c r="O2134" s="21">
        <v>0.65138888888888891</v>
      </c>
      <c r="P2134" s="7">
        <v>2.161</v>
      </c>
      <c r="Q2134" s="7">
        <f>Table2[[#This Row],[Elevation
PILE TOP]]-Table2[[#This Row],[LENGTH(m.)
(Actual)]]</f>
        <v>-21.838999999999999</v>
      </c>
      <c r="R2134" s="2">
        <v>24</v>
      </c>
      <c r="S2134" s="7">
        <f>Table2[[#This Row],[N]]+Table2[[#This Row],[Pile 
Deviation 
N (m)]]</f>
        <v>1511661.6059999999</v>
      </c>
      <c r="T2134" s="7">
        <f>Table2[[#This Row],[E]]+Table2[[#This Row],[Pile 
Deviation 
E (m)]]</f>
        <v>694062.99899999995</v>
      </c>
      <c r="U2134" s="7">
        <v>0.02</v>
      </c>
      <c r="V2134" s="7">
        <v>-0.01</v>
      </c>
      <c r="W2134" s="7">
        <v>0.24</v>
      </c>
      <c r="X2134" s="2" t="s">
        <v>51</v>
      </c>
      <c r="Y2134" t="s">
        <v>63</v>
      </c>
      <c r="Z2134" s="9">
        <v>46195</v>
      </c>
      <c r="AA2134" s="9">
        <v>46193</v>
      </c>
      <c r="AB2134">
        <v>48</v>
      </c>
    </row>
    <row r="2135" spans="1:28" ht="13.95" hidden="1" customHeight="1" x14ac:dyDescent="0.65">
      <c r="A2135">
        <v>2129</v>
      </c>
      <c r="B2135" t="s">
        <v>29</v>
      </c>
      <c r="C2135" s="6">
        <v>1511661.2009999999</v>
      </c>
      <c r="D2135" s="6">
        <v>694103.97400000005</v>
      </c>
      <c r="E2135" s="2" t="s">
        <v>35</v>
      </c>
      <c r="F2135" s="1">
        <v>24</v>
      </c>
      <c r="G2135" s="2" t="s">
        <v>50</v>
      </c>
      <c r="J2135"/>
      <c r="K2135" s="19"/>
      <c r="L2135" s="21"/>
      <c r="M2135" s="27"/>
      <c r="N2135" s="19"/>
      <c r="O2135" s="21"/>
      <c r="Q2135" s="7">
        <f>Table2[[#This Row],[Elevation
PILE TOP]]-Table2[[#This Row],[LENGTH(m.)
(Actual)]]</f>
        <v>0</v>
      </c>
      <c r="R2135" s="2"/>
      <c r="S2135" s="7">
        <f>Table2[[#This Row],[N]]+Table2[[#This Row],[Pile 
Deviation 
N (m)]]</f>
        <v>1511661.2009999999</v>
      </c>
      <c r="T2135" s="7">
        <f>Table2[[#This Row],[E]]+Table2[[#This Row],[Pile 
Deviation 
E (m)]]</f>
        <v>694103.97400000005</v>
      </c>
      <c r="W2135" s="7">
        <v>0.24</v>
      </c>
      <c r="X2135" s="2" t="s">
        <v>51</v>
      </c>
    </row>
    <row r="2136" spans="1:28" hidden="1" x14ac:dyDescent="0.65">
      <c r="A2136">
        <v>2130</v>
      </c>
      <c r="B2136" t="s">
        <v>29</v>
      </c>
      <c r="C2136" s="6">
        <v>1511661.183</v>
      </c>
      <c r="D2136" s="6">
        <v>694074.07</v>
      </c>
      <c r="E2136" s="2" t="s">
        <v>35</v>
      </c>
      <c r="F2136" s="1">
        <v>24</v>
      </c>
      <c r="G2136" s="2" t="s">
        <v>50</v>
      </c>
      <c r="J2136"/>
      <c r="K2136" s="19"/>
      <c r="L2136" s="21"/>
      <c r="M2136" s="27"/>
      <c r="N2136" s="19"/>
      <c r="O2136" s="21"/>
      <c r="Q2136" s="7">
        <f>Table2[[#This Row],[Elevation
PILE TOP]]-Table2[[#This Row],[LENGTH(m.)
(Actual)]]</f>
        <v>0</v>
      </c>
      <c r="R2136" s="2"/>
      <c r="S2136" s="7">
        <f>Table2[[#This Row],[N]]+Table2[[#This Row],[Pile 
Deviation 
N (m)]]</f>
        <v>1511661.183</v>
      </c>
      <c r="T2136" s="7">
        <f>Table2[[#This Row],[E]]+Table2[[#This Row],[Pile 
Deviation 
E (m)]]</f>
        <v>694074.07</v>
      </c>
      <c r="W2136" s="7">
        <v>0.24</v>
      </c>
      <c r="X2136" s="2" t="s">
        <v>51</v>
      </c>
    </row>
    <row r="2137" spans="1:28" ht="13.95" hidden="1" customHeight="1" x14ac:dyDescent="0.65">
      <c r="A2137">
        <v>2131</v>
      </c>
      <c r="B2137" t="s">
        <v>29</v>
      </c>
      <c r="C2137" s="6">
        <v>1511660.798</v>
      </c>
      <c r="D2137" s="6">
        <v>694115.03500000003</v>
      </c>
      <c r="E2137" s="2" t="s">
        <v>35</v>
      </c>
      <c r="F2137" s="1">
        <v>24</v>
      </c>
      <c r="G2137" s="2" t="s">
        <v>50</v>
      </c>
      <c r="J2137"/>
      <c r="K2137" s="19"/>
      <c r="L2137" s="21"/>
      <c r="M2137" s="27"/>
      <c r="N2137" s="19"/>
      <c r="O2137" s="21"/>
      <c r="Q2137" s="7">
        <f>Table2[[#This Row],[Elevation
PILE TOP]]-Table2[[#This Row],[LENGTH(m.)
(Actual)]]</f>
        <v>0</v>
      </c>
      <c r="R2137" s="2"/>
      <c r="S2137" s="7">
        <f>Table2[[#This Row],[N]]+Table2[[#This Row],[Pile 
Deviation 
N (m)]]</f>
        <v>1511660.798</v>
      </c>
      <c r="T2137" s="7">
        <f>Table2[[#This Row],[E]]+Table2[[#This Row],[Pile 
Deviation 
E (m)]]</f>
        <v>694115.03500000003</v>
      </c>
      <c r="W2137" s="7">
        <v>0.24</v>
      </c>
      <c r="X2137" s="2" t="s">
        <v>51</v>
      </c>
    </row>
    <row r="2138" spans="1:28" hidden="1" x14ac:dyDescent="0.65">
      <c r="A2138">
        <v>2132</v>
      </c>
      <c r="B2138" t="s">
        <v>29</v>
      </c>
      <c r="C2138" s="6">
        <v>1511660.78</v>
      </c>
      <c r="D2138" s="6">
        <v>694085.13100000005</v>
      </c>
      <c r="E2138" s="2" t="s">
        <v>35</v>
      </c>
      <c r="F2138" s="1">
        <v>24</v>
      </c>
      <c r="G2138" s="2" t="s">
        <v>50</v>
      </c>
      <c r="J2138"/>
      <c r="K2138" s="19"/>
      <c r="L2138" s="21"/>
      <c r="M2138" s="27"/>
      <c r="N2138" s="19"/>
      <c r="O2138" s="21"/>
      <c r="Q2138" s="7">
        <f>Table2[[#This Row],[Elevation
PILE TOP]]-Table2[[#This Row],[LENGTH(m.)
(Actual)]]</f>
        <v>0</v>
      </c>
      <c r="R2138" s="2"/>
      <c r="S2138" s="7">
        <f>Table2[[#This Row],[N]]+Table2[[#This Row],[Pile 
Deviation 
N (m)]]</f>
        <v>1511660.78</v>
      </c>
      <c r="T2138" s="7">
        <f>Table2[[#This Row],[E]]+Table2[[#This Row],[Pile 
Deviation 
E (m)]]</f>
        <v>694085.13100000005</v>
      </c>
      <c r="W2138" s="7">
        <v>0.24</v>
      </c>
      <c r="X2138" s="2" t="s">
        <v>51</v>
      </c>
    </row>
    <row r="2139" spans="1:28" ht="13.95" customHeight="1" x14ac:dyDescent="0.65">
      <c r="A2139">
        <v>2133</v>
      </c>
      <c r="B2139" t="s">
        <v>29</v>
      </c>
      <c r="C2139" s="6">
        <v>1511660.7620000001</v>
      </c>
      <c r="D2139" s="6">
        <v>694055.22699999996</v>
      </c>
      <c r="E2139" s="2" t="s">
        <v>35</v>
      </c>
      <c r="F2139" s="1">
        <v>24</v>
      </c>
      <c r="G2139" s="2" t="s">
        <v>50</v>
      </c>
      <c r="J2139">
        <v>1</v>
      </c>
      <c r="K2139" s="19"/>
      <c r="L2139" s="21">
        <v>0.45555555555555555</v>
      </c>
      <c r="M2139" s="27" t="s">
        <v>32</v>
      </c>
      <c r="N2139" s="19"/>
      <c r="O2139" s="21">
        <v>0.4770833333333333</v>
      </c>
      <c r="P2139" s="7">
        <v>0.34399999999999997</v>
      </c>
      <c r="Q2139" s="7">
        <f>Table2[[#This Row],[Elevation
PILE TOP]]-Table2[[#This Row],[LENGTH(m.)
(Actual)]]</f>
        <v>-21.655999999999999</v>
      </c>
      <c r="R2139" s="2">
        <v>22</v>
      </c>
      <c r="S2139" s="7">
        <f>Table2[[#This Row],[N]]+Table2[[#This Row],[Pile 
Deviation 
N (m)]]</f>
        <v>1511660.7720000001</v>
      </c>
      <c r="T2139" s="7">
        <f>Table2[[#This Row],[E]]+Table2[[#This Row],[Pile 
Deviation 
E (m)]]</f>
        <v>694055.21699999995</v>
      </c>
      <c r="U2139" s="7">
        <v>0.01</v>
      </c>
      <c r="V2139" s="7">
        <v>-0.01</v>
      </c>
      <c r="W2139" s="7">
        <v>0.24</v>
      </c>
      <c r="X2139" s="2" t="s">
        <v>51</v>
      </c>
      <c r="Y2139" t="s">
        <v>63</v>
      </c>
      <c r="Z2139" s="9">
        <v>46196</v>
      </c>
      <c r="AA2139" s="9">
        <v>46195</v>
      </c>
      <c r="AB2139">
        <v>53</v>
      </c>
    </row>
    <row r="2140" spans="1:28" hidden="1" x14ac:dyDescent="0.65">
      <c r="A2140">
        <v>2134</v>
      </c>
      <c r="B2140" t="s">
        <v>29</v>
      </c>
      <c r="C2140" s="6">
        <v>1511660.395</v>
      </c>
      <c r="D2140" s="6">
        <v>694126.09499999997</v>
      </c>
      <c r="E2140" s="2" t="s">
        <v>35</v>
      </c>
      <c r="F2140" s="1">
        <v>24</v>
      </c>
      <c r="G2140" s="2" t="s">
        <v>50</v>
      </c>
      <c r="J2140"/>
      <c r="K2140" s="19"/>
      <c r="L2140" s="21"/>
      <c r="M2140" s="27"/>
      <c r="N2140" s="19"/>
      <c r="O2140" s="21"/>
      <c r="Q2140" s="7">
        <f>Table2[[#This Row],[Elevation
PILE TOP]]-Table2[[#This Row],[LENGTH(m.)
(Actual)]]</f>
        <v>0</v>
      </c>
      <c r="R2140" s="2"/>
      <c r="S2140" s="7">
        <f>Table2[[#This Row],[N]]+Table2[[#This Row],[Pile 
Deviation 
N (m)]]</f>
        <v>1511660.395</v>
      </c>
      <c r="T2140" s="7">
        <f>Table2[[#This Row],[E]]+Table2[[#This Row],[Pile 
Deviation 
E (m)]]</f>
        <v>694126.09499999997</v>
      </c>
      <c r="W2140" s="7">
        <v>0.24</v>
      </c>
      <c r="X2140" s="2" t="s">
        <v>51</v>
      </c>
    </row>
    <row r="2141" spans="1:28" ht="13.95" customHeight="1" x14ac:dyDescent="0.65">
      <c r="A2141">
        <v>2135</v>
      </c>
      <c r="B2141" t="s">
        <v>29</v>
      </c>
      <c r="C2141" s="6">
        <v>1511660.3770000001</v>
      </c>
      <c r="D2141" s="6">
        <v>694096.19099999999</v>
      </c>
      <c r="E2141" s="2" t="s">
        <v>35</v>
      </c>
      <c r="F2141" s="1">
        <v>24</v>
      </c>
      <c r="G2141" s="2" t="s">
        <v>50</v>
      </c>
      <c r="J2141">
        <v>6</v>
      </c>
      <c r="K2141" s="19"/>
      <c r="L2141" s="21">
        <v>0.70000000000000007</v>
      </c>
      <c r="M2141" s="27" t="s">
        <v>32</v>
      </c>
      <c r="N2141" s="19"/>
      <c r="O2141" s="21">
        <v>0.72569444444444453</v>
      </c>
      <c r="Q2141" s="7">
        <f>Table2[[#This Row],[Elevation
PILE TOP]]-Table2[[#This Row],[LENGTH(m.)
(Actual)]]</f>
        <v>-24</v>
      </c>
      <c r="R2141" s="2">
        <v>24</v>
      </c>
      <c r="S2141" s="7">
        <f>Table2[[#This Row],[N]]+Table2[[#This Row],[Pile 
Deviation 
N (m)]]</f>
        <v>1511660.3870000001</v>
      </c>
      <c r="T2141" s="7">
        <f>Table2[[#This Row],[E]]+Table2[[#This Row],[Pile 
Deviation 
E (m)]]</f>
        <v>694096.201</v>
      </c>
      <c r="U2141" s="7">
        <v>0.01</v>
      </c>
      <c r="V2141" s="7">
        <v>0.01</v>
      </c>
      <c r="W2141" s="7">
        <v>0.24</v>
      </c>
      <c r="X2141" s="2" t="s">
        <v>51</v>
      </c>
      <c r="Y2141" t="s">
        <v>52</v>
      </c>
      <c r="Z2141" s="9">
        <v>46188</v>
      </c>
      <c r="AA2141" s="9">
        <v>46188</v>
      </c>
      <c r="AB2141">
        <v>3</v>
      </c>
    </row>
    <row r="2142" spans="1:28" x14ac:dyDescent="0.65">
      <c r="A2142">
        <v>2136</v>
      </c>
      <c r="B2142" t="s">
        <v>29</v>
      </c>
      <c r="C2142" s="6">
        <v>1511660.3589999999</v>
      </c>
      <c r="D2142" s="6">
        <v>694066.28700000001</v>
      </c>
      <c r="E2142" s="2" t="s">
        <v>35</v>
      </c>
      <c r="F2142" s="1">
        <v>24</v>
      </c>
      <c r="G2142" s="2" t="s">
        <v>50</v>
      </c>
      <c r="J2142">
        <v>1</v>
      </c>
      <c r="K2142" s="19"/>
      <c r="L2142" s="21">
        <v>0.60069444444444442</v>
      </c>
      <c r="M2142" s="27" t="s">
        <v>32</v>
      </c>
      <c r="N2142" s="19"/>
      <c r="O2142" s="21">
        <v>0.62430555555555556</v>
      </c>
      <c r="P2142" s="7">
        <v>2.3730000000000002</v>
      </c>
      <c r="Q2142" s="7">
        <f>Table2[[#This Row],[Elevation
PILE TOP]]-Table2[[#This Row],[LENGTH(m.)
(Actual)]]</f>
        <v>-21.626999999999999</v>
      </c>
      <c r="R2142" s="2">
        <v>24</v>
      </c>
      <c r="S2142" s="7">
        <f>Table2[[#This Row],[N]]+Table2[[#This Row],[Pile 
Deviation 
N (m)]]</f>
        <v>1511660.3389999999</v>
      </c>
      <c r="T2142" s="7">
        <f>Table2[[#This Row],[E]]+Table2[[#This Row],[Pile 
Deviation 
E (m)]]</f>
        <v>694066.26699999999</v>
      </c>
      <c r="U2142" s="7">
        <v>-0.02</v>
      </c>
      <c r="V2142" s="7">
        <v>-0.02</v>
      </c>
      <c r="W2142" s="7">
        <v>0.24</v>
      </c>
      <c r="X2142" s="2" t="s">
        <v>51</v>
      </c>
      <c r="Y2142" t="s">
        <v>63</v>
      </c>
      <c r="Z2142" s="9">
        <v>46195</v>
      </c>
      <c r="AA2142" s="9">
        <v>46193</v>
      </c>
      <c r="AB2142">
        <v>47</v>
      </c>
    </row>
    <row r="2143" spans="1:28" ht="13.95" hidden="1" customHeight="1" x14ac:dyDescent="0.65">
      <c r="A2143">
        <v>2137</v>
      </c>
      <c r="B2143" t="s">
        <v>29</v>
      </c>
      <c r="C2143" s="6">
        <v>1511659.9739999999</v>
      </c>
      <c r="D2143" s="6">
        <v>694107.25199999998</v>
      </c>
      <c r="E2143" s="2" t="s">
        <v>35</v>
      </c>
      <c r="F2143" s="1">
        <v>24</v>
      </c>
      <c r="G2143" s="2" t="s">
        <v>50</v>
      </c>
      <c r="J2143"/>
      <c r="K2143" s="19"/>
      <c r="L2143" s="21"/>
      <c r="M2143" s="27"/>
      <c r="N2143" s="19"/>
      <c r="O2143" s="21"/>
      <c r="Q2143" s="7">
        <f>Table2[[#This Row],[Elevation
PILE TOP]]-Table2[[#This Row],[LENGTH(m.)
(Actual)]]</f>
        <v>0</v>
      </c>
      <c r="R2143" s="2"/>
      <c r="S2143" s="7">
        <f>Table2[[#This Row],[N]]+Table2[[#This Row],[Pile 
Deviation 
N (m)]]</f>
        <v>1511659.9739999999</v>
      </c>
      <c r="T2143" s="7">
        <f>Table2[[#This Row],[E]]+Table2[[#This Row],[Pile 
Deviation 
E (m)]]</f>
        <v>694107.25199999998</v>
      </c>
      <c r="W2143" s="7">
        <v>0.24</v>
      </c>
      <c r="X2143" s="2" t="s">
        <v>51</v>
      </c>
    </row>
    <row r="2144" spans="1:28" hidden="1" x14ac:dyDescent="0.65">
      <c r="A2144">
        <v>2138</v>
      </c>
      <c r="B2144" t="s">
        <v>29</v>
      </c>
      <c r="C2144" s="6">
        <v>1511659.956</v>
      </c>
      <c r="D2144" s="6">
        <v>694077.348</v>
      </c>
      <c r="E2144" s="2" t="s">
        <v>35</v>
      </c>
      <c r="F2144" s="1">
        <v>24</v>
      </c>
      <c r="G2144" s="2" t="s">
        <v>50</v>
      </c>
      <c r="J2144"/>
      <c r="K2144" s="19"/>
      <c r="L2144" s="21"/>
      <c r="M2144" s="27"/>
      <c r="N2144" s="19"/>
      <c r="O2144" s="21"/>
      <c r="Q2144" s="7">
        <f>Table2[[#This Row],[Elevation
PILE TOP]]-Table2[[#This Row],[LENGTH(m.)
(Actual)]]</f>
        <v>0</v>
      </c>
      <c r="R2144" s="2"/>
      <c r="S2144" s="7">
        <f>Table2[[#This Row],[N]]+Table2[[#This Row],[Pile 
Deviation 
N (m)]]</f>
        <v>1511659.956</v>
      </c>
      <c r="T2144" s="7">
        <f>Table2[[#This Row],[E]]+Table2[[#This Row],[Pile 
Deviation 
E (m)]]</f>
        <v>694077.348</v>
      </c>
      <c r="W2144" s="7">
        <v>0.24</v>
      </c>
      <c r="X2144" s="2" t="s">
        <v>51</v>
      </c>
    </row>
    <row r="2145" spans="1:28" ht="13.95" hidden="1" customHeight="1" x14ac:dyDescent="0.65">
      <c r="A2145">
        <v>2139</v>
      </c>
      <c r="B2145" t="s">
        <v>29</v>
      </c>
      <c r="C2145" s="6">
        <v>1511659.571</v>
      </c>
      <c r="D2145" s="6">
        <v>694118.31299999997</v>
      </c>
      <c r="E2145" s="2" t="s">
        <v>35</v>
      </c>
      <c r="F2145" s="1">
        <v>24</v>
      </c>
      <c r="G2145" s="2" t="s">
        <v>50</v>
      </c>
      <c r="J2145"/>
      <c r="K2145" s="19"/>
      <c r="L2145" s="21"/>
      <c r="M2145" s="27"/>
      <c r="N2145" s="19"/>
      <c r="O2145" s="21"/>
      <c r="Q2145" s="7">
        <f>Table2[[#This Row],[Elevation
PILE TOP]]-Table2[[#This Row],[LENGTH(m.)
(Actual)]]</f>
        <v>0</v>
      </c>
      <c r="R2145" s="2"/>
      <c r="S2145" s="7">
        <f>Table2[[#This Row],[N]]+Table2[[#This Row],[Pile 
Deviation 
N (m)]]</f>
        <v>1511659.571</v>
      </c>
      <c r="T2145" s="7">
        <f>Table2[[#This Row],[E]]+Table2[[#This Row],[Pile 
Deviation 
E (m)]]</f>
        <v>694118.31299999997</v>
      </c>
      <c r="W2145" s="7">
        <v>0.24</v>
      </c>
      <c r="X2145" s="2" t="s">
        <v>51</v>
      </c>
    </row>
    <row r="2146" spans="1:28" x14ac:dyDescent="0.65">
      <c r="A2146">
        <v>2140</v>
      </c>
      <c r="B2146" t="s">
        <v>29</v>
      </c>
      <c r="C2146" s="6">
        <v>1511659.5530000001</v>
      </c>
      <c r="D2146" s="6">
        <v>694088.40899999999</v>
      </c>
      <c r="E2146" s="2" t="s">
        <v>35</v>
      </c>
      <c r="F2146" s="1">
        <v>24</v>
      </c>
      <c r="G2146" s="2" t="s">
        <v>50</v>
      </c>
      <c r="J2146">
        <v>6</v>
      </c>
      <c r="K2146" s="19"/>
      <c r="L2146" s="21">
        <v>0.59375</v>
      </c>
      <c r="M2146" s="27" t="s">
        <v>32</v>
      </c>
      <c r="N2146" s="19"/>
      <c r="O2146" s="21">
        <v>0.62222222222222223</v>
      </c>
      <c r="P2146" s="7">
        <v>1.77</v>
      </c>
      <c r="Q2146" s="7">
        <f>Table2[[#This Row],[Elevation
PILE TOP]]-Table2[[#This Row],[LENGTH(m.)
(Actual)]]</f>
        <v>-22.23</v>
      </c>
      <c r="R2146" s="2">
        <v>24</v>
      </c>
      <c r="S2146" s="7">
        <f>Table2[[#This Row],[N]]+Table2[[#This Row],[Pile 
Deviation 
N (m)]]</f>
        <v>1511659.5730000001</v>
      </c>
      <c r="T2146" s="7">
        <f>Table2[[#This Row],[E]]+Table2[[#This Row],[Pile 
Deviation 
E (m)]]</f>
        <v>694088.40899999999</v>
      </c>
      <c r="U2146" s="7">
        <v>0.02</v>
      </c>
      <c r="V2146" s="7">
        <v>0</v>
      </c>
      <c r="W2146" s="7">
        <v>0.24</v>
      </c>
      <c r="X2146" s="2" t="s">
        <v>51</v>
      </c>
      <c r="Y2146" t="s">
        <v>52</v>
      </c>
      <c r="Z2146" s="9">
        <v>46191</v>
      </c>
      <c r="AA2146" s="9">
        <v>46191</v>
      </c>
      <c r="AB2146">
        <v>18</v>
      </c>
    </row>
    <row r="2147" spans="1:28" ht="13.95" customHeight="1" x14ac:dyDescent="0.65">
      <c r="A2147">
        <v>2141</v>
      </c>
      <c r="B2147" t="s">
        <v>29</v>
      </c>
      <c r="C2147" s="6">
        <v>1511659.5349999999</v>
      </c>
      <c r="D2147" s="6">
        <v>694058.50399999996</v>
      </c>
      <c r="E2147" s="2" t="s">
        <v>35</v>
      </c>
      <c r="F2147" s="1">
        <v>24</v>
      </c>
      <c r="G2147" s="2" t="s">
        <v>50</v>
      </c>
      <c r="J2147">
        <v>1</v>
      </c>
      <c r="K2147" s="19"/>
      <c r="L2147" s="21">
        <v>0.42222222222222222</v>
      </c>
      <c r="M2147" s="27" t="s">
        <v>32</v>
      </c>
      <c r="N2147" s="19"/>
      <c r="O2147" s="21">
        <v>0.44305555555555554</v>
      </c>
      <c r="P2147" s="7">
        <v>2.282</v>
      </c>
      <c r="Q2147" s="7">
        <f>Table2[[#This Row],[Elevation
PILE TOP]]-Table2[[#This Row],[LENGTH(m.)
(Actual)]]</f>
        <v>-21.718</v>
      </c>
      <c r="R2147" s="2">
        <v>24</v>
      </c>
      <c r="S2147" s="7">
        <f>Table2[[#This Row],[N]]+Table2[[#This Row],[Pile 
Deviation 
N (m)]]</f>
        <v>1511659.5249999999</v>
      </c>
      <c r="T2147" s="7">
        <f>Table2[[#This Row],[E]]+Table2[[#This Row],[Pile 
Deviation 
E (m)]]</f>
        <v>694058.50399999996</v>
      </c>
      <c r="U2147" s="7">
        <v>-0.01</v>
      </c>
      <c r="V2147" s="7">
        <v>0</v>
      </c>
      <c r="W2147" s="7">
        <v>0.24</v>
      </c>
      <c r="X2147" s="2" t="s">
        <v>51</v>
      </c>
      <c r="Y2147" t="s">
        <v>63</v>
      </c>
      <c r="Z2147" s="9">
        <v>46196</v>
      </c>
      <c r="AA2147" s="9">
        <v>46192</v>
      </c>
      <c r="AB2147">
        <v>52</v>
      </c>
    </row>
    <row r="2148" spans="1:28" x14ac:dyDescent="0.65">
      <c r="A2148">
        <v>2142</v>
      </c>
      <c r="B2148" t="s">
        <v>29</v>
      </c>
      <c r="C2148" s="6">
        <v>1511659.15</v>
      </c>
      <c r="D2148" s="6">
        <v>694099.46900000004</v>
      </c>
      <c r="E2148" s="2" t="s">
        <v>35</v>
      </c>
      <c r="F2148" s="1">
        <v>24</v>
      </c>
      <c r="G2148" s="2" t="s">
        <v>50</v>
      </c>
      <c r="J2148">
        <v>6</v>
      </c>
      <c r="K2148" s="19"/>
      <c r="L2148" s="21">
        <v>0.68402777777777779</v>
      </c>
      <c r="M2148" s="27" t="s">
        <v>32</v>
      </c>
      <c r="N2148" s="19"/>
      <c r="O2148" s="21">
        <v>0.7006944444444444</v>
      </c>
      <c r="P2148" s="7">
        <v>2.67</v>
      </c>
      <c r="Q2148" s="7">
        <f>Table2[[#This Row],[Elevation
PILE TOP]]-Table2[[#This Row],[LENGTH(m.)
(Actual)]]</f>
        <v>-21.33</v>
      </c>
      <c r="R2148" s="2">
        <v>24</v>
      </c>
      <c r="S2148" s="7">
        <f>Table2[[#This Row],[N]]+Table2[[#This Row],[Pile 
Deviation 
N (m)]]</f>
        <v>1511659.14</v>
      </c>
      <c r="T2148" s="7">
        <f>Table2[[#This Row],[E]]+Table2[[#This Row],[Pile 
Deviation 
E (m)]]</f>
        <v>694099.45900000003</v>
      </c>
      <c r="U2148" s="7">
        <v>-0.01</v>
      </c>
      <c r="V2148" s="7">
        <v>-0.01</v>
      </c>
      <c r="W2148" s="7">
        <v>0.24</v>
      </c>
      <c r="X2148" s="2" t="s">
        <v>51</v>
      </c>
      <c r="Y2148" t="s">
        <v>52</v>
      </c>
      <c r="Z2148" s="9">
        <v>46191</v>
      </c>
      <c r="AA2148" s="9">
        <v>46189</v>
      </c>
      <c r="AB2148">
        <v>19</v>
      </c>
    </row>
    <row r="2149" spans="1:28" ht="13.95" customHeight="1" x14ac:dyDescent="0.65">
      <c r="A2149">
        <v>2143</v>
      </c>
      <c r="B2149" t="s">
        <v>29</v>
      </c>
      <c r="C2149" s="6">
        <v>1511659.132</v>
      </c>
      <c r="D2149" s="6">
        <v>694069.56499999994</v>
      </c>
      <c r="E2149" s="2" t="s">
        <v>35</v>
      </c>
      <c r="F2149" s="1">
        <v>24</v>
      </c>
      <c r="G2149" s="2" t="s">
        <v>50</v>
      </c>
      <c r="J2149">
        <v>1</v>
      </c>
      <c r="K2149" s="19"/>
      <c r="L2149" s="21">
        <v>0.56388888888888888</v>
      </c>
      <c r="M2149" s="27" t="s">
        <v>32</v>
      </c>
      <c r="N2149" s="19"/>
      <c r="O2149" s="21">
        <v>0.58750000000000002</v>
      </c>
      <c r="P2149" s="7">
        <v>2.0619999999999998</v>
      </c>
      <c r="Q2149" s="7">
        <f>Table2[[#This Row],[Elevation
PILE TOP]]-Table2[[#This Row],[LENGTH(m.)
(Actual)]]</f>
        <v>-21.937999999999999</v>
      </c>
      <c r="R2149" s="2">
        <v>24</v>
      </c>
      <c r="S2149" s="7">
        <f>Table2[[#This Row],[N]]+Table2[[#This Row],[Pile 
Deviation 
N (m)]]</f>
        <v>1511659.162</v>
      </c>
      <c r="T2149" s="7">
        <f>Table2[[#This Row],[E]]+Table2[[#This Row],[Pile 
Deviation 
E (m)]]</f>
        <v>694069.56499999994</v>
      </c>
      <c r="U2149" s="7">
        <v>0.03</v>
      </c>
      <c r="V2149" s="7">
        <v>0</v>
      </c>
      <c r="W2149" s="7">
        <v>0.24</v>
      </c>
      <c r="X2149" s="2" t="s">
        <v>51</v>
      </c>
      <c r="Y2149" t="s">
        <v>63</v>
      </c>
      <c r="Z2149" s="9">
        <v>46195</v>
      </c>
      <c r="AA2149" s="9">
        <v>46193</v>
      </c>
      <c r="AB2149">
        <v>46</v>
      </c>
    </row>
    <row r="2150" spans="1:28" hidden="1" x14ac:dyDescent="0.65">
      <c r="A2150">
        <v>2144</v>
      </c>
      <c r="B2150" t="s">
        <v>29</v>
      </c>
      <c r="C2150" s="6">
        <v>1511658.747</v>
      </c>
      <c r="D2150" s="6">
        <v>694110.53</v>
      </c>
      <c r="E2150" s="2" t="s">
        <v>35</v>
      </c>
      <c r="F2150" s="1">
        <v>24</v>
      </c>
      <c r="G2150" s="2" t="s">
        <v>50</v>
      </c>
      <c r="J2150"/>
      <c r="K2150" s="19"/>
      <c r="L2150" s="21"/>
      <c r="M2150" s="27"/>
      <c r="N2150" s="19"/>
      <c r="O2150" s="21"/>
      <c r="Q2150" s="7">
        <f>Table2[[#This Row],[Elevation
PILE TOP]]-Table2[[#This Row],[LENGTH(m.)
(Actual)]]</f>
        <v>0</v>
      </c>
      <c r="R2150" s="2"/>
      <c r="S2150" s="7">
        <f>Table2[[#This Row],[N]]+Table2[[#This Row],[Pile 
Deviation 
N (m)]]</f>
        <v>1511658.747</v>
      </c>
      <c r="T2150" s="7">
        <f>Table2[[#This Row],[E]]+Table2[[#This Row],[Pile 
Deviation 
E (m)]]</f>
        <v>694110.53</v>
      </c>
      <c r="W2150" s="7">
        <v>0.24</v>
      </c>
      <c r="X2150" s="2" t="s">
        <v>51</v>
      </c>
    </row>
    <row r="2151" spans="1:28" ht="13.95" hidden="1" customHeight="1" x14ac:dyDescent="0.65">
      <c r="A2151">
        <v>2145</v>
      </c>
      <c r="B2151" t="s">
        <v>29</v>
      </c>
      <c r="C2151" s="6">
        <v>1511658.7290000001</v>
      </c>
      <c r="D2151" s="6">
        <v>694080.62600000005</v>
      </c>
      <c r="E2151" s="2" t="s">
        <v>35</v>
      </c>
      <c r="F2151" s="1">
        <v>24</v>
      </c>
      <c r="G2151" s="2" t="s">
        <v>50</v>
      </c>
      <c r="J2151"/>
      <c r="K2151" s="19"/>
      <c r="L2151" s="21"/>
      <c r="M2151" s="27"/>
      <c r="N2151" s="19"/>
      <c r="O2151" s="21"/>
      <c r="Q2151" s="7">
        <f>Table2[[#This Row],[Elevation
PILE TOP]]-Table2[[#This Row],[LENGTH(m.)
(Actual)]]</f>
        <v>0</v>
      </c>
      <c r="R2151" s="2"/>
      <c r="S2151" s="7">
        <f>Table2[[#This Row],[N]]+Table2[[#This Row],[Pile 
Deviation 
N (m)]]</f>
        <v>1511658.7290000001</v>
      </c>
      <c r="T2151" s="7">
        <f>Table2[[#This Row],[E]]+Table2[[#This Row],[Pile 
Deviation 
E (m)]]</f>
        <v>694080.62600000005</v>
      </c>
      <c r="W2151" s="7">
        <v>0.24</v>
      </c>
      <c r="X2151" s="2" t="s">
        <v>51</v>
      </c>
    </row>
    <row r="2152" spans="1:28" hidden="1" x14ac:dyDescent="0.65">
      <c r="A2152">
        <v>2146</v>
      </c>
      <c r="B2152" t="s">
        <v>29</v>
      </c>
      <c r="C2152" s="6">
        <v>1511658.344</v>
      </c>
      <c r="D2152" s="6">
        <v>694121.59</v>
      </c>
      <c r="E2152" s="2" t="s">
        <v>35</v>
      </c>
      <c r="F2152" s="1">
        <v>24</v>
      </c>
      <c r="G2152" s="2" t="s">
        <v>50</v>
      </c>
      <c r="J2152"/>
      <c r="K2152" s="19"/>
      <c r="L2152" s="21"/>
      <c r="M2152" s="27"/>
      <c r="N2152" s="19"/>
      <c r="O2152" s="21"/>
      <c r="Q2152" s="7">
        <f>Table2[[#This Row],[Elevation
PILE TOP]]-Table2[[#This Row],[LENGTH(m.)
(Actual)]]</f>
        <v>0</v>
      </c>
      <c r="R2152" s="2"/>
      <c r="S2152" s="7">
        <f>Table2[[#This Row],[N]]+Table2[[#This Row],[Pile 
Deviation 
N (m)]]</f>
        <v>1511658.344</v>
      </c>
      <c r="T2152" s="7">
        <f>Table2[[#This Row],[E]]+Table2[[#This Row],[Pile 
Deviation 
E (m)]]</f>
        <v>694121.59</v>
      </c>
      <c r="W2152" s="7">
        <v>0.24</v>
      </c>
      <c r="X2152" s="2" t="s">
        <v>51</v>
      </c>
    </row>
    <row r="2153" spans="1:28" ht="13.95" customHeight="1" x14ac:dyDescent="0.65">
      <c r="A2153">
        <v>2147</v>
      </c>
      <c r="B2153" t="s">
        <v>29</v>
      </c>
      <c r="C2153" s="6">
        <v>1511658.3259999999</v>
      </c>
      <c r="D2153" s="6">
        <v>694091.68599999999</v>
      </c>
      <c r="E2153" s="2" t="s">
        <v>35</v>
      </c>
      <c r="F2153" s="1">
        <v>24</v>
      </c>
      <c r="G2153" s="2" t="s">
        <v>50</v>
      </c>
      <c r="J2153">
        <v>6</v>
      </c>
      <c r="K2153" s="19"/>
      <c r="L2153" s="21">
        <v>0.55902777777777779</v>
      </c>
      <c r="M2153" s="27" t="s">
        <v>32</v>
      </c>
      <c r="N2153" s="19"/>
      <c r="O2153" s="21">
        <v>0.58333333333333337</v>
      </c>
      <c r="P2153" s="7">
        <v>2.4900000000000002</v>
      </c>
      <c r="Q2153" s="7">
        <f>Table2[[#This Row],[Elevation
PILE TOP]]-Table2[[#This Row],[LENGTH(m.)
(Actual)]]</f>
        <v>-21.509999999999998</v>
      </c>
      <c r="R2153" s="2">
        <v>24</v>
      </c>
      <c r="S2153" s="7">
        <f>Table2[[#This Row],[N]]+Table2[[#This Row],[Pile 
Deviation 
N (m)]]</f>
        <v>1511658.3359999999</v>
      </c>
      <c r="T2153" s="7">
        <f>Table2[[#This Row],[E]]+Table2[[#This Row],[Pile 
Deviation 
E (m)]]</f>
        <v>694091.70600000001</v>
      </c>
      <c r="U2153" s="7">
        <v>0.01</v>
      </c>
      <c r="V2153" s="7">
        <v>0.02</v>
      </c>
      <c r="W2153" s="7">
        <v>0.24</v>
      </c>
      <c r="X2153" s="2" t="s">
        <v>51</v>
      </c>
      <c r="Y2153" t="s">
        <v>52</v>
      </c>
      <c r="Z2153" s="9">
        <v>46191</v>
      </c>
      <c r="AA2153" s="9">
        <v>46191</v>
      </c>
      <c r="AB2153">
        <v>17</v>
      </c>
    </row>
    <row r="2154" spans="1:28" x14ac:dyDescent="0.65">
      <c r="A2154">
        <v>2148</v>
      </c>
      <c r="B2154" t="s">
        <v>29</v>
      </c>
      <c r="C2154" s="6">
        <v>1511658.308</v>
      </c>
      <c r="D2154" s="6">
        <v>694061.78200000001</v>
      </c>
      <c r="E2154" s="2" t="s">
        <v>35</v>
      </c>
      <c r="F2154" s="1">
        <v>24</v>
      </c>
      <c r="G2154" s="2" t="s">
        <v>50</v>
      </c>
      <c r="J2154">
        <v>1</v>
      </c>
      <c r="K2154" s="19"/>
      <c r="L2154" s="21">
        <v>0.3979166666666667</v>
      </c>
      <c r="M2154" s="27" t="s">
        <v>32</v>
      </c>
      <c r="N2154" s="19"/>
      <c r="O2154" s="21">
        <v>0.41875000000000001</v>
      </c>
      <c r="P2154" s="7">
        <v>2.3159999999999998</v>
      </c>
      <c r="Q2154" s="7">
        <f>Table2[[#This Row],[Elevation
PILE TOP]]-Table2[[#This Row],[LENGTH(m.)
(Actual)]]</f>
        <v>-21.684000000000001</v>
      </c>
      <c r="R2154" s="2">
        <v>24</v>
      </c>
      <c r="S2154" s="7">
        <f>Table2[[#This Row],[N]]+Table2[[#This Row],[Pile 
Deviation 
N (m)]]</f>
        <v>1511658.308</v>
      </c>
      <c r="T2154" s="7">
        <f>Table2[[#This Row],[E]]+Table2[[#This Row],[Pile 
Deviation 
E (m)]]</f>
        <v>694061.772</v>
      </c>
      <c r="U2154" s="7">
        <v>0</v>
      </c>
      <c r="V2154" s="7">
        <v>-0.01</v>
      </c>
      <c r="W2154" s="7">
        <v>0.24</v>
      </c>
      <c r="X2154" s="2" t="s">
        <v>51</v>
      </c>
      <c r="Y2154" t="s">
        <v>63</v>
      </c>
      <c r="Z2154" s="9">
        <v>46196</v>
      </c>
      <c r="AA2154" s="9">
        <v>46192</v>
      </c>
      <c r="AB2154">
        <v>51</v>
      </c>
    </row>
    <row r="2155" spans="1:28" ht="13.95" customHeight="1" x14ac:dyDescent="0.65">
      <c r="A2155">
        <v>2149</v>
      </c>
      <c r="B2155" t="s">
        <v>29</v>
      </c>
      <c r="C2155" s="6">
        <v>1511657.923</v>
      </c>
      <c r="D2155" s="6">
        <v>694102.74699999997</v>
      </c>
      <c r="E2155" s="2" t="s">
        <v>35</v>
      </c>
      <c r="F2155" s="1">
        <v>24</v>
      </c>
      <c r="G2155" s="2" t="s">
        <v>50</v>
      </c>
      <c r="J2155">
        <v>6</v>
      </c>
      <c r="K2155" s="19"/>
      <c r="L2155" s="21">
        <v>0.39930555555555558</v>
      </c>
      <c r="M2155" s="27" t="s">
        <v>32</v>
      </c>
      <c r="N2155" s="19"/>
      <c r="O2155" s="21">
        <v>0.42499999999999999</v>
      </c>
      <c r="P2155" s="7">
        <v>1.78</v>
      </c>
      <c r="Q2155" s="7">
        <f>Table2[[#This Row],[Elevation
PILE TOP]]-Table2[[#This Row],[LENGTH(m.)
(Actual)]]</f>
        <v>-22.22</v>
      </c>
      <c r="R2155" s="2">
        <v>24</v>
      </c>
      <c r="S2155" s="7">
        <f>Table2[[#This Row],[N]]+Table2[[#This Row],[Pile 
Deviation 
N (m)]]</f>
        <v>1511657.943</v>
      </c>
      <c r="T2155" s="7">
        <f>Table2[[#This Row],[E]]+Table2[[#This Row],[Pile 
Deviation 
E (m)]]</f>
        <v>694102.76699999999</v>
      </c>
      <c r="U2155" s="7">
        <v>0.02</v>
      </c>
      <c r="V2155" s="7">
        <v>0.02</v>
      </c>
      <c r="W2155" s="7">
        <v>0.24</v>
      </c>
      <c r="X2155" s="2" t="s">
        <v>51</v>
      </c>
      <c r="Y2155" t="s">
        <v>52</v>
      </c>
      <c r="Z2155" s="9">
        <v>46192</v>
      </c>
      <c r="AA2155" s="9">
        <v>46189</v>
      </c>
      <c r="AB2155">
        <v>20</v>
      </c>
    </row>
    <row r="2156" spans="1:28" x14ac:dyDescent="0.65">
      <c r="A2156">
        <v>2150</v>
      </c>
      <c r="B2156" t="s">
        <v>29</v>
      </c>
      <c r="C2156" s="6">
        <v>1511657.905</v>
      </c>
      <c r="D2156" s="6">
        <v>694072.84299999999</v>
      </c>
      <c r="E2156" s="2" t="s">
        <v>35</v>
      </c>
      <c r="F2156" s="1">
        <v>24</v>
      </c>
      <c r="G2156" s="2" t="s">
        <v>50</v>
      </c>
      <c r="J2156">
        <v>1</v>
      </c>
      <c r="K2156" s="19"/>
      <c r="L2156" s="21">
        <v>0.4993055555555555</v>
      </c>
      <c r="M2156" s="27" t="s">
        <v>32</v>
      </c>
      <c r="N2156" s="19"/>
      <c r="O2156" s="21">
        <v>0.55902777777777779</v>
      </c>
      <c r="P2156" s="7">
        <v>2.1230000000000002</v>
      </c>
      <c r="Q2156" s="7">
        <f>Table2[[#This Row],[Elevation
PILE TOP]]-Table2[[#This Row],[LENGTH(m.)
(Actual)]]</f>
        <v>-21.876999999999999</v>
      </c>
      <c r="R2156" s="2">
        <v>24</v>
      </c>
      <c r="S2156" s="7">
        <f>Table2[[#This Row],[N]]+Table2[[#This Row],[Pile 
Deviation 
N (m)]]</f>
        <v>1511657.925</v>
      </c>
      <c r="T2156" s="7">
        <f>Table2[[#This Row],[E]]+Table2[[#This Row],[Pile 
Deviation 
E (m)]]</f>
        <v>694072.86300000001</v>
      </c>
      <c r="U2156" s="7">
        <v>0.02</v>
      </c>
      <c r="V2156" s="7">
        <v>0.02</v>
      </c>
      <c r="W2156" s="7">
        <v>0.24</v>
      </c>
      <c r="X2156" s="2" t="s">
        <v>51</v>
      </c>
      <c r="Y2156" t="s">
        <v>63</v>
      </c>
      <c r="Z2156" s="9">
        <v>46195</v>
      </c>
      <c r="AA2156" s="9">
        <v>46193</v>
      </c>
      <c r="AB2156">
        <v>45</v>
      </c>
    </row>
    <row r="2157" spans="1:28" ht="13.95" hidden="1" customHeight="1" x14ac:dyDescent="0.65">
      <c r="A2157">
        <v>2151</v>
      </c>
      <c r="B2157" t="s">
        <v>29</v>
      </c>
      <c r="C2157" s="6">
        <v>1511657.52</v>
      </c>
      <c r="D2157" s="6">
        <v>694113.80799999996</v>
      </c>
      <c r="E2157" s="2" t="s">
        <v>35</v>
      </c>
      <c r="F2157" s="1">
        <v>24</v>
      </c>
      <c r="G2157" s="2" t="s">
        <v>50</v>
      </c>
      <c r="J2157"/>
      <c r="K2157" s="19"/>
      <c r="L2157" s="21"/>
      <c r="M2157" s="27"/>
      <c r="N2157" s="19"/>
      <c r="O2157" s="21"/>
      <c r="Q2157" s="7">
        <f>Table2[[#This Row],[Elevation
PILE TOP]]-Table2[[#This Row],[LENGTH(m.)
(Actual)]]</f>
        <v>0</v>
      </c>
      <c r="R2157" s="2"/>
      <c r="S2157" s="7">
        <f>Table2[[#This Row],[N]]+Table2[[#This Row],[Pile 
Deviation 
N (m)]]</f>
        <v>1511657.52</v>
      </c>
      <c r="T2157" s="7">
        <f>Table2[[#This Row],[E]]+Table2[[#This Row],[Pile 
Deviation 
E (m)]]</f>
        <v>694113.80799999996</v>
      </c>
      <c r="W2157" s="7">
        <v>0.24</v>
      </c>
      <c r="X2157" s="2" t="s">
        <v>51</v>
      </c>
    </row>
    <row r="2158" spans="1:28" hidden="1" x14ac:dyDescent="0.65">
      <c r="A2158">
        <v>2152</v>
      </c>
      <c r="B2158" t="s">
        <v>29</v>
      </c>
      <c r="C2158" s="6">
        <v>1511657.5020000001</v>
      </c>
      <c r="D2158" s="6">
        <v>694083.90399999998</v>
      </c>
      <c r="E2158" s="2" t="s">
        <v>35</v>
      </c>
      <c r="F2158" s="1">
        <v>24</v>
      </c>
      <c r="G2158" s="2" t="s">
        <v>50</v>
      </c>
      <c r="J2158"/>
      <c r="K2158" s="19"/>
      <c r="L2158" s="21"/>
      <c r="M2158" s="27"/>
      <c r="N2158" s="19"/>
      <c r="O2158" s="21"/>
      <c r="Q2158" s="7">
        <f>Table2[[#This Row],[Elevation
PILE TOP]]-Table2[[#This Row],[LENGTH(m.)
(Actual)]]</f>
        <v>0</v>
      </c>
      <c r="R2158" s="2"/>
      <c r="S2158" s="7">
        <f>Table2[[#This Row],[N]]+Table2[[#This Row],[Pile 
Deviation 
N (m)]]</f>
        <v>1511657.5020000001</v>
      </c>
      <c r="T2158" s="7">
        <f>Table2[[#This Row],[E]]+Table2[[#This Row],[Pile 
Deviation 
E (m)]]</f>
        <v>694083.90399999998</v>
      </c>
      <c r="W2158" s="7">
        <v>0.24</v>
      </c>
      <c r="X2158" s="2" t="s">
        <v>51</v>
      </c>
    </row>
    <row r="2159" spans="1:28" ht="13.95" hidden="1" customHeight="1" x14ac:dyDescent="0.65">
      <c r="A2159">
        <v>2153</v>
      </c>
      <c r="B2159" t="s">
        <v>29</v>
      </c>
      <c r="C2159" s="6">
        <v>1511657.1170000001</v>
      </c>
      <c r="D2159" s="6">
        <v>694124.86800000002</v>
      </c>
      <c r="E2159" s="2" t="s">
        <v>35</v>
      </c>
      <c r="F2159" s="1">
        <v>24</v>
      </c>
      <c r="G2159" s="2" t="s">
        <v>50</v>
      </c>
      <c r="J2159"/>
      <c r="K2159" s="19"/>
      <c r="L2159" s="21"/>
      <c r="M2159" s="27"/>
      <c r="N2159" s="19"/>
      <c r="O2159" s="21"/>
      <c r="Q2159" s="7">
        <f>Table2[[#This Row],[Elevation
PILE TOP]]-Table2[[#This Row],[LENGTH(m.)
(Actual)]]</f>
        <v>0</v>
      </c>
      <c r="R2159" s="2"/>
      <c r="S2159" s="7">
        <f>Table2[[#This Row],[N]]+Table2[[#This Row],[Pile 
Deviation 
N (m)]]</f>
        <v>1511657.1170000001</v>
      </c>
      <c r="T2159" s="7">
        <f>Table2[[#This Row],[E]]+Table2[[#This Row],[Pile 
Deviation 
E (m)]]</f>
        <v>694124.86800000002</v>
      </c>
      <c r="W2159" s="7">
        <v>0.24</v>
      </c>
      <c r="X2159" s="2" t="s">
        <v>51</v>
      </c>
    </row>
    <row r="2160" spans="1:28" x14ac:dyDescent="0.65">
      <c r="A2160">
        <v>2154</v>
      </c>
      <c r="B2160" t="s">
        <v>29</v>
      </c>
      <c r="C2160" s="6">
        <v>1511657.0989999999</v>
      </c>
      <c r="D2160" s="6">
        <v>694094.96400000004</v>
      </c>
      <c r="E2160" s="2" t="s">
        <v>35</v>
      </c>
      <c r="F2160" s="1">
        <v>24</v>
      </c>
      <c r="G2160" s="2" t="s">
        <v>50</v>
      </c>
      <c r="J2160">
        <v>6</v>
      </c>
      <c r="K2160" s="19"/>
      <c r="L2160" s="21">
        <v>0.45763888888888887</v>
      </c>
      <c r="M2160" s="27" t="s">
        <v>32</v>
      </c>
      <c r="N2160" s="19"/>
      <c r="O2160" s="21">
        <v>0.4909722222222222</v>
      </c>
      <c r="P2160" s="7">
        <v>2.5099999999999998</v>
      </c>
      <c r="Q2160" s="7">
        <f>Table2[[#This Row],[Elevation
PILE TOP]]-Table2[[#This Row],[LENGTH(m.)
(Actual)]]</f>
        <v>-21.490000000000002</v>
      </c>
      <c r="R2160" s="2">
        <v>24</v>
      </c>
      <c r="S2160" s="7">
        <f>Table2[[#This Row],[N]]+Table2[[#This Row],[Pile 
Deviation 
N (m)]]</f>
        <v>1511657.1089999999</v>
      </c>
      <c r="T2160" s="7">
        <f>Table2[[#This Row],[E]]+Table2[[#This Row],[Pile 
Deviation 
E (m)]]</f>
        <v>694094.93400000001</v>
      </c>
      <c r="U2160" s="7">
        <v>0.01</v>
      </c>
      <c r="V2160" s="7">
        <v>-0.03</v>
      </c>
      <c r="W2160" s="7">
        <v>0.24</v>
      </c>
      <c r="X2160" s="2" t="s">
        <v>51</v>
      </c>
      <c r="Y2160" t="s">
        <v>52</v>
      </c>
      <c r="Z2160" s="9">
        <v>46191</v>
      </c>
      <c r="AA2160" s="9">
        <v>46191</v>
      </c>
      <c r="AB2160">
        <v>16</v>
      </c>
    </row>
    <row r="2161" spans="1:28" ht="13.95" customHeight="1" x14ac:dyDescent="0.65">
      <c r="A2161">
        <v>2155</v>
      </c>
      <c r="B2161" t="s">
        <v>29</v>
      </c>
      <c r="C2161" s="6">
        <v>1511657.081</v>
      </c>
      <c r="D2161" s="6">
        <v>694065.06</v>
      </c>
      <c r="E2161" s="2" t="s">
        <v>35</v>
      </c>
      <c r="F2161" s="1">
        <v>24</v>
      </c>
      <c r="G2161" s="2" t="s">
        <v>50</v>
      </c>
      <c r="J2161">
        <v>1</v>
      </c>
      <c r="K2161" s="19"/>
      <c r="L2161" s="21">
        <v>0.36805555555555558</v>
      </c>
      <c r="M2161" s="27" t="s">
        <v>32</v>
      </c>
      <c r="N2161" s="19"/>
      <c r="O2161" s="21">
        <v>0.39097222222222222</v>
      </c>
      <c r="P2161" s="7">
        <v>2.149</v>
      </c>
      <c r="Q2161" s="7">
        <f>Table2[[#This Row],[Elevation
PILE TOP]]-Table2[[#This Row],[LENGTH(m.)
(Actual)]]</f>
        <v>-21.850999999999999</v>
      </c>
      <c r="R2161" s="2">
        <v>24</v>
      </c>
      <c r="S2161" s="7">
        <f>Table2[[#This Row],[N]]+Table2[[#This Row],[Pile 
Deviation 
N (m)]]</f>
        <v>1511657.061</v>
      </c>
      <c r="T2161" s="7">
        <f>Table2[[#This Row],[E]]+Table2[[#This Row],[Pile 
Deviation 
E (m)]]</f>
        <v>694065.03</v>
      </c>
      <c r="U2161" s="7">
        <v>-0.02</v>
      </c>
      <c r="V2161" s="7">
        <v>-0.03</v>
      </c>
      <c r="W2161" s="7">
        <v>0.24</v>
      </c>
      <c r="X2161" s="2" t="s">
        <v>51</v>
      </c>
      <c r="Y2161" t="s">
        <v>63</v>
      </c>
      <c r="Z2161" s="9">
        <v>46196</v>
      </c>
      <c r="AA2161" s="9">
        <v>46192</v>
      </c>
      <c r="AB2161">
        <v>50</v>
      </c>
    </row>
    <row r="2162" spans="1:28" x14ac:dyDescent="0.65">
      <c r="A2162">
        <v>2156</v>
      </c>
      <c r="B2162" t="s">
        <v>29</v>
      </c>
      <c r="C2162" s="6">
        <v>1511656.696</v>
      </c>
      <c r="D2162" s="6">
        <v>694106.02500000002</v>
      </c>
      <c r="E2162" s="2" t="s">
        <v>35</v>
      </c>
      <c r="F2162" s="1">
        <v>24</v>
      </c>
      <c r="G2162" s="2" t="s">
        <v>50</v>
      </c>
      <c r="J2162">
        <v>1</v>
      </c>
      <c r="K2162" s="19"/>
      <c r="L2162" s="21">
        <v>0.625</v>
      </c>
      <c r="M2162" s="27" t="s">
        <v>32</v>
      </c>
      <c r="N2162" s="19"/>
      <c r="O2162" s="21">
        <v>0.65069444444444446</v>
      </c>
      <c r="P2162" s="7">
        <v>2.5499999999999998</v>
      </c>
      <c r="Q2162" s="7">
        <f>Table2[[#This Row],[Elevation
PILE TOP]]-Table2[[#This Row],[LENGTH(m.)
(Actual)]]</f>
        <v>-21.45</v>
      </c>
      <c r="R2162" s="2">
        <v>24</v>
      </c>
      <c r="S2162" s="7">
        <f>Table2[[#This Row],[N]]+Table2[[#This Row],[Pile 
Deviation 
N (m)]]</f>
        <v>1511656.676</v>
      </c>
      <c r="T2162" s="7">
        <f>Table2[[#This Row],[E]]+Table2[[#This Row],[Pile 
Deviation 
E (m)]]</f>
        <v>694106.04500000004</v>
      </c>
      <c r="U2162" s="7">
        <v>-0.02</v>
      </c>
      <c r="V2162" s="7">
        <v>0.02</v>
      </c>
      <c r="W2162" s="7">
        <v>0.24</v>
      </c>
      <c r="X2162" s="2" t="s">
        <v>51</v>
      </c>
      <c r="Y2162" t="s">
        <v>63</v>
      </c>
      <c r="Z2162" s="9">
        <v>46192</v>
      </c>
      <c r="AA2162" s="9">
        <v>46189</v>
      </c>
      <c r="AB2162">
        <v>34</v>
      </c>
    </row>
    <row r="2163" spans="1:28" ht="13.95" customHeight="1" x14ac:dyDescent="0.65">
      <c r="A2163">
        <v>2157</v>
      </c>
      <c r="B2163" t="s">
        <v>29</v>
      </c>
      <c r="C2163" s="6">
        <v>1511656.6780000001</v>
      </c>
      <c r="D2163" s="6">
        <v>694076.12100000004</v>
      </c>
      <c r="E2163" s="2" t="s">
        <v>35</v>
      </c>
      <c r="F2163" s="1">
        <v>24</v>
      </c>
      <c r="G2163" s="2" t="s">
        <v>50</v>
      </c>
      <c r="J2163">
        <v>1</v>
      </c>
      <c r="K2163" s="19"/>
      <c r="L2163" s="21">
        <v>0.4604166666666667</v>
      </c>
      <c r="M2163" s="27" t="s">
        <v>32</v>
      </c>
      <c r="N2163" s="19"/>
      <c r="O2163" s="21">
        <v>0.48333333333333334</v>
      </c>
      <c r="P2163" s="7">
        <v>2.2519999999999998</v>
      </c>
      <c r="Q2163" s="7">
        <f>Table2[[#This Row],[Elevation
PILE TOP]]-Table2[[#This Row],[LENGTH(m.)
(Actual)]]</f>
        <v>-21.748000000000001</v>
      </c>
      <c r="R2163" s="2">
        <v>24</v>
      </c>
      <c r="S2163" s="7">
        <f>Table2[[#This Row],[N]]+Table2[[#This Row],[Pile 
Deviation 
N (m)]]</f>
        <v>1511656.6980000001</v>
      </c>
      <c r="T2163" s="7">
        <f>Table2[[#This Row],[E]]+Table2[[#This Row],[Pile 
Deviation 
E (m)]]</f>
        <v>694076.11100000003</v>
      </c>
      <c r="U2163" s="7">
        <v>0.02</v>
      </c>
      <c r="V2163" s="7">
        <v>-0.01</v>
      </c>
      <c r="W2163" s="7">
        <v>0.24</v>
      </c>
      <c r="X2163" s="2" t="s">
        <v>51</v>
      </c>
      <c r="Y2163" t="s">
        <v>63</v>
      </c>
      <c r="Z2163" s="9">
        <v>46195</v>
      </c>
      <c r="AA2163" s="9">
        <v>46193</v>
      </c>
      <c r="AB2163">
        <v>44</v>
      </c>
    </row>
    <row r="2164" spans="1:28" hidden="1" x14ac:dyDescent="0.65">
      <c r="A2164">
        <v>2158</v>
      </c>
      <c r="B2164" t="s">
        <v>29</v>
      </c>
      <c r="C2164" s="6">
        <v>1511656.2930000001</v>
      </c>
      <c r="D2164" s="6">
        <v>694117.08600000001</v>
      </c>
      <c r="E2164" s="2" t="s">
        <v>35</v>
      </c>
      <c r="F2164" s="1">
        <v>24</v>
      </c>
      <c r="G2164" s="2" t="s">
        <v>50</v>
      </c>
      <c r="J2164"/>
      <c r="K2164" s="19"/>
      <c r="L2164" s="21"/>
      <c r="M2164" s="27"/>
      <c r="N2164" s="19"/>
      <c r="O2164" s="21"/>
      <c r="Q2164" s="7">
        <f>Table2[[#This Row],[Elevation
PILE TOP]]-Table2[[#This Row],[LENGTH(m.)
(Actual)]]</f>
        <v>0</v>
      </c>
      <c r="R2164" s="2"/>
      <c r="S2164" s="7">
        <f>Table2[[#This Row],[N]]+Table2[[#This Row],[Pile 
Deviation 
N (m)]]</f>
        <v>1511656.2930000001</v>
      </c>
      <c r="T2164" s="7">
        <f>Table2[[#This Row],[E]]+Table2[[#This Row],[Pile 
Deviation 
E (m)]]</f>
        <v>694117.08600000001</v>
      </c>
      <c r="W2164" s="7">
        <v>0.24</v>
      </c>
      <c r="X2164" s="2" t="s">
        <v>51</v>
      </c>
    </row>
    <row r="2165" spans="1:28" ht="13.95" customHeight="1" x14ac:dyDescent="0.65">
      <c r="A2165">
        <v>2159</v>
      </c>
      <c r="B2165" t="s">
        <v>29</v>
      </c>
      <c r="C2165" s="6">
        <v>1511656.2749999999</v>
      </c>
      <c r="D2165" s="6">
        <v>694087.18200000003</v>
      </c>
      <c r="E2165" s="2" t="s">
        <v>35</v>
      </c>
      <c r="F2165" s="1">
        <v>24</v>
      </c>
      <c r="G2165" s="2" t="s">
        <v>50</v>
      </c>
      <c r="J2165">
        <v>6</v>
      </c>
      <c r="K2165" s="19"/>
      <c r="L2165" s="21">
        <v>0.4513888888888889</v>
      </c>
      <c r="M2165" s="27" t="s">
        <v>32</v>
      </c>
      <c r="N2165" s="19"/>
      <c r="O2165" s="21">
        <v>0.4770833333333333</v>
      </c>
      <c r="P2165" s="7">
        <v>2.67</v>
      </c>
      <c r="Q2165" s="7">
        <f>Table2[[#This Row],[Elevation
PILE TOP]]-Table2[[#This Row],[LENGTH(m.)
(Actual)]]</f>
        <v>-21.33</v>
      </c>
      <c r="R2165" s="2">
        <v>24</v>
      </c>
      <c r="S2165" s="7">
        <f>Table2[[#This Row],[N]]+Table2[[#This Row],[Pile 
Deviation 
N (m)]]</f>
        <v>1511656.2549999999</v>
      </c>
      <c r="T2165" s="7">
        <f>Table2[[#This Row],[E]]+Table2[[#This Row],[Pile 
Deviation 
E (m)]]</f>
        <v>694087.19200000004</v>
      </c>
      <c r="U2165" s="7">
        <v>-0.02</v>
      </c>
      <c r="V2165" s="7">
        <v>0.01</v>
      </c>
      <c r="W2165" s="7">
        <v>0.24</v>
      </c>
      <c r="X2165" s="2" t="s">
        <v>51</v>
      </c>
      <c r="Y2165" t="s">
        <v>52</v>
      </c>
      <c r="Z2165" s="9">
        <v>46190</v>
      </c>
      <c r="AA2165" s="9">
        <v>46191</v>
      </c>
      <c r="AB2165">
        <v>9</v>
      </c>
    </row>
    <row r="2166" spans="1:28" x14ac:dyDescent="0.65">
      <c r="A2166">
        <v>2160</v>
      </c>
      <c r="B2166" t="s">
        <v>29</v>
      </c>
      <c r="C2166" s="6">
        <v>1511655.872</v>
      </c>
      <c r="D2166" s="6">
        <v>694098.24199999997</v>
      </c>
      <c r="E2166" s="2" t="s">
        <v>35</v>
      </c>
      <c r="F2166" s="1">
        <v>24</v>
      </c>
      <c r="G2166" s="2" t="s">
        <v>50</v>
      </c>
      <c r="J2166">
        <v>6</v>
      </c>
      <c r="K2166" s="19"/>
      <c r="L2166" s="21">
        <v>0.42083333333333334</v>
      </c>
      <c r="M2166" s="27" t="s">
        <v>32</v>
      </c>
      <c r="N2166" s="19"/>
      <c r="O2166" s="21">
        <v>0.44722222222222219</v>
      </c>
      <c r="P2166" s="7">
        <v>2.23</v>
      </c>
      <c r="Q2166" s="7">
        <f>Table2[[#This Row],[Elevation
PILE TOP]]-Table2[[#This Row],[LENGTH(m.)
(Actual)]]</f>
        <v>-21.77</v>
      </c>
      <c r="R2166" s="2">
        <v>24</v>
      </c>
      <c r="S2166" s="7">
        <f>Table2[[#This Row],[N]]+Table2[[#This Row],[Pile 
Deviation 
N (m)]]</f>
        <v>1511655.8319999999</v>
      </c>
      <c r="T2166" s="7">
        <f>Table2[[#This Row],[E]]+Table2[[#This Row],[Pile 
Deviation 
E (m)]]</f>
        <v>694098.25199999998</v>
      </c>
      <c r="U2166" s="7">
        <v>-0.04</v>
      </c>
      <c r="V2166" s="7">
        <v>0.01</v>
      </c>
      <c r="W2166" s="7">
        <v>0.24</v>
      </c>
      <c r="X2166" s="2" t="s">
        <v>51</v>
      </c>
      <c r="Y2166" t="s">
        <v>52</v>
      </c>
      <c r="Z2166" s="9">
        <v>46191</v>
      </c>
      <c r="AA2166" s="9">
        <v>46191</v>
      </c>
      <c r="AB2166">
        <v>15</v>
      </c>
    </row>
    <row r="2167" spans="1:28" ht="13.95" customHeight="1" x14ac:dyDescent="0.65">
      <c r="A2167">
        <v>2161</v>
      </c>
      <c r="B2167" t="s">
        <v>29</v>
      </c>
      <c r="C2167" s="6">
        <v>1511655.8540000001</v>
      </c>
      <c r="D2167" s="6">
        <v>694068.33799999999</v>
      </c>
      <c r="E2167" s="2" t="s">
        <v>35</v>
      </c>
      <c r="F2167" s="1">
        <v>24</v>
      </c>
      <c r="G2167" s="2" t="s">
        <v>50</v>
      </c>
      <c r="J2167">
        <v>1</v>
      </c>
      <c r="K2167" s="19"/>
      <c r="L2167" s="21">
        <v>0.49791666666666662</v>
      </c>
      <c r="M2167" s="27" t="s">
        <v>32</v>
      </c>
      <c r="N2167" s="19"/>
      <c r="O2167" s="21">
        <v>0.55972222222222223</v>
      </c>
      <c r="P2167" s="7">
        <v>2.14</v>
      </c>
      <c r="Q2167" s="7">
        <f>Table2[[#This Row],[Elevation
PILE TOP]]-Table2[[#This Row],[LENGTH(m.)
(Actual)]]</f>
        <v>-21.86</v>
      </c>
      <c r="R2167" s="2">
        <v>24</v>
      </c>
      <c r="S2167" s="7">
        <f>Table2[[#This Row],[N]]+Table2[[#This Row],[Pile 
Deviation 
N (m)]]</f>
        <v>1511655.8640000001</v>
      </c>
      <c r="T2167" s="7">
        <f>Table2[[#This Row],[E]]+Table2[[#This Row],[Pile 
Deviation 
E (m)]]</f>
        <v>694068.35800000001</v>
      </c>
      <c r="U2167" s="7">
        <v>0.01</v>
      </c>
      <c r="V2167" s="7">
        <v>0.02</v>
      </c>
      <c r="W2167" s="7">
        <v>0.24</v>
      </c>
      <c r="X2167" s="2" t="s">
        <v>51</v>
      </c>
      <c r="Y2167" t="s">
        <v>63</v>
      </c>
      <c r="Z2167" s="9">
        <v>46194</v>
      </c>
      <c r="AA2167" s="9">
        <v>46192</v>
      </c>
      <c r="AB2167">
        <v>41</v>
      </c>
    </row>
    <row r="2168" spans="1:28" x14ac:dyDescent="0.65">
      <c r="A2168">
        <v>2162</v>
      </c>
      <c r="B2168" t="s">
        <v>29</v>
      </c>
      <c r="C2168" s="6">
        <v>1511655.469</v>
      </c>
      <c r="D2168" s="6">
        <v>694109.30299999996</v>
      </c>
      <c r="E2168" s="2" t="s">
        <v>35</v>
      </c>
      <c r="F2168" s="1">
        <v>24</v>
      </c>
      <c r="G2168" s="2" t="s">
        <v>50</v>
      </c>
      <c r="J2168">
        <v>1</v>
      </c>
      <c r="K2168" s="19"/>
      <c r="L2168" s="21">
        <v>0.44791666666666669</v>
      </c>
      <c r="M2168" s="27" t="s">
        <v>32</v>
      </c>
      <c r="N2168" s="19"/>
      <c r="O2168" s="21">
        <v>0.47083333333333338</v>
      </c>
      <c r="P2168" s="7">
        <v>2.13</v>
      </c>
      <c r="Q2168" s="7">
        <f>Table2[[#This Row],[Elevation
PILE TOP]]-Table2[[#This Row],[LENGTH(m.)
(Actual)]]</f>
        <v>-21.87</v>
      </c>
      <c r="R2168" s="2">
        <v>24</v>
      </c>
      <c r="S2168" s="7">
        <f>Table2[[#This Row],[N]]+Table2[[#This Row],[Pile 
Deviation 
N (m)]]</f>
        <v>1511655.469</v>
      </c>
      <c r="T2168" s="7">
        <f>Table2[[#This Row],[E]]+Table2[[#This Row],[Pile 
Deviation 
E (m)]]</f>
        <v>694109.32299999997</v>
      </c>
      <c r="U2168" s="7">
        <v>0</v>
      </c>
      <c r="V2168" s="7">
        <v>0.02</v>
      </c>
      <c r="W2168" s="7">
        <v>0.24</v>
      </c>
      <c r="X2168" s="2" t="s">
        <v>51</v>
      </c>
      <c r="Y2168" t="s">
        <v>63</v>
      </c>
      <c r="Z2168" s="9">
        <v>46192</v>
      </c>
      <c r="AA2168" s="9">
        <v>46189</v>
      </c>
      <c r="AB2168">
        <v>31</v>
      </c>
    </row>
    <row r="2169" spans="1:28" ht="13.95" customHeight="1" x14ac:dyDescent="0.65">
      <c r="A2169">
        <v>2163</v>
      </c>
      <c r="B2169" t="s">
        <v>29</v>
      </c>
      <c r="C2169" s="6">
        <v>1511655.4509999999</v>
      </c>
      <c r="D2169" s="6">
        <v>694079.39899999998</v>
      </c>
      <c r="E2169" s="2" t="s">
        <v>35</v>
      </c>
      <c r="F2169" s="1">
        <v>24</v>
      </c>
      <c r="G2169" s="2" t="s">
        <v>50</v>
      </c>
      <c r="J2169">
        <v>1</v>
      </c>
      <c r="K2169" s="19"/>
      <c r="L2169" s="21">
        <v>0.43055555555555558</v>
      </c>
      <c r="M2169" s="27" t="s">
        <v>32</v>
      </c>
      <c r="N2169" s="19"/>
      <c r="O2169" s="21">
        <v>0.45624999999999999</v>
      </c>
      <c r="P2169" s="7">
        <v>1.8959999999999999</v>
      </c>
      <c r="Q2169" s="7">
        <f>Table2[[#This Row],[Elevation
PILE TOP]]-Table2[[#This Row],[LENGTH(m.)
(Actual)]]</f>
        <v>-22.103999999999999</v>
      </c>
      <c r="R2169" s="2">
        <v>24</v>
      </c>
      <c r="S2169" s="7">
        <f>Table2[[#This Row],[N]]+Table2[[#This Row],[Pile 
Deviation 
N (m)]]</f>
        <v>1511655.4309999999</v>
      </c>
      <c r="T2169" s="7">
        <f>Table2[[#This Row],[E]]+Table2[[#This Row],[Pile 
Deviation 
E (m)]]</f>
        <v>694079.41899999999</v>
      </c>
      <c r="U2169" s="7">
        <v>-0.02</v>
      </c>
      <c r="V2169" s="7">
        <v>0.02</v>
      </c>
      <c r="W2169" s="7">
        <v>0.24</v>
      </c>
      <c r="X2169" s="2" t="s">
        <v>51</v>
      </c>
      <c r="Y2169" t="s">
        <v>63</v>
      </c>
      <c r="Z2169" s="9">
        <v>46195</v>
      </c>
      <c r="AA2169" s="9">
        <v>46193</v>
      </c>
      <c r="AB2169">
        <v>43</v>
      </c>
    </row>
    <row r="2170" spans="1:28" hidden="1" x14ac:dyDescent="0.65">
      <c r="A2170">
        <v>2164</v>
      </c>
      <c r="B2170" t="s">
        <v>29</v>
      </c>
      <c r="C2170" s="6">
        <v>1511655.0660000001</v>
      </c>
      <c r="D2170" s="6">
        <v>694120.36399999994</v>
      </c>
      <c r="E2170" s="2" t="s">
        <v>35</v>
      </c>
      <c r="F2170" s="1">
        <v>24</v>
      </c>
      <c r="G2170" s="2" t="s">
        <v>50</v>
      </c>
      <c r="J2170">
        <v>1</v>
      </c>
      <c r="K2170" s="19"/>
      <c r="L2170" s="21">
        <v>0.66319444444444442</v>
      </c>
      <c r="M2170" s="27" t="s">
        <v>32</v>
      </c>
      <c r="N2170" s="19"/>
      <c r="O2170" s="21">
        <v>0.7006944444444444</v>
      </c>
      <c r="P2170" s="7">
        <v>2.0299999999999998</v>
      </c>
      <c r="Q2170" s="7">
        <f>Table2[[#This Row],[Elevation
PILE TOP]]-Table2[[#This Row],[LENGTH(m.)
(Actual)]]</f>
        <v>-21.97</v>
      </c>
      <c r="R2170" s="2">
        <v>24</v>
      </c>
      <c r="S2170" s="7">
        <f>Table2[[#This Row],[N]]+Table2[[#This Row],[Pile 
Deviation 
N (m)]]</f>
        <v>1511655.0660000001</v>
      </c>
      <c r="T2170" s="7">
        <f>Table2[[#This Row],[E]]+Table2[[#This Row],[Pile 
Deviation 
E (m)]]</f>
        <v>694120.40399999998</v>
      </c>
      <c r="U2170" s="7">
        <v>0</v>
      </c>
      <c r="V2170" s="7">
        <v>0.04</v>
      </c>
      <c r="W2170" s="7">
        <v>0.24</v>
      </c>
      <c r="X2170" s="2" t="s">
        <v>51</v>
      </c>
      <c r="Y2170" t="s">
        <v>63</v>
      </c>
      <c r="Z2170" s="9">
        <v>46190</v>
      </c>
      <c r="AB2170">
        <v>22</v>
      </c>
    </row>
    <row r="2171" spans="1:28" ht="13.95" customHeight="1" x14ac:dyDescent="0.65">
      <c r="A2171">
        <v>2165</v>
      </c>
      <c r="B2171" t="s">
        <v>29</v>
      </c>
      <c r="C2171" s="6">
        <v>1511655.048</v>
      </c>
      <c r="D2171" s="6">
        <v>694090.46</v>
      </c>
      <c r="E2171" s="2" t="s">
        <v>35</v>
      </c>
      <c r="F2171" s="1">
        <v>24</v>
      </c>
      <c r="G2171" s="2" t="s">
        <v>50</v>
      </c>
      <c r="J2171">
        <v>6</v>
      </c>
      <c r="K2171" s="19"/>
      <c r="L2171" s="21">
        <v>0.55138888888888882</v>
      </c>
      <c r="M2171" s="27" t="s">
        <v>32</v>
      </c>
      <c r="N2171" s="19"/>
      <c r="O2171" s="21">
        <v>0.56666666666666665</v>
      </c>
      <c r="P2171" s="7">
        <v>2.83</v>
      </c>
      <c r="Q2171" s="7">
        <f>Table2[[#This Row],[Elevation
PILE TOP]]-Table2[[#This Row],[LENGTH(m.)
(Actual)]]</f>
        <v>-21.17</v>
      </c>
      <c r="R2171" s="2">
        <v>24</v>
      </c>
      <c r="S2171" s="7">
        <f>Table2[[#This Row],[N]]+Table2[[#This Row],[Pile 
Deviation 
N (m)]]</f>
        <v>1511655.048</v>
      </c>
      <c r="T2171" s="7">
        <f>Table2[[#This Row],[E]]+Table2[[#This Row],[Pile 
Deviation 
E (m)]]</f>
        <v>694090.46</v>
      </c>
      <c r="U2171" s="7">
        <v>0</v>
      </c>
      <c r="V2171" s="7">
        <v>0</v>
      </c>
      <c r="W2171" s="7">
        <v>0.24</v>
      </c>
      <c r="X2171" s="2" t="s">
        <v>51</v>
      </c>
      <c r="Y2171" t="s">
        <v>52</v>
      </c>
      <c r="Z2171" s="9">
        <v>46190</v>
      </c>
      <c r="AA2171" s="9">
        <v>46191</v>
      </c>
      <c r="AB2171">
        <v>10</v>
      </c>
    </row>
    <row r="2172" spans="1:28" x14ac:dyDescent="0.65">
      <c r="A2172">
        <v>2166</v>
      </c>
      <c r="B2172" t="s">
        <v>29</v>
      </c>
      <c r="C2172" s="6">
        <v>1511654.645</v>
      </c>
      <c r="D2172" s="6">
        <v>694101.52</v>
      </c>
      <c r="E2172" s="2" t="s">
        <v>35</v>
      </c>
      <c r="F2172" s="1">
        <v>24</v>
      </c>
      <c r="G2172" s="2" t="s">
        <v>50</v>
      </c>
      <c r="J2172">
        <v>6</v>
      </c>
      <c r="K2172" s="19"/>
      <c r="L2172" s="21">
        <v>0.3923611111111111</v>
      </c>
      <c r="M2172" s="27" t="s">
        <v>32</v>
      </c>
      <c r="N2172" s="19"/>
      <c r="O2172" s="21">
        <v>0.4145833333333333</v>
      </c>
      <c r="P2172" s="7">
        <v>2.21</v>
      </c>
      <c r="Q2172" s="7">
        <f>Table2[[#This Row],[Elevation
PILE TOP]]-Table2[[#This Row],[LENGTH(m.)
(Actual)]]</f>
        <v>-21.79</v>
      </c>
      <c r="R2172" s="2">
        <v>24</v>
      </c>
      <c r="S2172" s="7">
        <f>Table2[[#This Row],[N]]+Table2[[#This Row],[Pile 
Deviation 
N (m)]]</f>
        <v>1511654.625</v>
      </c>
      <c r="T2172" s="7">
        <f>Table2[[#This Row],[E]]+Table2[[#This Row],[Pile 
Deviation 
E (m)]]</f>
        <v>694101.51</v>
      </c>
      <c r="U2172" s="7">
        <v>-0.02</v>
      </c>
      <c r="V2172" s="7">
        <v>-0.01</v>
      </c>
      <c r="W2172" s="7">
        <v>0.24</v>
      </c>
      <c r="X2172" s="2" t="s">
        <v>51</v>
      </c>
      <c r="Y2172" t="s">
        <v>52</v>
      </c>
      <c r="Z2172" s="9">
        <v>46191</v>
      </c>
      <c r="AA2172" s="9">
        <v>46190</v>
      </c>
      <c r="AB2172">
        <v>14</v>
      </c>
    </row>
    <row r="2173" spans="1:28" ht="13.95" customHeight="1" x14ac:dyDescent="0.65">
      <c r="A2173">
        <v>2167</v>
      </c>
      <c r="B2173" t="s">
        <v>29</v>
      </c>
      <c r="C2173" s="6">
        <v>1511654.6270000001</v>
      </c>
      <c r="D2173" s="6">
        <v>694071.61600000004</v>
      </c>
      <c r="E2173" s="2" t="s">
        <v>35</v>
      </c>
      <c r="F2173" s="1">
        <v>24</v>
      </c>
      <c r="G2173" s="2" t="s">
        <v>50</v>
      </c>
      <c r="J2173">
        <v>1</v>
      </c>
      <c r="K2173" s="19"/>
      <c r="L2173" s="21">
        <v>0.46666666666666662</v>
      </c>
      <c r="M2173" s="27" t="s">
        <v>32</v>
      </c>
      <c r="N2173" s="19"/>
      <c r="O2173" s="21">
        <v>0.4916666666666667</v>
      </c>
      <c r="P2173" s="7">
        <v>2.42</v>
      </c>
      <c r="Q2173" s="7">
        <f>Table2[[#This Row],[Elevation
PILE TOP]]-Table2[[#This Row],[LENGTH(m.)
(Actual)]]</f>
        <v>-21.58</v>
      </c>
      <c r="R2173" s="2">
        <v>24</v>
      </c>
      <c r="S2173" s="7">
        <f>Table2[[#This Row],[N]]+Table2[[#This Row],[Pile 
Deviation 
N (m)]]</f>
        <v>1511654.6270000001</v>
      </c>
      <c r="T2173" s="7">
        <f>Table2[[#This Row],[E]]+Table2[[#This Row],[Pile 
Deviation 
E (m)]]</f>
        <v>694071.64600000007</v>
      </c>
      <c r="U2173" s="7">
        <v>0</v>
      </c>
      <c r="V2173" s="7">
        <v>0.03</v>
      </c>
      <c r="W2173" s="7">
        <v>0.24</v>
      </c>
      <c r="X2173" s="2" t="s">
        <v>51</v>
      </c>
      <c r="Y2173" t="s">
        <v>63</v>
      </c>
      <c r="Z2173" s="9">
        <v>46194</v>
      </c>
      <c r="AA2173" s="9">
        <v>46192</v>
      </c>
      <c r="AB2173">
        <v>40</v>
      </c>
    </row>
    <row r="2174" spans="1:28" x14ac:dyDescent="0.65">
      <c r="A2174">
        <v>2168</v>
      </c>
      <c r="B2174" t="s">
        <v>29</v>
      </c>
      <c r="C2174" s="6">
        <v>1511654.2420000001</v>
      </c>
      <c r="D2174" s="6">
        <v>694112.58100000001</v>
      </c>
      <c r="E2174" s="2" t="s">
        <v>35</v>
      </c>
      <c r="F2174" s="1">
        <v>24</v>
      </c>
      <c r="G2174" s="2" t="s">
        <v>50</v>
      </c>
      <c r="J2174">
        <v>1</v>
      </c>
      <c r="K2174" s="19"/>
      <c r="L2174" s="21">
        <v>0.63680555555555551</v>
      </c>
      <c r="M2174" s="27" t="s">
        <v>32</v>
      </c>
      <c r="N2174" s="19"/>
      <c r="O2174" s="21">
        <v>0.65625</v>
      </c>
      <c r="P2174" s="7">
        <v>2.2000000000000002</v>
      </c>
      <c r="Q2174" s="7">
        <f>Table2[[#This Row],[Elevation
PILE TOP]]-Table2[[#This Row],[LENGTH(m.)
(Actual)]]</f>
        <v>-21.8</v>
      </c>
      <c r="R2174" s="2">
        <v>24</v>
      </c>
      <c r="S2174" s="7">
        <f>Table2[[#This Row],[N]]+Table2[[#This Row],[Pile 
Deviation 
N (m)]]</f>
        <v>1511654.2620000001</v>
      </c>
      <c r="T2174" s="7">
        <f>Table2[[#This Row],[E]]+Table2[[#This Row],[Pile 
Deviation 
E (m)]]</f>
        <v>694112.58100000001</v>
      </c>
      <c r="U2174" s="7">
        <v>0.02</v>
      </c>
      <c r="V2174" s="7">
        <v>0</v>
      </c>
      <c r="W2174" s="7">
        <v>0.24</v>
      </c>
      <c r="X2174" s="2" t="s">
        <v>51</v>
      </c>
      <c r="Y2174" t="s">
        <v>63</v>
      </c>
      <c r="Z2174" s="9">
        <v>46191</v>
      </c>
      <c r="AA2174" s="9">
        <v>46189</v>
      </c>
      <c r="AB2174">
        <v>28</v>
      </c>
    </row>
    <row r="2175" spans="1:28" ht="13.95" customHeight="1" x14ac:dyDescent="0.65">
      <c r="A2175">
        <v>2169</v>
      </c>
      <c r="B2175" t="s">
        <v>29</v>
      </c>
      <c r="C2175" s="6">
        <v>1511654.2239999999</v>
      </c>
      <c r="D2175" s="6">
        <v>694082.67700000003</v>
      </c>
      <c r="E2175" s="2" t="s">
        <v>35</v>
      </c>
      <c r="F2175" s="1">
        <v>24</v>
      </c>
      <c r="G2175" s="2" t="s">
        <v>50</v>
      </c>
      <c r="J2175">
        <v>1</v>
      </c>
      <c r="K2175" s="19"/>
      <c r="L2175" s="21">
        <v>0.63055555555555554</v>
      </c>
      <c r="M2175" s="27" t="s">
        <v>32</v>
      </c>
      <c r="N2175" s="19"/>
      <c r="O2175" s="21">
        <v>0.17777777777777778</v>
      </c>
      <c r="P2175" s="7">
        <v>3.22</v>
      </c>
      <c r="Q2175" s="7">
        <f>Table2[[#This Row],[Elevation
PILE TOP]]-Table2[[#This Row],[LENGTH(m.)
(Actual)]]</f>
        <v>-20.78</v>
      </c>
      <c r="R2175" s="2">
        <v>24</v>
      </c>
      <c r="S2175" s="7">
        <f>Table2[[#This Row],[N]]+Table2[[#This Row],[Pile 
Deviation 
N (m)]]</f>
        <v>1511654.2239999999</v>
      </c>
      <c r="T2175" s="7">
        <f>Table2[[#This Row],[E]]+Table2[[#This Row],[Pile 
Deviation 
E (m)]]</f>
        <v>694082.71700000006</v>
      </c>
      <c r="U2175" s="7">
        <v>0</v>
      </c>
      <c r="V2175" s="7">
        <v>0.04</v>
      </c>
      <c r="W2175" s="7">
        <v>0.24</v>
      </c>
      <c r="X2175" s="2" t="s">
        <v>51</v>
      </c>
      <c r="Y2175" t="s">
        <v>63</v>
      </c>
      <c r="Z2175" s="9">
        <v>46194</v>
      </c>
      <c r="AA2175" s="9">
        <v>46193</v>
      </c>
      <c r="AB2175">
        <v>42</v>
      </c>
    </row>
    <row r="2176" spans="1:28" hidden="1" x14ac:dyDescent="0.65">
      <c r="A2176">
        <v>2170</v>
      </c>
      <c r="B2176" t="s">
        <v>29</v>
      </c>
      <c r="C2176" s="6">
        <v>1511654.017</v>
      </c>
      <c r="D2176" s="6">
        <v>694123.16500000004</v>
      </c>
      <c r="E2176" s="2" t="s">
        <v>35</v>
      </c>
      <c r="F2176" s="1">
        <v>24</v>
      </c>
      <c r="G2176" s="2" t="s">
        <v>50</v>
      </c>
      <c r="J2176">
        <v>1</v>
      </c>
      <c r="K2176" s="19"/>
      <c r="L2176" s="21">
        <v>0.6069444444444444</v>
      </c>
      <c r="M2176" s="27" t="s">
        <v>32</v>
      </c>
      <c r="N2176" s="19"/>
      <c r="O2176" s="21">
        <v>0.62777777777777777</v>
      </c>
      <c r="P2176" s="7">
        <v>2.8</v>
      </c>
      <c r="Q2176" s="7">
        <f>Table2[[#This Row],[Elevation
PILE TOP]]-Table2[[#This Row],[LENGTH(m.)
(Actual)]]</f>
        <v>-21.2</v>
      </c>
      <c r="R2176" s="2">
        <v>24</v>
      </c>
      <c r="S2176" s="7">
        <f>Table2[[#This Row],[N]]+Table2[[#This Row],[Pile 
Deviation 
N (m)]]</f>
        <v>1511654.057</v>
      </c>
      <c r="T2176" s="7">
        <f>Table2[[#This Row],[E]]+Table2[[#This Row],[Pile 
Deviation 
E (m)]]</f>
        <v>694123.19500000007</v>
      </c>
      <c r="U2176" s="7">
        <v>0.04</v>
      </c>
      <c r="V2176" s="7">
        <v>0.03</v>
      </c>
      <c r="W2176" s="7">
        <v>0.24</v>
      </c>
      <c r="X2176" s="2" t="s">
        <v>51</v>
      </c>
      <c r="Y2176" t="s">
        <v>63</v>
      </c>
      <c r="Z2176" s="9">
        <v>46190</v>
      </c>
      <c r="AB2176">
        <v>21</v>
      </c>
    </row>
    <row r="2177" spans="1:28" ht="13.95" customHeight="1" x14ac:dyDescent="0.65">
      <c r="A2177">
        <v>2171</v>
      </c>
      <c r="B2177" t="s">
        <v>29</v>
      </c>
      <c r="C2177" s="6">
        <v>1511653.821</v>
      </c>
      <c r="D2177" s="6">
        <v>694093.73699999996</v>
      </c>
      <c r="E2177" s="2" t="s">
        <v>35</v>
      </c>
      <c r="F2177" s="1">
        <v>24</v>
      </c>
      <c r="G2177" s="2" t="s">
        <v>50</v>
      </c>
      <c r="J2177">
        <v>6</v>
      </c>
      <c r="K2177" s="19"/>
      <c r="L2177" s="21">
        <v>0.59375</v>
      </c>
      <c r="M2177" s="27" t="s">
        <v>32</v>
      </c>
      <c r="N2177" s="19"/>
      <c r="O2177" s="21">
        <v>0.63263888888888886</v>
      </c>
      <c r="P2177" s="7">
        <v>2.65</v>
      </c>
      <c r="Q2177" s="7">
        <f>Table2[[#This Row],[Elevation
PILE TOP]]-Table2[[#This Row],[LENGTH(m.)
(Actual)]]</f>
        <v>-21.35</v>
      </c>
      <c r="R2177" s="2">
        <v>24</v>
      </c>
      <c r="S2177" s="7">
        <f>Table2[[#This Row],[N]]+Table2[[#This Row],[Pile 
Deviation 
N (m)]]</f>
        <v>1511653.811</v>
      </c>
      <c r="T2177" s="7">
        <f>Table2[[#This Row],[E]]+Table2[[#This Row],[Pile 
Deviation 
E (m)]]</f>
        <v>694093.73699999996</v>
      </c>
      <c r="U2177" s="7">
        <v>-0.01</v>
      </c>
      <c r="V2177" s="7">
        <v>0</v>
      </c>
      <c r="W2177" s="7">
        <v>0.24</v>
      </c>
      <c r="X2177" s="2" t="s">
        <v>51</v>
      </c>
      <c r="Y2177" t="s">
        <v>52</v>
      </c>
      <c r="Z2177" s="9">
        <v>46190</v>
      </c>
      <c r="AA2177" s="9">
        <v>46191</v>
      </c>
      <c r="AB2177">
        <v>11</v>
      </c>
    </row>
    <row r="2178" spans="1:28" x14ac:dyDescent="0.65">
      <c r="A2178">
        <v>2172</v>
      </c>
      <c r="B2178" t="s">
        <v>29</v>
      </c>
      <c r="C2178" s="6">
        <v>1511653.4180000001</v>
      </c>
      <c r="D2178" s="6">
        <v>694104.79799999995</v>
      </c>
      <c r="E2178" s="2" t="s">
        <v>35</v>
      </c>
      <c r="F2178" s="1">
        <v>24</v>
      </c>
      <c r="G2178" s="2" t="s">
        <v>50</v>
      </c>
      <c r="J2178">
        <v>1</v>
      </c>
      <c r="K2178" s="19"/>
      <c r="L2178" s="21">
        <v>0.66111111111111109</v>
      </c>
      <c r="M2178" s="27" t="s">
        <v>32</v>
      </c>
      <c r="N2178" s="19"/>
      <c r="O2178" s="21">
        <v>0.68125000000000002</v>
      </c>
      <c r="P2178" s="7">
        <v>3.17</v>
      </c>
      <c r="Q2178" s="7">
        <f>Table2[[#This Row],[Elevation
PILE TOP]]-Table2[[#This Row],[LENGTH(m.)
(Actual)]]</f>
        <v>-20.83</v>
      </c>
      <c r="R2178" s="2">
        <v>24</v>
      </c>
      <c r="S2178" s="7">
        <f>Table2[[#This Row],[N]]+Table2[[#This Row],[Pile 
Deviation 
N (m)]]</f>
        <v>1511653.368</v>
      </c>
      <c r="T2178" s="7">
        <f>Table2[[#This Row],[E]]+Table2[[#This Row],[Pile 
Deviation 
E (m)]]</f>
        <v>694104.79799999995</v>
      </c>
      <c r="U2178" s="7">
        <v>-0.05</v>
      </c>
      <c r="V2178" s="7">
        <v>0</v>
      </c>
      <c r="W2178" s="7">
        <v>0.24</v>
      </c>
      <c r="X2178" s="2" t="s">
        <v>51</v>
      </c>
      <c r="Y2178" t="s">
        <v>63</v>
      </c>
      <c r="Z2178" s="9">
        <v>46192</v>
      </c>
      <c r="AA2178" s="9">
        <v>46190</v>
      </c>
      <c r="AB2178">
        <v>35</v>
      </c>
    </row>
    <row r="2179" spans="1:28" ht="13.95" customHeight="1" x14ac:dyDescent="0.65">
      <c r="A2179">
        <v>2173</v>
      </c>
      <c r="B2179" t="s">
        <v>29</v>
      </c>
      <c r="C2179" s="6">
        <v>1511653.4</v>
      </c>
      <c r="D2179" s="6">
        <v>694074.89399999997</v>
      </c>
      <c r="E2179" s="2" t="s">
        <v>35</v>
      </c>
      <c r="F2179" s="1">
        <v>24</v>
      </c>
      <c r="G2179" s="2" t="s">
        <v>50</v>
      </c>
      <c r="J2179">
        <v>1</v>
      </c>
      <c r="K2179" s="19"/>
      <c r="L2179" s="21">
        <v>0.43472222222222223</v>
      </c>
      <c r="M2179" s="27" t="s">
        <v>32</v>
      </c>
      <c r="N2179" s="19"/>
      <c r="O2179" s="21">
        <v>0.45555555555555555</v>
      </c>
      <c r="P2179" s="7">
        <v>2.86</v>
      </c>
      <c r="Q2179" s="7">
        <f>Table2[[#This Row],[Elevation
PILE TOP]]-Table2[[#This Row],[LENGTH(m.)
(Actual)]]</f>
        <v>-21.14</v>
      </c>
      <c r="R2179" s="2">
        <v>24</v>
      </c>
      <c r="S2179" s="7">
        <f>Table2[[#This Row],[N]]+Table2[[#This Row],[Pile 
Deviation 
N (m)]]</f>
        <v>1511653.41</v>
      </c>
      <c r="T2179" s="7">
        <f>Table2[[#This Row],[E]]+Table2[[#This Row],[Pile 
Deviation 
E (m)]]</f>
        <v>694074.88399999996</v>
      </c>
      <c r="U2179" s="7">
        <v>0.01</v>
      </c>
      <c r="V2179" s="7">
        <v>-0.01</v>
      </c>
      <c r="W2179" s="7">
        <v>0.24</v>
      </c>
      <c r="X2179" s="2" t="s">
        <v>51</v>
      </c>
      <c r="Y2179" t="s">
        <v>63</v>
      </c>
      <c r="Z2179" s="9">
        <v>46194</v>
      </c>
      <c r="AA2179" s="9">
        <v>46192</v>
      </c>
      <c r="AB2179">
        <v>39</v>
      </c>
    </row>
    <row r="2180" spans="1:28" x14ac:dyDescent="0.65">
      <c r="A2180">
        <v>2174</v>
      </c>
      <c r="B2180" t="s">
        <v>29</v>
      </c>
      <c r="C2180" s="6">
        <v>1511653.0149999999</v>
      </c>
      <c r="D2180" s="6">
        <v>694115.85900000005</v>
      </c>
      <c r="E2180" s="2" t="s">
        <v>35</v>
      </c>
      <c r="F2180" s="1">
        <v>24</v>
      </c>
      <c r="G2180" s="2" t="s">
        <v>50</v>
      </c>
      <c r="J2180">
        <v>1</v>
      </c>
      <c r="K2180" s="19"/>
      <c r="L2180" s="21">
        <v>0.55972222222222223</v>
      </c>
      <c r="M2180" s="27" t="s">
        <v>32</v>
      </c>
      <c r="N2180" s="19"/>
      <c r="O2180" s="21">
        <v>0.57777777777777783</v>
      </c>
      <c r="P2180" s="7">
        <v>2.15</v>
      </c>
      <c r="Q2180" s="7">
        <f>Table2[[#This Row],[Elevation
PILE TOP]]-Table2[[#This Row],[LENGTH(m.)
(Actual)]]</f>
        <v>-21.85</v>
      </c>
      <c r="R2180" s="2">
        <v>24</v>
      </c>
      <c r="S2180" s="7">
        <f>Table2[[#This Row],[N]]+Table2[[#This Row],[Pile 
Deviation 
N (m)]]</f>
        <v>1511653.0149999999</v>
      </c>
      <c r="T2180" s="7">
        <f>Table2[[#This Row],[E]]+Table2[[#This Row],[Pile 
Deviation 
E (m)]]</f>
        <v>694115.87900000007</v>
      </c>
      <c r="U2180" s="7">
        <v>0</v>
      </c>
      <c r="V2180" s="7">
        <v>0.02</v>
      </c>
      <c r="W2180" s="7">
        <v>0.24</v>
      </c>
      <c r="X2180" s="2" t="s">
        <v>51</v>
      </c>
      <c r="Y2180" t="s">
        <v>63</v>
      </c>
      <c r="Z2180" s="9">
        <v>46191</v>
      </c>
      <c r="AA2180" s="9">
        <v>46189</v>
      </c>
      <c r="AB2180">
        <v>26</v>
      </c>
    </row>
    <row r="2181" spans="1:28" ht="13.95" customHeight="1" x14ac:dyDescent="0.65">
      <c r="A2181">
        <v>2175</v>
      </c>
      <c r="B2181" t="s">
        <v>29</v>
      </c>
      <c r="C2181" s="6">
        <v>1511652.997</v>
      </c>
      <c r="D2181" s="6">
        <v>694085.95499999996</v>
      </c>
      <c r="E2181" s="2" t="s">
        <v>35</v>
      </c>
      <c r="F2181" s="1">
        <v>24</v>
      </c>
      <c r="G2181" s="2" t="s">
        <v>50</v>
      </c>
      <c r="J2181">
        <v>6</v>
      </c>
      <c r="K2181" s="19"/>
      <c r="L2181" s="21">
        <v>0.48541666666666666</v>
      </c>
      <c r="M2181" s="27" t="s">
        <v>32</v>
      </c>
      <c r="N2181" s="19"/>
      <c r="O2181" s="21">
        <v>0.55208333333333337</v>
      </c>
      <c r="Q2181" s="7">
        <f>Table2[[#This Row],[Elevation
PILE TOP]]-Table2[[#This Row],[LENGTH(m.)
(Actual)]]</f>
        <v>-24</v>
      </c>
      <c r="R2181" s="2">
        <v>24</v>
      </c>
      <c r="S2181" s="7">
        <f>Table2[[#This Row],[N]]+Table2[[#This Row],[Pile 
Deviation 
N (m)]]</f>
        <v>1511652.997</v>
      </c>
      <c r="T2181" s="7">
        <f>Table2[[#This Row],[E]]+Table2[[#This Row],[Pile 
Deviation 
E (m)]]</f>
        <v>694085.93499999994</v>
      </c>
      <c r="U2181" s="7">
        <v>0</v>
      </c>
      <c r="V2181" s="7">
        <v>-0.02</v>
      </c>
      <c r="W2181" s="7">
        <v>0.24</v>
      </c>
      <c r="X2181" s="2" t="s">
        <v>51</v>
      </c>
      <c r="Y2181" t="s">
        <v>52</v>
      </c>
      <c r="Z2181" s="9">
        <v>46189</v>
      </c>
      <c r="AA2181" s="9">
        <v>46191</v>
      </c>
      <c r="AB2181">
        <v>4</v>
      </c>
    </row>
    <row r="2182" spans="1:28" x14ac:dyDescent="0.65">
      <c r="A2182">
        <v>2176</v>
      </c>
      <c r="B2182" t="s">
        <v>29</v>
      </c>
      <c r="C2182" s="6">
        <v>1511652.594</v>
      </c>
      <c r="D2182" s="6">
        <v>694097.01500000001</v>
      </c>
      <c r="E2182" s="2" t="s">
        <v>35</v>
      </c>
      <c r="F2182" s="1">
        <v>24</v>
      </c>
      <c r="G2182" s="2" t="s">
        <v>50</v>
      </c>
      <c r="J2182">
        <v>6</v>
      </c>
      <c r="K2182" s="19"/>
      <c r="L2182" s="21">
        <v>0.65277777777777779</v>
      </c>
      <c r="M2182" s="27" t="s">
        <v>32</v>
      </c>
      <c r="N2182" s="19"/>
      <c r="O2182" s="21">
        <v>0.6875</v>
      </c>
      <c r="P2182" s="7">
        <v>2.4</v>
      </c>
      <c r="Q2182" s="7">
        <f>Table2[[#This Row],[Elevation
PILE TOP]]-Table2[[#This Row],[LENGTH(m.)
(Actual)]]</f>
        <v>-21.6</v>
      </c>
      <c r="R2182" s="2">
        <v>24</v>
      </c>
      <c r="S2182" s="7">
        <f>Table2[[#This Row],[N]]+Table2[[#This Row],[Pile 
Deviation 
N (m)]]</f>
        <v>1511652.6140000001</v>
      </c>
      <c r="T2182" s="7">
        <f>Table2[[#This Row],[E]]+Table2[[#This Row],[Pile 
Deviation 
E (m)]]</f>
        <v>694097.03500000003</v>
      </c>
      <c r="U2182" s="7">
        <v>0.02</v>
      </c>
      <c r="V2182" s="7">
        <v>0.02</v>
      </c>
      <c r="W2182" s="7">
        <v>0.24</v>
      </c>
      <c r="X2182" s="2" t="s">
        <v>51</v>
      </c>
      <c r="Y2182" t="s">
        <v>52</v>
      </c>
      <c r="Z2182" s="9">
        <v>46190</v>
      </c>
      <c r="AA2182" s="9">
        <v>46191</v>
      </c>
      <c r="AB2182">
        <v>12</v>
      </c>
    </row>
    <row r="2183" spans="1:28" ht="13.95" customHeight="1" x14ac:dyDescent="0.65">
      <c r="A2183">
        <v>2177</v>
      </c>
      <c r="B2183" t="s">
        <v>29</v>
      </c>
      <c r="C2183" s="6">
        <v>1511652.1910000001</v>
      </c>
      <c r="D2183" s="6">
        <v>694108.076</v>
      </c>
      <c r="E2183" s="2" t="s">
        <v>35</v>
      </c>
      <c r="F2183" s="1">
        <v>24</v>
      </c>
      <c r="G2183" s="2" t="s">
        <v>50</v>
      </c>
      <c r="J2183">
        <v>1</v>
      </c>
      <c r="K2183" s="19"/>
      <c r="L2183" s="21">
        <v>0.48888888888888887</v>
      </c>
      <c r="M2183" s="27" t="s">
        <v>32</v>
      </c>
      <c r="N2183" s="19"/>
      <c r="O2183" s="21">
        <v>0.55694444444444446</v>
      </c>
      <c r="P2183" s="7">
        <v>2.14</v>
      </c>
      <c r="Q2183" s="7">
        <f>Table2[[#This Row],[Elevation
PILE TOP]]-Table2[[#This Row],[LENGTH(m.)
(Actual)]]</f>
        <v>-21.86</v>
      </c>
      <c r="R2183" s="2">
        <v>24</v>
      </c>
      <c r="S2183" s="7">
        <f>Table2[[#This Row],[N]]+Table2[[#This Row],[Pile 
Deviation 
N (m)]]</f>
        <v>1511652.2210000001</v>
      </c>
      <c r="T2183" s="7">
        <f>Table2[[#This Row],[E]]+Table2[[#This Row],[Pile 
Deviation 
E (m)]]</f>
        <v>694108.10600000003</v>
      </c>
      <c r="U2183" s="7">
        <v>0.03</v>
      </c>
      <c r="V2183" s="7">
        <v>0.03</v>
      </c>
      <c r="W2183" s="7">
        <v>0.24</v>
      </c>
      <c r="X2183" s="2" t="s">
        <v>51</v>
      </c>
      <c r="Y2183" t="s">
        <v>63</v>
      </c>
      <c r="Z2183" s="9">
        <v>46192</v>
      </c>
      <c r="AA2183" s="9">
        <v>46190</v>
      </c>
      <c r="AB2183">
        <v>32</v>
      </c>
    </row>
    <row r="2184" spans="1:28" x14ac:dyDescent="0.65">
      <c r="A2184">
        <v>2178</v>
      </c>
      <c r="B2184" t="s">
        <v>29</v>
      </c>
      <c r="C2184" s="6">
        <v>1511652.173</v>
      </c>
      <c r="D2184" s="6">
        <v>694078.17200000002</v>
      </c>
      <c r="E2184" s="2" t="s">
        <v>35</v>
      </c>
      <c r="F2184" s="1">
        <v>24</v>
      </c>
      <c r="G2184" s="2" t="s">
        <v>50</v>
      </c>
      <c r="J2184">
        <v>1</v>
      </c>
      <c r="K2184" s="19"/>
      <c r="L2184" s="21">
        <v>0.40416666666666662</v>
      </c>
      <c r="M2184" s="27" t="s">
        <v>32</v>
      </c>
      <c r="N2184" s="19"/>
      <c r="O2184" s="21">
        <v>0.42777777777777781</v>
      </c>
      <c r="P2184" s="7">
        <v>2.25</v>
      </c>
      <c r="Q2184" s="7">
        <f>Table2[[#This Row],[Elevation
PILE TOP]]-Table2[[#This Row],[LENGTH(m.)
(Actual)]]</f>
        <v>-21.75</v>
      </c>
      <c r="R2184" s="2">
        <v>24</v>
      </c>
      <c r="S2184" s="7">
        <f>Table2[[#This Row],[N]]+Table2[[#This Row],[Pile 
Deviation 
N (m)]]</f>
        <v>1511652.1529999999</v>
      </c>
      <c r="T2184" s="7">
        <f>Table2[[#This Row],[E]]+Table2[[#This Row],[Pile 
Deviation 
E (m)]]</f>
        <v>694078.152</v>
      </c>
      <c r="U2184" s="7">
        <v>-0.02</v>
      </c>
      <c r="V2184" s="7">
        <v>-0.02</v>
      </c>
      <c r="W2184" s="7">
        <v>0.24</v>
      </c>
      <c r="X2184" s="2" t="s">
        <v>51</v>
      </c>
      <c r="Y2184" t="s">
        <v>63</v>
      </c>
      <c r="Z2184" s="9">
        <v>46194</v>
      </c>
      <c r="AA2184" s="9">
        <v>46192</v>
      </c>
      <c r="AB2184">
        <v>38</v>
      </c>
    </row>
    <row r="2185" spans="1:28" ht="13.95" customHeight="1" x14ac:dyDescent="0.65">
      <c r="A2185">
        <v>2179</v>
      </c>
      <c r="B2185" t="s">
        <v>29</v>
      </c>
      <c r="C2185" s="6">
        <v>1511651.7879999999</v>
      </c>
      <c r="D2185" s="6">
        <v>694119.13699999999</v>
      </c>
      <c r="E2185" s="2" t="s">
        <v>35</v>
      </c>
      <c r="F2185" s="1">
        <v>24</v>
      </c>
      <c r="G2185" s="2" t="s">
        <v>50</v>
      </c>
      <c r="J2185">
        <v>1</v>
      </c>
      <c r="K2185" s="19"/>
      <c r="L2185" s="21">
        <v>0.36319444444444443</v>
      </c>
      <c r="M2185" s="27" t="s">
        <v>32</v>
      </c>
      <c r="N2185" s="19"/>
      <c r="O2185" s="21">
        <v>0.38611111111111113</v>
      </c>
      <c r="P2185" s="7">
        <v>2.25</v>
      </c>
      <c r="Q2185" s="7">
        <f>Table2[[#This Row],[Elevation
PILE TOP]]-Table2[[#This Row],[LENGTH(m.)
(Actual)]]</f>
        <v>-21.75</v>
      </c>
      <c r="R2185" s="2">
        <v>24</v>
      </c>
      <c r="S2185" s="7">
        <f>Table2[[#This Row],[N]]+Table2[[#This Row],[Pile 
Deviation 
N (m)]]</f>
        <v>1511651.798</v>
      </c>
      <c r="T2185" s="7">
        <f>Table2[[#This Row],[E]]+Table2[[#This Row],[Pile 
Deviation 
E (m)]]</f>
        <v>694119.13699999999</v>
      </c>
      <c r="U2185" s="7">
        <v>0.01</v>
      </c>
      <c r="V2185" s="7">
        <v>0</v>
      </c>
      <c r="W2185" s="7">
        <v>0.24</v>
      </c>
      <c r="X2185" s="2" t="s">
        <v>51</v>
      </c>
      <c r="Y2185" t="s">
        <v>63</v>
      </c>
      <c r="Z2185" s="9">
        <v>46191</v>
      </c>
      <c r="AA2185" s="9">
        <v>46189</v>
      </c>
      <c r="AB2185">
        <v>23</v>
      </c>
    </row>
    <row r="2186" spans="1:28" x14ac:dyDescent="0.65">
      <c r="A2186">
        <v>2180</v>
      </c>
      <c r="B2186" t="s">
        <v>29</v>
      </c>
      <c r="C2186" s="6">
        <v>1511651.77</v>
      </c>
      <c r="D2186" s="6">
        <v>694089.23300000001</v>
      </c>
      <c r="E2186" s="2" t="s">
        <v>35</v>
      </c>
      <c r="F2186" s="1">
        <v>24</v>
      </c>
      <c r="G2186" s="2" t="s">
        <v>50</v>
      </c>
      <c r="J2186">
        <v>6</v>
      </c>
      <c r="K2186" s="19"/>
      <c r="L2186" s="21">
        <v>0.56180555555555556</v>
      </c>
      <c r="M2186" s="27" t="s">
        <v>32</v>
      </c>
      <c r="N2186" s="19"/>
      <c r="O2186" s="21">
        <v>0.60138888888888886</v>
      </c>
      <c r="Q2186" s="7">
        <f>Table2[[#This Row],[Elevation
PILE TOP]]-Table2[[#This Row],[LENGTH(m.)
(Actual)]]</f>
        <v>-24</v>
      </c>
      <c r="R2186" s="2">
        <v>24</v>
      </c>
      <c r="S2186" s="7">
        <f>Table2[[#This Row],[N]]+Table2[[#This Row],[Pile 
Deviation 
N (m)]]</f>
        <v>1511651.76</v>
      </c>
      <c r="T2186" s="7">
        <f>Table2[[#This Row],[E]]+Table2[[#This Row],[Pile 
Deviation 
E (m)]]</f>
        <v>694089.223</v>
      </c>
      <c r="U2186" s="7">
        <v>-0.01</v>
      </c>
      <c r="V2186" s="7">
        <v>-0.01</v>
      </c>
      <c r="W2186" s="7">
        <v>0.24</v>
      </c>
      <c r="X2186" s="2" t="s">
        <v>51</v>
      </c>
      <c r="Y2186" t="s">
        <v>52</v>
      </c>
      <c r="Z2186" s="9">
        <v>46189</v>
      </c>
      <c r="AA2186" s="9">
        <v>46191</v>
      </c>
      <c r="AB2186">
        <v>5</v>
      </c>
    </row>
    <row r="2187" spans="1:28" ht="13.95" customHeight="1" x14ac:dyDescent="0.65">
      <c r="A2187">
        <v>2181</v>
      </c>
      <c r="B2187" t="s">
        <v>29</v>
      </c>
      <c r="C2187" s="6">
        <v>1511651.3670000001</v>
      </c>
      <c r="D2187" s="6">
        <v>694100.29299999995</v>
      </c>
      <c r="E2187" s="2" t="s">
        <v>35</v>
      </c>
      <c r="F2187" s="1">
        <v>24</v>
      </c>
      <c r="G2187" s="2" t="s">
        <v>50</v>
      </c>
      <c r="J2187">
        <v>6</v>
      </c>
      <c r="K2187" s="19"/>
      <c r="L2187" s="21">
        <v>0.70000000000000007</v>
      </c>
      <c r="M2187" s="27" t="s">
        <v>32</v>
      </c>
      <c r="N2187" s="19"/>
      <c r="O2187" s="21">
        <v>0.72083333333333333</v>
      </c>
      <c r="P2187" s="7">
        <v>2.25</v>
      </c>
      <c r="Q2187" s="7">
        <f>Table2[[#This Row],[Elevation
PILE TOP]]-Table2[[#This Row],[LENGTH(m.)
(Actual)]]</f>
        <v>-21.75</v>
      </c>
      <c r="R2187" s="2">
        <v>24</v>
      </c>
      <c r="S2187" s="7">
        <f>Table2[[#This Row],[N]]+Table2[[#This Row],[Pile 
Deviation 
N (m)]]</f>
        <v>1511651.3370000001</v>
      </c>
      <c r="T2187" s="7">
        <f>Table2[[#This Row],[E]]+Table2[[#This Row],[Pile 
Deviation 
E (m)]]</f>
        <v>694100.27299999993</v>
      </c>
      <c r="U2187" s="7">
        <v>-0.03</v>
      </c>
      <c r="V2187" s="7">
        <v>-0.02</v>
      </c>
      <c r="W2187" s="7">
        <v>0.24</v>
      </c>
      <c r="X2187" s="2" t="s">
        <v>51</v>
      </c>
      <c r="Y2187" t="s">
        <v>52</v>
      </c>
      <c r="Z2187" s="9">
        <v>46190</v>
      </c>
      <c r="AA2187" s="9">
        <v>46190</v>
      </c>
      <c r="AB2187">
        <v>13</v>
      </c>
    </row>
    <row r="2188" spans="1:28" x14ac:dyDescent="0.65">
      <c r="A2188">
        <v>2182</v>
      </c>
      <c r="B2188" t="s">
        <v>29</v>
      </c>
      <c r="C2188" s="6">
        <v>1511650.9639999999</v>
      </c>
      <c r="D2188" s="6">
        <v>694111.35400000005</v>
      </c>
      <c r="E2188" s="2" t="s">
        <v>35</v>
      </c>
      <c r="F2188" s="1">
        <v>24</v>
      </c>
      <c r="G2188" s="2" t="s">
        <v>50</v>
      </c>
      <c r="J2188">
        <v>1</v>
      </c>
      <c r="K2188" s="19"/>
      <c r="L2188" s="21">
        <v>0.66666666666666663</v>
      </c>
      <c r="M2188" s="27" t="s">
        <v>32</v>
      </c>
      <c r="N2188" s="19"/>
      <c r="O2188" s="21">
        <v>0.68958333333333333</v>
      </c>
      <c r="P2188" s="7">
        <v>1.7</v>
      </c>
      <c r="Q2188" s="7">
        <f>Table2[[#This Row],[Elevation
PILE TOP]]-Table2[[#This Row],[LENGTH(m.)
(Actual)]]</f>
        <v>-22.3</v>
      </c>
      <c r="R2188" s="2">
        <v>24</v>
      </c>
      <c r="S2188" s="7">
        <f>Table2[[#This Row],[N]]+Table2[[#This Row],[Pile 
Deviation 
N (m)]]</f>
        <v>1511650.9639999999</v>
      </c>
      <c r="T2188" s="7">
        <f>Table2[[#This Row],[E]]+Table2[[#This Row],[Pile 
Deviation 
E (m)]]</f>
        <v>694111.36400000006</v>
      </c>
      <c r="U2188" s="7">
        <v>0</v>
      </c>
      <c r="V2188" s="7">
        <v>0.01</v>
      </c>
      <c r="W2188" s="7">
        <v>0.24</v>
      </c>
      <c r="X2188" s="2" t="s">
        <v>51</v>
      </c>
      <c r="Y2188" t="s">
        <v>63</v>
      </c>
      <c r="Z2188" s="9">
        <v>46191</v>
      </c>
      <c r="AA2188" s="9">
        <v>46190</v>
      </c>
      <c r="AB2188">
        <v>29</v>
      </c>
    </row>
    <row r="2189" spans="1:28" ht="13.95" customHeight="1" x14ac:dyDescent="0.65">
      <c r="A2189">
        <v>2183</v>
      </c>
      <c r="B2189" t="s">
        <v>29</v>
      </c>
      <c r="C2189" s="6">
        <v>1511650.949</v>
      </c>
      <c r="D2189" s="6">
        <v>694121.37800000003</v>
      </c>
      <c r="E2189" s="2" t="s">
        <v>35</v>
      </c>
      <c r="F2189" s="1">
        <v>24</v>
      </c>
      <c r="G2189" s="2" t="s">
        <v>50</v>
      </c>
      <c r="J2189">
        <v>1</v>
      </c>
      <c r="K2189" s="19"/>
      <c r="L2189" s="21">
        <v>0.57152777777777775</v>
      </c>
      <c r="M2189" s="27" t="s">
        <v>32</v>
      </c>
      <c r="N2189" s="19"/>
      <c r="O2189" s="21">
        <v>0.59722222222222221</v>
      </c>
      <c r="P2189" s="7">
        <v>1.85</v>
      </c>
      <c r="Q2189" s="7">
        <f>Table2[[#This Row],[Elevation
PILE TOP]]-Table2[[#This Row],[LENGTH(m.)
(Actual)]]</f>
        <v>-22.15</v>
      </c>
      <c r="R2189" s="2">
        <v>24</v>
      </c>
      <c r="S2189" s="7">
        <f>Table2[[#This Row],[N]]+Table2[[#This Row],[Pile 
Deviation 
N (m)]]</f>
        <v>1511650.9790000001</v>
      </c>
      <c r="T2189" s="7">
        <f>Table2[[#This Row],[E]]+Table2[[#This Row],[Pile 
Deviation 
E (m)]]</f>
        <v>694121.37800000003</v>
      </c>
      <c r="U2189" s="7">
        <v>0.03</v>
      </c>
      <c r="V2189" s="7">
        <v>0</v>
      </c>
      <c r="W2189" s="7">
        <v>0.24</v>
      </c>
      <c r="X2189" s="2" t="s">
        <v>51</v>
      </c>
      <c r="Y2189" t="s">
        <v>63</v>
      </c>
      <c r="Z2189" s="9">
        <v>46190</v>
      </c>
      <c r="AA2189" s="9">
        <v>46189</v>
      </c>
      <c r="AB2189">
        <v>20</v>
      </c>
    </row>
    <row r="2190" spans="1:28" x14ac:dyDescent="0.65">
      <c r="A2190">
        <v>2184</v>
      </c>
      <c r="B2190" t="s">
        <v>29</v>
      </c>
      <c r="C2190" s="6">
        <v>1511650.946</v>
      </c>
      <c r="D2190" s="6">
        <v>694081.45</v>
      </c>
      <c r="E2190" s="2" t="s">
        <v>35</v>
      </c>
      <c r="F2190" s="1">
        <v>24</v>
      </c>
      <c r="G2190" s="2" t="s">
        <v>50</v>
      </c>
      <c r="J2190">
        <v>1</v>
      </c>
      <c r="K2190" s="19"/>
      <c r="L2190" s="21">
        <v>0.36388888888888887</v>
      </c>
      <c r="M2190" s="27" t="s">
        <v>32</v>
      </c>
      <c r="N2190" s="19"/>
      <c r="O2190" s="21">
        <v>0.40069444444444446</v>
      </c>
      <c r="P2190" s="7">
        <v>2.2000000000000002</v>
      </c>
      <c r="Q2190" s="7">
        <f>Table2[[#This Row],[Elevation
PILE TOP]]-Table2[[#This Row],[LENGTH(m.)
(Actual)]]</f>
        <v>-21.8</v>
      </c>
      <c r="R2190" s="2">
        <v>24</v>
      </c>
      <c r="S2190" s="7">
        <f>Table2[[#This Row],[N]]+Table2[[#This Row],[Pile 
Deviation 
N (m)]]</f>
        <v>1511650.926</v>
      </c>
      <c r="T2190" s="7">
        <f>Table2[[#This Row],[E]]+Table2[[#This Row],[Pile 
Deviation 
E (m)]]</f>
        <v>694081.47</v>
      </c>
      <c r="U2190" s="7">
        <v>-0.02</v>
      </c>
      <c r="V2190" s="7">
        <v>0.02</v>
      </c>
      <c r="W2190" s="7">
        <v>0.24</v>
      </c>
      <c r="X2190" s="2" t="s">
        <v>51</v>
      </c>
      <c r="Y2190" t="s">
        <v>63</v>
      </c>
      <c r="Z2190" s="9">
        <v>46194</v>
      </c>
      <c r="AA2190" s="9">
        <v>46192</v>
      </c>
      <c r="AB2190">
        <v>37</v>
      </c>
    </row>
    <row r="2191" spans="1:28" ht="13.95" customHeight="1" x14ac:dyDescent="0.65">
      <c r="A2191">
        <v>2185</v>
      </c>
      <c r="B2191" t="s">
        <v>29</v>
      </c>
      <c r="C2191" s="6">
        <v>1511650.5430000001</v>
      </c>
      <c r="D2191" s="6">
        <v>694092.51</v>
      </c>
      <c r="E2191" s="2" t="s">
        <v>35</v>
      </c>
      <c r="F2191" s="1">
        <v>24</v>
      </c>
      <c r="G2191" s="2" t="s">
        <v>50</v>
      </c>
      <c r="J2191">
        <v>6</v>
      </c>
      <c r="K2191" s="19"/>
      <c r="L2191" s="21">
        <v>0.61527777777777781</v>
      </c>
      <c r="M2191" s="27" t="s">
        <v>32</v>
      </c>
      <c r="N2191" s="19"/>
      <c r="O2191" s="21">
        <v>0.64583333333333337</v>
      </c>
      <c r="Q2191" s="7">
        <f>Table2[[#This Row],[Elevation
PILE TOP]]-Table2[[#This Row],[LENGTH(m.)
(Actual)]]</f>
        <v>-24</v>
      </c>
      <c r="R2191" s="2">
        <v>24</v>
      </c>
      <c r="S2191" s="7">
        <f>Table2[[#This Row],[N]]+Table2[[#This Row],[Pile 
Deviation 
N (m)]]</f>
        <v>1511650.5830000001</v>
      </c>
      <c r="T2191" s="7">
        <f>Table2[[#This Row],[E]]+Table2[[#This Row],[Pile 
Deviation 
E (m)]]</f>
        <v>694092.5</v>
      </c>
      <c r="U2191" s="7">
        <v>0.04</v>
      </c>
      <c r="V2191" s="7">
        <v>-0.01</v>
      </c>
      <c r="W2191" s="7">
        <v>0.24</v>
      </c>
      <c r="X2191" s="2" t="s">
        <v>51</v>
      </c>
      <c r="Y2191" t="s">
        <v>52</v>
      </c>
      <c r="Z2191" s="9">
        <v>46189</v>
      </c>
      <c r="AA2191" s="9">
        <v>46191</v>
      </c>
      <c r="AB2191">
        <v>6</v>
      </c>
    </row>
    <row r="2192" spans="1:28" x14ac:dyDescent="0.65">
      <c r="A2192">
        <v>2186</v>
      </c>
      <c r="B2192" t="s">
        <v>29</v>
      </c>
      <c r="C2192" s="6">
        <v>1511650.14</v>
      </c>
      <c r="D2192" s="6">
        <v>694103.571</v>
      </c>
      <c r="E2192" s="2" t="s">
        <v>35</v>
      </c>
      <c r="F2192" s="1">
        <v>24</v>
      </c>
      <c r="G2192" s="2" t="s">
        <v>50</v>
      </c>
      <c r="J2192">
        <v>1</v>
      </c>
      <c r="K2192" s="19"/>
      <c r="L2192" s="21">
        <v>0.69166666666666676</v>
      </c>
      <c r="M2192" s="27" t="s">
        <v>32</v>
      </c>
      <c r="N2192" s="19"/>
      <c r="O2192" s="21">
        <v>0.71944444444444444</v>
      </c>
      <c r="P2192" s="7">
        <v>2.1</v>
      </c>
      <c r="Q2192" s="7">
        <f>Table2[[#This Row],[Elevation
PILE TOP]]-Table2[[#This Row],[LENGTH(m.)
(Actual)]]</f>
        <v>-21.9</v>
      </c>
      <c r="R2192" s="2">
        <v>24</v>
      </c>
      <c r="S2192" s="7">
        <f>Table2[[#This Row],[N]]+Table2[[#This Row],[Pile 
Deviation 
N (m)]]</f>
        <v>1511650.0399999998</v>
      </c>
      <c r="T2192" s="7">
        <f>Table2[[#This Row],[E]]+Table2[[#This Row],[Pile 
Deviation 
E (m)]]</f>
        <v>694103.571</v>
      </c>
      <c r="U2192" s="7">
        <v>-0.1</v>
      </c>
      <c r="V2192" s="7">
        <v>0</v>
      </c>
      <c r="W2192" s="7">
        <v>0.24</v>
      </c>
      <c r="X2192" s="2" t="s">
        <v>51</v>
      </c>
      <c r="Y2192" t="s">
        <v>63</v>
      </c>
      <c r="Z2192" s="9">
        <v>46192</v>
      </c>
      <c r="AA2192" s="9">
        <v>46190</v>
      </c>
      <c r="AB2192">
        <v>36</v>
      </c>
    </row>
    <row r="2193" spans="1:29" ht="13.95" customHeight="1" x14ac:dyDescent="0.65">
      <c r="A2193">
        <v>2187</v>
      </c>
      <c r="B2193" t="s">
        <v>29</v>
      </c>
      <c r="C2193" s="6">
        <v>1511649.737</v>
      </c>
      <c r="D2193" s="6">
        <v>694114.63199999998</v>
      </c>
      <c r="E2193" s="2" t="s">
        <v>35</v>
      </c>
      <c r="F2193" s="1">
        <v>24</v>
      </c>
      <c r="G2193" s="2" t="s">
        <v>50</v>
      </c>
      <c r="J2193"/>
      <c r="K2193" s="19"/>
      <c r="L2193" s="21"/>
      <c r="M2193" s="27"/>
      <c r="N2193" s="19"/>
      <c r="O2193" s="21"/>
      <c r="Q2193" s="7">
        <f>Table2[[#This Row],[Elevation
PILE TOP]]-Table2[[#This Row],[LENGTH(m.)
(Actual)]]</f>
        <v>0</v>
      </c>
      <c r="R2193" s="2"/>
      <c r="S2193" s="7">
        <f>Table2[[#This Row],[N]]+Table2[[#This Row],[Pile 
Deviation 
N (m)]]</f>
        <v>1511649.737</v>
      </c>
      <c r="T2193" s="7">
        <f>Table2[[#This Row],[E]]+Table2[[#This Row],[Pile 
Deviation 
E (m)]]</f>
        <v>694114.63199999998</v>
      </c>
      <c r="W2193" s="7">
        <v>0.24</v>
      </c>
      <c r="X2193" s="2" t="s">
        <v>51</v>
      </c>
      <c r="AA2193" s="9">
        <v>46190</v>
      </c>
    </row>
    <row r="2194" spans="1:29" x14ac:dyDescent="0.65">
      <c r="A2194">
        <v>2188</v>
      </c>
      <c r="B2194" t="s">
        <v>29</v>
      </c>
      <c r="C2194" s="6">
        <v>1511649.719</v>
      </c>
      <c r="D2194" s="6">
        <v>694084.728</v>
      </c>
      <c r="E2194" s="2" t="s">
        <v>35</v>
      </c>
      <c r="F2194" s="1">
        <v>24</v>
      </c>
      <c r="G2194" s="2" t="s">
        <v>50</v>
      </c>
      <c r="J2194">
        <v>1</v>
      </c>
      <c r="K2194" s="19"/>
      <c r="L2194" s="21">
        <v>0.55625000000000002</v>
      </c>
      <c r="M2194" s="27" t="s">
        <v>32</v>
      </c>
      <c r="N2194" s="19"/>
      <c r="O2194" s="21">
        <v>0.58680555555555558</v>
      </c>
      <c r="Q2194" s="7">
        <f>Table2[[#This Row],[Elevation
PILE TOP]]-Table2[[#This Row],[LENGTH(m.)
(Actual)]]</f>
        <v>-24</v>
      </c>
      <c r="R2194" s="2">
        <v>24</v>
      </c>
      <c r="S2194" s="7">
        <f>Table2[[#This Row],[N]]+Table2[[#This Row],[Pile 
Deviation 
N (m)]]</f>
        <v>1511649.699</v>
      </c>
      <c r="T2194" s="7">
        <f>Table2[[#This Row],[E]]+Table2[[#This Row],[Pile 
Deviation 
E (m)]]</f>
        <v>694084.728</v>
      </c>
      <c r="U2194" s="7">
        <v>-0.02</v>
      </c>
      <c r="V2194" s="7">
        <v>0</v>
      </c>
      <c r="W2194" s="7">
        <v>0.24</v>
      </c>
      <c r="X2194" s="2" t="s">
        <v>51</v>
      </c>
      <c r="Y2194" t="s">
        <v>63</v>
      </c>
      <c r="Z2194" s="9">
        <v>46184</v>
      </c>
      <c r="AA2194" s="9">
        <v>46183</v>
      </c>
      <c r="AB2194">
        <v>2</v>
      </c>
    </row>
    <row r="2195" spans="1:29" ht="13.95" customHeight="1" x14ac:dyDescent="0.65">
      <c r="A2195">
        <v>2189</v>
      </c>
      <c r="B2195" t="s">
        <v>29</v>
      </c>
      <c r="C2195" s="6">
        <v>1511649.3160000001</v>
      </c>
      <c r="D2195" s="6">
        <v>694095.78799999994</v>
      </c>
      <c r="E2195" s="2" t="s">
        <v>35</v>
      </c>
      <c r="F2195" s="1">
        <v>24</v>
      </c>
      <c r="G2195" s="2" t="s">
        <v>50</v>
      </c>
      <c r="J2195">
        <v>6</v>
      </c>
      <c r="K2195" s="19"/>
      <c r="L2195" s="21">
        <v>0.67152777777777783</v>
      </c>
      <c r="M2195" s="27" t="s">
        <v>32</v>
      </c>
      <c r="N2195" s="19"/>
      <c r="O2195" s="21">
        <v>0.68611111111111101</v>
      </c>
      <c r="Q2195" s="7">
        <f>Table2[[#This Row],[Elevation
PILE TOP]]-Table2[[#This Row],[LENGTH(m.)
(Actual)]]</f>
        <v>-24</v>
      </c>
      <c r="R2195" s="2">
        <v>24</v>
      </c>
      <c r="S2195" s="7">
        <f>Table2[[#This Row],[N]]+Table2[[#This Row],[Pile 
Deviation 
N (m)]]</f>
        <v>1511649.3360000001</v>
      </c>
      <c r="T2195" s="7">
        <f>Table2[[#This Row],[E]]+Table2[[#This Row],[Pile 
Deviation 
E (m)]]</f>
        <v>694095.78799999994</v>
      </c>
      <c r="U2195" s="7">
        <v>0.02</v>
      </c>
      <c r="V2195" s="7">
        <v>0</v>
      </c>
      <c r="W2195" s="7">
        <v>0.24</v>
      </c>
      <c r="X2195" s="2" t="s">
        <v>51</v>
      </c>
      <c r="Y2195" t="s">
        <v>52</v>
      </c>
      <c r="Z2195" s="9">
        <v>46189</v>
      </c>
      <c r="AA2195" s="9">
        <v>46191</v>
      </c>
      <c r="AB2195">
        <v>7</v>
      </c>
      <c r="AC2195" t="s">
        <v>53</v>
      </c>
    </row>
    <row r="2196" spans="1:29" ht="13.95" hidden="1" customHeight="1" x14ac:dyDescent="0.65">
      <c r="A2196" s="25" t="s">
        <v>64</v>
      </c>
      <c r="C2196" s="6">
        <v>1511649.0430000001</v>
      </c>
      <c r="D2196" s="6">
        <v>694096.51899999997</v>
      </c>
      <c r="E2196" s="2" t="s">
        <v>35</v>
      </c>
      <c r="F2196" s="1">
        <v>24</v>
      </c>
      <c r="G2196" s="2" t="s">
        <v>50</v>
      </c>
      <c r="J2196">
        <v>6</v>
      </c>
      <c r="K2196" s="19"/>
      <c r="L2196" s="21">
        <v>0.35625000000000001</v>
      </c>
      <c r="M2196" s="27" t="s">
        <v>32</v>
      </c>
      <c r="N2196" s="19"/>
      <c r="O2196" s="21">
        <v>0.3923611111111111</v>
      </c>
      <c r="Q2196" s="7">
        <f>Table2[[#This Row],[Elevation
PILE TOP]]-Table2[[#This Row],[LENGTH(m.)
(Actual)]]</f>
        <v>-24</v>
      </c>
      <c r="R2196" s="2">
        <v>24</v>
      </c>
      <c r="S2196" s="7">
        <f>Table2[[#This Row],[N]]+Table2[[#This Row],[Pile 
Deviation 
N (m)]]</f>
        <v>1511649.0330000001</v>
      </c>
      <c r="T2196" s="7">
        <f>Table2[[#This Row],[E]]+Table2[[#This Row],[Pile 
Deviation 
E (m)]]</f>
        <v>694096.53899999999</v>
      </c>
      <c r="U2196" s="7">
        <v>-0.01</v>
      </c>
      <c r="V2196" s="7">
        <v>0.02</v>
      </c>
      <c r="W2196" s="7">
        <v>0.24</v>
      </c>
      <c r="X2196" s="2" t="s">
        <v>51</v>
      </c>
      <c r="Y2196" t="s">
        <v>52</v>
      </c>
      <c r="Z2196" s="9">
        <v>46190</v>
      </c>
      <c r="AA2196" s="9"/>
      <c r="AB2196">
        <v>8</v>
      </c>
      <c r="AC2196" t="s">
        <v>65</v>
      </c>
    </row>
    <row r="2197" spans="1:29" x14ac:dyDescent="0.65">
      <c r="A2197">
        <v>2190</v>
      </c>
      <c r="B2197" t="s">
        <v>29</v>
      </c>
      <c r="C2197" s="6">
        <v>1511648.9129999999</v>
      </c>
      <c r="D2197" s="6">
        <v>694106.84900000005</v>
      </c>
      <c r="E2197" s="2" t="s">
        <v>35</v>
      </c>
      <c r="F2197" s="1">
        <v>24</v>
      </c>
      <c r="G2197" s="2" t="s">
        <v>50</v>
      </c>
      <c r="J2197">
        <v>1</v>
      </c>
      <c r="K2197" s="19"/>
      <c r="L2197" s="21">
        <v>0.58194444444444449</v>
      </c>
      <c r="M2197" s="27" t="s">
        <v>32</v>
      </c>
      <c r="N2197" s="19"/>
      <c r="O2197" s="21">
        <v>0.60416666666666663</v>
      </c>
      <c r="P2197" s="7">
        <v>2.52</v>
      </c>
      <c r="Q2197" s="7">
        <f>Table2[[#This Row],[Elevation
PILE TOP]]-Table2[[#This Row],[LENGTH(m.)
(Actual)]]</f>
        <v>-21.48</v>
      </c>
      <c r="R2197" s="2">
        <v>24</v>
      </c>
      <c r="S2197" s="7">
        <f>Table2[[#This Row],[N]]+Table2[[#This Row],[Pile 
Deviation 
N (m)]]</f>
        <v>1511648.9029999999</v>
      </c>
      <c r="T2197" s="7">
        <f>Table2[[#This Row],[E]]+Table2[[#This Row],[Pile 
Deviation 
E (m)]]</f>
        <v>694106.83900000004</v>
      </c>
      <c r="U2197" s="7">
        <v>-0.01</v>
      </c>
      <c r="V2197" s="7">
        <v>-0.01</v>
      </c>
      <c r="W2197" s="7">
        <v>0.24</v>
      </c>
      <c r="X2197" s="2" t="s">
        <v>51</v>
      </c>
      <c r="Y2197" t="s">
        <v>63</v>
      </c>
      <c r="Z2197" s="9">
        <v>46192</v>
      </c>
      <c r="AA2197" s="9">
        <v>46190</v>
      </c>
      <c r="AB2197">
        <v>33</v>
      </c>
    </row>
    <row r="2198" spans="1:29" ht="13.95" customHeight="1" x14ac:dyDescent="0.65">
      <c r="A2198">
        <v>2191</v>
      </c>
      <c r="B2198" t="s">
        <v>29</v>
      </c>
      <c r="C2198" s="6">
        <v>1511648.51</v>
      </c>
      <c r="D2198" s="6">
        <v>694117.91</v>
      </c>
      <c r="E2198" s="2" t="s">
        <v>35</v>
      </c>
      <c r="F2198" s="1">
        <v>24</v>
      </c>
      <c r="G2198" s="2" t="s">
        <v>50</v>
      </c>
      <c r="J2198">
        <v>1</v>
      </c>
      <c r="K2198" s="19"/>
      <c r="L2198" s="21">
        <v>0.41597222222222219</v>
      </c>
      <c r="M2198" s="27" t="s">
        <v>32</v>
      </c>
      <c r="N2198" s="19"/>
      <c r="O2198" s="21">
        <v>0.44444444444444442</v>
      </c>
      <c r="P2198" s="7">
        <v>2.87</v>
      </c>
      <c r="Q2198" s="7">
        <f>Table2[[#This Row],[Elevation
PILE TOP]]-Table2[[#This Row],[LENGTH(m.)
(Actual)]]</f>
        <v>-21.13</v>
      </c>
      <c r="R2198" s="2">
        <v>24</v>
      </c>
      <c r="S2198" s="7">
        <f>Table2[[#This Row],[N]]+Table2[[#This Row],[Pile 
Deviation 
N (m)]]</f>
        <v>1511648.54</v>
      </c>
      <c r="T2198" s="7">
        <f>Table2[[#This Row],[E]]+Table2[[#This Row],[Pile 
Deviation 
E (m)]]</f>
        <v>694117.95000000007</v>
      </c>
      <c r="U2198" s="7">
        <v>0.03</v>
      </c>
      <c r="V2198" s="7">
        <v>0.04</v>
      </c>
      <c r="W2198" s="7">
        <v>0.24</v>
      </c>
      <c r="X2198" s="2" t="s">
        <v>51</v>
      </c>
      <c r="Y2198" t="s">
        <v>63</v>
      </c>
      <c r="Z2198" s="9">
        <v>46191</v>
      </c>
      <c r="AA2198" s="9">
        <v>46190</v>
      </c>
      <c r="AB2198">
        <v>24</v>
      </c>
    </row>
    <row r="2199" spans="1:29" x14ac:dyDescent="0.65">
      <c r="A2199">
        <v>2192</v>
      </c>
      <c r="B2199" t="s">
        <v>29</v>
      </c>
      <c r="C2199" s="6">
        <v>1511648.493</v>
      </c>
      <c r="D2199" s="6">
        <v>694088.005</v>
      </c>
      <c r="E2199" s="2" t="s">
        <v>35</v>
      </c>
      <c r="F2199" s="1">
        <v>24</v>
      </c>
      <c r="G2199" s="2" t="s">
        <v>50</v>
      </c>
      <c r="J2199">
        <v>1</v>
      </c>
      <c r="K2199" s="19"/>
      <c r="L2199" s="21">
        <v>0.61249999999999993</v>
      </c>
      <c r="M2199" s="27" t="s">
        <v>32</v>
      </c>
      <c r="N2199" s="19"/>
      <c r="O2199" s="21">
        <v>0.64583333333333337</v>
      </c>
      <c r="Q2199" s="7">
        <f>Table2[[#This Row],[Elevation
PILE TOP]]-Table2[[#This Row],[LENGTH(m.)
(Actual)]]</f>
        <v>-24</v>
      </c>
      <c r="R2199" s="2">
        <v>24</v>
      </c>
      <c r="S2199" s="7">
        <f>Table2[[#This Row],[N]]+Table2[[#This Row],[Pile 
Deviation 
N (m)]]</f>
        <v>1511648.483</v>
      </c>
      <c r="T2199" s="7">
        <f>Table2[[#This Row],[E]]+Table2[[#This Row],[Pile 
Deviation 
E (m)]]</f>
        <v>694088.02500000002</v>
      </c>
      <c r="U2199" s="7">
        <v>-0.01</v>
      </c>
      <c r="V2199" s="7">
        <v>0.02</v>
      </c>
      <c r="W2199" s="7">
        <v>0.24</v>
      </c>
      <c r="X2199" s="2" t="s">
        <v>51</v>
      </c>
      <c r="Y2199" t="s">
        <v>63</v>
      </c>
      <c r="Z2199" s="9">
        <v>46184</v>
      </c>
      <c r="AA2199" s="9">
        <v>46183</v>
      </c>
      <c r="AB2199">
        <v>3</v>
      </c>
    </row>
    <row r="2200" spans="1:29" ht="13.95" customHeight="1" x14ac:dyDescent="0.65">
      <c r="A2200">
        <v>2193</v>
      </c>
      <c r="B2200" t="s">
        <v>29</v>
      </c>
      <c r="C2200" s="6">
        <v>1511648.0889999999</v>
      </c>
      <c r="D2200" s="6">
        <v>694099.06599999999</v>
      </c>
      <c r="E2200" s="2" t="s">
        <v>35</v>
      </c>
      <c r="F2200" s="1">
        <v>24</v>
      </c>
      <c r="G2200" s="2" t="s">
        <v>50</v>
      </c>
      <c r="J2200">
        <v>1</v>
      </c>
      <c r="K2200" s="19"/>
      <c r="L2200" s="21">
        <v>0.56388888888888888</v>
      </c>
      <c r="M2200" s="27" t="s">
        <v>32</v>
      </c>
      <c r="N2200" s="19"/>
      <c r="O2200" s="21">
        <v>0.59861111111111109</v>
      </c>
      <c r="Q2200" s="7">
        <f>Table2[[#This Row],[Elevation
PILE TOP]]-Table2[[#This Row],[LENGTH(m.)
(Actual)]]</f>
        <v>-24</v>
      </c>
      <c r="R2200" s="2">
        <v>24</v>
      </c>
      <c r="S2200" s="7">
        <f>Table2[[#This Row],[N]]+Table2[[#This Row],[Pile 
Deviation 
N (m)]]</f>
        <v>1511648.0989999999</v>
      </c>
      <c r="T2200" s="7">
        <f>Table2[[#This Row],[E]]+Table2[[#This Row],[Pile 
Deviation 
E (m)]]</f>
        <v>694099.04599999997</v>
      </c>
      <c r="U2200" s="7">
        <v>0.01</v>
      </c>
      <c r="V2200" s="7">
        <v>-0.02</v>
      </c>
      <c r="W2200" s="7">
        <v>0.24</v>
      </c>
      <c r="X2200" s="2" t="s">
        <v>51</v>
      </c>
      <c r="Y2200" t="s">
        <v>63</v>
      </c>
      <c r="Z2200" s="9">
        <v>46188</v>
      </c>
      <c r="AA2200" s="9">
        <v>46188</v>
      </c>
      <c r="AB2200">
        <v>13</v>
      </c>
    </row>
    <row r="2201" spans="1:29" x14ac:dyDescent="0.65">
      <c r="A2201">
        <v>2194</v>
      </c>
      <c r="B2201" t="s">
        <v>29</v>
      </c>
      <c r="C2201" s="6">
        <v>1511647.8810000001</v>
      </c>
      <c r="D2201" s="6">
        <v>694119.59100000001</v>
      </c>
      <c r="E2201" s="2" t="s">
        <v>35</v>
      </c>
      <c r="F2201" s="1">
        <v>24</v>
      </c>
      <c r="G2201" s="2" t="s">
        <v>50</v>
      </c>
      <c r="J2201">
        <v>1</v>
      </c>
      <c r="K2201" s="19"/>
      <c r="L2201" s="21">
        <v>0.45277777777777778</v>
      </c>
      <c r="M2201" s="27" t="s">
        <v>32</v>
      </c>
      <c r="N2201" s="19"/>
      <c r="O2201" s="21">
        <v>0.4826388888888889</v>
      </c>
      <c r="P2201" s="7">
        <v>2.09</v>
      </c>
      <c r="Q2201" s="7">
        <f>Table2[[#This Row],[Elevation
PILE TOP]]-Table2[[#This Row],[LENGTH(m.)
(Actual)]]</f>
        <v>-21.91</v>
      </c>
      <c r="R2201" s="2">
        <v>24</v>
      </c>
      <c r="S2201" s="7">
        <f>Table2[[#This Row],[N]]+Table2[[#This Row],[Pile 
Deviation 
N (m)]]</f>
        <v>1511647.861</v>
      </c>
      <c r="T2201" s="7">
        <f>Table2[[#This Row],[E]]+Table2[[#This Row],[Pile 
Deviation 
E (m)]]</f>
        <v>694119.62100000004</v>
      </c>
      <c r="U2201" s="7">
        <v>-0.02</v>
      </c>
      <c r="V2201" s="7">
        <v>0.03</v>
      </c>
      <c r="W2201" s="7">
        <v>0.24</v>
      </c>
      <c r="X2201" s="2" t="s">
        <v>51</v>
      </c>
      <c r="Y2201" t="s">
        <v>63</v>
      </c>
      <c r="Z2201" s="9">
        <v>46190</v>
      </c>
      <c r="AA2201" s="9">
        <v>46189</v>
      </c>
      <c r="AB2201">
        <v>19</v>
      </c>
    </row>
    <row r="2202" spans="1:29" ht="13.95" customHeight="1" x14ac:dyDescent="0.65">
      <c r="A2202">
        <v>2195</v>
      </c>
      <c r="B2202" t="s">
        <v>29</v>
      </c>
      <c r="C2202" s="6">
        <v>1511647.686</v>
      </c>
      <c r="D2202" s="6">
        <v>694110.12699999998</v>
      </c>
      <c r="E2202" s="2" t="s">
        <v>35</v>
      </c>
      <c r="F2202" s="1">
        <v>24</v>
      </c>
      <c r="G2202" s="2" t="s">
        <v>50</v>
      </c>
      <c r="J2202">
        <v>1</v>
      </c>
      <c r="K2202" s="19"/>
      <c r="L2202" s="21">
        <v>0.36874999999999997</v>
      </c>
      <c r="M2202" s="27" t="s">
        <v>32</v>
      </c>
      <c r="N2202" s="19"/>
      <c r="O2202" s="21">
        <v>0.39097222222222222</v>
      </c>
      <c r="P2202" s="7">
        <v>2.42</v>
      </c>
      <c r="Q2202" s="7">
        <f>Table2[[#This Row],[Elevation
PILE TOP]]-Table2[[#This Row],[LENGTH(m.)
(Actual)]]</f>
        <v>-21.58</v>
      </c>
      <c r="R2202" s="2">
        <v>24</v>
      </c>
      <c r="S2202" s="7">
        <f>Table2[[#This Row],[N]]+Table2[[#This Row],[Pile 
Deviation 
N (m)]]</f>
        <v>1511647.736</v>
      </c>
      <c r="T2202" s="7">
        <f>Table2[[#This Row],[E]]+Table2[[#This Row],[Pile 
Deviation 
E (m)]]</f>
        <v>694110.12699999998</v>
      </c>
      <c r="U2202" s="7">
        <v>0.05</v>
      </c>
      <c r="V2202" s="7">
        <v>0</v>
      </c>
      <c r="W2202" s="7">
        <v>0.24</v>
      </c>
      <c r="X2202" s="2" t="s">
        <v>51</v>
      </c>
      <c r="Y2202" t="s">
        <v>63</v>
      </c>
      <c r="Z2202" s="9">
        <v>46192</v>
      </c>
      <c r="AA2202" s="9">
        <v>46190</v>
      </c>
      <c r="AB2202">
        <v>30</v>
      </c>
    </row>
    <row r="2203" spans="1:29" x14ac:dyDescent="0.65">
      <c r="A2203">
        <v>2196</v>
      </c>
      <c r="B2203" t="s">
        <v>29</v>
      </c>
      <c r="C2203" s="6">
        <v>1511647.2660000001</v>
      </c>
      <c r="D2203" s="6">
        <v>694091.28300000005</v>
      </c>
      <c r="E2203" s="2" t="s">
        <v>35</v>
      </c>
      <c r="F2203" s="1">
        <v>24</v>
      </c>
      <c r="G2203" s="2" t="s">
        <v>50</v>
      </c>
      <c r="J2203">
        <v>1</v>
      </c>
      <c r="K2203" s="19"/>
      <c r="L2203" s="21">
        <v>0.55625000000000002</v>
      </c>
      <c r="M2203" s="27" t="s">
        <v>32</v>
      </c>
      <c r="N2203" s="19"/>
      <c r="O2203" s="21">
        <v>0.58750000000000002</v>
      </c>
      <c r="Q2203" s="7">
        <f>Table2[[#This Row],[Elevation
PILE TOP]]-Table2[[#This Row],[LENGTH(m.)
(Actual)]]</f>
        <v>-24</v>
      </c>
      <c r="R2203" s="2">
        <v>24</v>
      </c>
      <c r="S2203" s="7">
        <f>Table2[[#This Row],[N]]+Table2[[#This Row],[Pile 
Deviation 
N (m)]]</f>
        <v>1511647.2560000001</v>
      </c>
      <c r="T2203" s="7">
        <f>Table2[[#This Row],[E]]+Table2[[#This Row],[Pile 
Deviation 
E (m)]]</f>
        <v>694091.27300000004</v>
      </c>
      <c r="U2203" s="7">
        <v>-0.01</v>
      </c>
      <c r="V2203" s="7">
        <v>-0.01</v>
      </c>
      <c r="W2203" s="7">
        <v>0.24</v>
      </c>
      <c r="X2203" s="2" t="s">
        <v>51</v>
      </c>
      <c r="Y2203" t="s">
        <v>63</v>
      </c>
      <c r="Z2203" s="9">
        <v>46186</v>
      </c>
      <c r="AA2203" s="9">
        <v>46184</v>
      </c>
      <c r="AB2203">
        <v>4</v>
      </c>
    </row>
    <row r="2204" spans="1:29" ht="13.95" customHeight="1" x14ac:dyDescent="0.65">
      <c r="A2204">
        <v>2197</v>
      </c>
      <c r="B2204" t="s">
        <v>29</v>
      </c>
      <c r="C2204" s="6">
        <v>1511646.862</v>
      </c>
      <c r="D2204" s="6">
        <v>694102.34400000004</v>
      </c>
      <c r="E2204" s="2" t="s">
        <v>35</v>
      </c>
      <c r="F2204" s="1">
        <v>24</v>
      </c>
      <c r="G2204" s="2" t="s">
        <v>50</v>
      </c>
      <c r="J2204">
        <v>1</v>
      </c>
      <c r="K2204" s="19"/>
      <c r="L2204" s="21">
        <v>0.46597222222222223</v>
      </c>
      <c r="M2204" s="27" t="s">
        <v>32</v>
      </c>
      <c r="N2204" s="19"/>
      <c r="O2204" s="21">
        <v>0.49374999999999997</v>
      </c>
      <c r="Q2204" s="7">
        <f>Table2[[#This Row],[Elevation
PILE TOP]]-Table2[[#This Row],[LENGTH(m.)
(Actual)]]</f>
        <v>-24</v>
      </c>
      <c r="R2204" s="2">
        <v>24</v>
      </c>
      <c r="S2204" s="7">
        <f>Table2[[#This Row],[N]]+Table2[[#This Row],[Pile 
Deviation 
N (m)]]</f>
        <v>1511646.862</v>
      </c>
      <c r="T2204" s="7">
        <f>Table2[[#This Row],[E]]+Table2[[#This Row],[Pile 
Deviation 
E (m)]]</f>
        <v>694102.32400000002</v>
      </c>
      <c r="U2204" s="7">
        <v>0</v>
      </c>
      <c r="V2204" s="7">
        <v>-0.02</v>
      </c>
      <c r="W2204" s="7">
        <v>0.24</v>
      </c>
      <c r="X2204" s="2" t="s">
        <v>51</v>
      </c>
      <c r="Y2204" t="s">
        <v>63</v>
      </c>
      <c r="Z2204" s="9">
        <v>46188</v>
      </c>
      <c r="AA2204" s="9">
        <v>46188</v>
      </c>
      <c r="AB2204">
        <v>12</v>
      </c>
    </row>
    <row r="2205" spans="1:29" x14ac:dyDescent="0.65">
      <c r="A2205">
        <v>2198</v>
      </c>
      <c r="B2205" t="s">
        <v>29</v>
      </c>
      <c r="C2205" s="6">
        <v>1511646.459</v>
      </c>
      <c r="D2205" s="6">
        <v>694113.40500000003</v>
      </c>
      <c r="E2205" s="2" t="s">
        <v>35</v>
      </c>
      <c r="F2205" s="1">
        <v>24</v>
      </c>
      <c r="G2205" s="2" t="s">
        <v>50</v>
      </c>
      <c r="J2205">
        <v>1</v>
      </c>
      <c r="K2205" s="19"/>
      <c r="L2205" s="21">
        <v>0.58888888888888891</v>
      </c>
      <c r="M2205" s="27" t="s">
        <v>32</v>
      </c>
      <c r="N2205" s="19"/>
      <c r="O2205" s="21">
        <v>0.61041666666666672</v>
      </c>
      <c r="P2205" s="7">
        <v>2.4500000000000002</v>
      </c>
      <c r="Q2205" s="7">
        <f>Table2[[#This Row],[Elevation
PILE TOP]]-Table2[[#This Row],[LENGTH(m.)
(Actual)]]</f>
        <v>-21.55</v>
      </c>
      <c r="R2205" s="2">
        <v>24</v>
      </c>
      <c r="S2205" s="7">
        <f>Table2[[#This Row],[N]]+Table2[[#This Row],[Pile 
Deviation 
N (m)]]</f>
        <v>1511646.459</v>
      </c>
      <c r="T2205" s="7">
        <f>Table2[[#This Row],[E]]+Table2[[#This Row],[Pile 
Deviation 
E (m)]]</f>
        <v>694113.38500000001</v>
      </c>
      <c r="U2205" s="7">
        <v>0</v>
      </c>
      <c r="V2205" s="7">
        <v>-0.02</v>
      </c>
      <c r="W2205" s="7">
        <v>0.24</v>
      </c>
      <c r="X2205" s="2" t="s">
        <v>51</v>
      </c>
      <c r="Y2205" t="s">
        <v>63</v>
      </c>
      <c r="Z2205" s="9">
        <v>46191</v>
      </c>
      <c r="AA2205" s="9">
        <v>46190</v>
      </c>
      <c r="AB2205">
        <v>27</v>
      </c>
    </row>
    <row r="2206" spans="1:29" ht="13.95" customHeight="1" x14ac:dyDescent="0.65">
      <c r="A2206">
        <v>2199</v>
      </c>
      <c r="B2206" t="s">
        <v>29</v>
      </c>
      <c r="C2206" s="6">
        <v>1511646.0390000001</v>
      </c>
      <c r="D2206" s="6">
        <v>694094.56099999999</v>
      </c>
      <c r="E2206" s="2" t="s">
        <v>35</v>
      </c>
      <c r="F2206" s="1">
        <v>24</v>
      </c>
      <c r="G2206" s="2" t="s">
        <v>50</v>
      </c>
      <c r="J2206">
        <v>1</v>
      </c>
      <c r="K2206" s="19"/>
      <c r="L2206" s="21">
        <v>0.61249999999999993</v>
      </c>
      <c r="M2206" s="27" t="s">
        <v>32</v>
      </c>
      <c r="N2206" s="19"/>
      <c r="O2206" s="21">
        <v>0.64166666666666672</v>
      </c>
      <c r="Q2206" s="7">
        <f>Table2[[#This Row],[Elevation
PILE TOP]]-Table2[[#This Row],[LENGTH(m.)
(Actual)]]</f>
        <v>-24</v>
      </c>
      <c r="R2206" s="2">
        <v>24</v>
      </c>
      <c r="S2206" s="7">
        <f>Table2[[#This Row],[N]]+Table2[[#This Row],[Pile 
Deviation 
N (m)]]</f>
        <v>1511646.0390000001</v>
      </c>
      <c r="T2206" s="7">
        <f>Table2[[#This Row],[E]]+Table2[[#This Row],[Pile 
Deviation 
E (m)]]</f>
        <v>694094.54099999997</v>
      </c>
      <c r="U2206" s="7">
        <v>0</v>
      </c>
      <c r="V2206" s="7">
        <v>-0.02</v>
      </c>
      <c r="W2206" s="7">
        <v>0.24</v>
      </c>
      <c r="X2206" s="2" t="s">
        <v>51</v>
      </c>
      <c r="Y2206" t="s">
        <v>63</v>
      </c>
      <c r="Z2206" s="9">
        <v>46186</v>
      </c>
      <c r="AA2206" s="9">
        <v>46184</v>
      </c>
      <c r="AB2206">
        <v>5</v>
      </c>
    </row>
    <row r="2207" spans="1:29" x14ac:dyDescent="0.65">
      <c r="A2207">
        <v>2200</v>
      </c>
      <c r="B2207" t="s">
        <v>29</v>
      </c>
      <c r="C2207" s="6">
        <v>1511645.6359999999</v>
      </c>
      <c r="D2207" s="6">
        <v>694105.62199999997</v>
      </c>
      <c r="E2207" s="2" t="s">
        <v>35</v>
      </c>
      <c r="F2207" s="1">
        <v>24</v>
      </c>
      <c r="G2207" s="2" t="s">
        <v>50</v>
      </c>
      <c r="J2207">
        <v>1</v>
      </c>
      <c r="K2207" s="19"/>
      <c r="L2207" s="21">
        <v>0.6645833333333333</v>
      </c>
      <c r="M2207" s="27" t="s">
        <v>32</v>
      </c>
      <c r="N2207" s="19"/>
      <c r="O2207" s="21">
        <v>0.6875</v>
      </c>
      <c r="Q2207" s="7">
        <f>Table2[[#This Row],[Elevation
PILE TOP]]-Table2[[#This Row],[LENGTH(m.)
(Actual)]]</f>
        <v>-24</v>
      </c>
      <c r="R2207" s="2">
        <v>24</v>
      </c>
      <c r="S2207" s="7">
        <f>Table2[[#This Row],[N]]+Table2[[#This Row],[Pile 
Deviation 
N (m)]]</f>
        <v>1511645.6259999999</v>
      </c>
      <c r="T2207" s="7">
        <f>Table2[[#This Row],[E]]+Table2[[#This Row],[Pile 
Deviation 
E (m)]]</f>
        <v>694105.62199999997</v>
      </c>
      <c r="U2207" s="7">
        <v>-0.01</v>
      </c>
      <c r="V2207" s="7">
        <v>0</v>
      </c>
      <c r="W2207" s="7">
        <v>0.24</v>
      </c>
      <c r="X2207" s="2" t="s">
        <v>51</v>
      </c>
      <c r="Y2207" t="s">
        <v>63</v>
      </c>
      <c r="Z2207" s="9">
        <v>46187</v>
      </c>
      <c r="AA2207" s="9">
        <v>46188</v>
      </c>
      <c r="AB2207">
        <v>11</v>
      </c>
    </row>
    <row r="2208" spans="1:29" ht="13.95" customHeight="1" x14ac:dyDescent="0.65">
      <c r="A2208">
        <v>2201</v>
      </c>
      <c r="B2208" t="s">
        <v>29</v>
      </c>
      <c r="C2208" s="6">
        <v>1511645.233</v>
      </c>
      <c r="D2208" s="6">
        <v>694116.68299999996</v>
      </c>
      <c r="E2208" s="2" t="s">
        <v>35</v>
      </c>
      <c r="F2208" s="1">
        <v>24</v>
      </c>
      <c r="G2208" s="2" t="s">
        <v>50</v>
      </c>
      <c r="J2208">
        <v>1</v>
      </c>
      <c r="K2208" s="19"/>
      <c r="L2208" s="21">
        <v>0.4548611111111111</v>
      </c>
      <c r="M2208" s="27" t="s">
        <v>32</v>
      </c>
      <c r="N2208" s="19"/>
      <c r="O2208" s="21">
        <v>0.48680555555555555</v>
      </c>
      <c r="P2208" s="7">
        <v>2.06</v>
      </c>
      <c r="Q2208" s="7">
        <f>Table2[[#This Row],[Elevation
PILE TOP]]-Table2[[#This Row],[LENGTH(m.)
(Actual)]]</f>
        <v>-21.94</v>
      </c>
      <c r="R2208" s="2">
        <v>24</v>
      </c>
      <c r="S2208" s="7">
        <f>Table2[[#This Row],[N]]+Table2[[#This Row],[Pile 
Deviation 
N (m)]]</f>
        <v>1511645.273</v>
      </c>
      <c r="T2208" s="7">
        <f>Table2[[#This Row],[E]]+Table2[[#This Row],[Pile 
Deviation 
E (m)]]</f>
        <v>694116.68299999996</v>
      </c>
      <c r="U2208" s="7">
        <v>0.04</v>
      </c>
      <c r="V2208" s="7">
        <v>0</v>
      </c>
      <c r="W2208" s="7">
        <v>0.24</v>
      </c>
      <c r="X2208" s="2" t="s">
        <v>51</v>
      </c>
      <c r="Y2208" t="s">
        <v>63</v>
      </c>
      <c r="Z2208" s="9">
        <v>46191</v>
      </c>
      <c r="AA2208" s="9">
        <v>46190</v>
      </c>
      <c r="AB2208">
        <v>25</v>
      </c>
    </row>
    <row r="2209" spans="1:28" x14ac:dyDescent="0.65">
      <c r="A2209">
        <v>2202</v>
      </c>
      <c r="B2209" t="s">
        <v>29</v>
      </c>
      <c r="C2209" s="6">
        <v>1511644.8130000001</v>
      </c>
      <c r="D2209" s="6">
        <v>694117.80299999996</v>
      </c>
      <c r="E2209" s="2" t="s">
        <v>35</v>
      </c>
      <c r="F2209" s="1">
        <v>24</v>
      </c>
      <c r="G2209" s="2" t="s">
        <v>50</v>
      </c>
      <c r="J2209">
        <v>1</v>
      </c>
      <c r="K2209" s="19"/>
      <c r="L2209" s="21">
        <v>0.41041666666666665</v>
      </c>
      <c r="M2209" s="27" t="s">
        <v>32</v>
      </c>
      <c r="N2209" s="19"/>
      <c r="O2209" s="21">
        <v>0.4375</v>
      </c>
      <c r="P2209" s="7">
        <v>2.81</v>
      </c>
      <c r="Q2209" s="7">
        <f>Table2[[#This Row],[Elevation
PILE TOP]]-Table2[[#This Row],[LENGTH(m.)
(Actual)]]</f>
        <v>-21.19</v>
      </c>
      <c r="R2209" s="2">
        <v>24</v>
      </c>
      <c r="S2209" s="7">
        <f>Table2[[#This Row],[N]]+Table2[[#This Row],[Pile 
Deviation 
N (m)]]</f>
        <v>1511644.8030000001</v>
      </c>
      <c r="T2209" s="7">
        <f>Table2[[#This Row],[E]]+Table2[[#This Row],[Pile 
Deviation 
E (m)]]</f>
        <v>694117.80299999996</v>
      </c>
      <c r="U2209" s="7">
        <v>-0.01</v>
      </c>
      <c r="V2209" s="7">
        <v>0</v>
      </c>
      <c r="W2209" s="7">
        <v>0.24</v>
      </c>
      <c r="X2209" s="2" t="s">
        <v>51</v>
      </c>
      <c r="Y2209" t="s">
        <v>63</v>
      </c>
      <c r="Z2209" s="9">
        <v>46190</v>
      </c>
      <c r="AA2209" s="9">
        <v>46189</v>
      </c>
      <c r="AB2209">
        <v>18</v>
      </c>
    </row>
    <row r="2210" spans="1:28" ht="13.95" customHeight="1" x14ac:dyDescent="0.65">
      <c r="A2210">
        <v>2203</v>
      </c>
      <c r="B2210" t="s">
        <v>29</v>
      </c>
      <c r="C2210" s="6">
        <v>1511644.8119999999</v>
      </c>
      <c r="D2210" s="6">
        <v>694097.83900000004</v>
      </c>
      <c r="E2210" s="2" t="s">
        <v>35</v>
      </c>
      <c r="F2210" s="1">
        <v>24</v>
      </c>
      <c r="G2210" s="2" t="s">
        <v>50</v>
      </c>
      <c r="J2210">
        <v>1</v>
      </c>
      <c r="K2210" s="19"/>
      <c r="L2210" s="21">
        <v>0.65486111111111112</v>
      </c>
      <c r="M2210" s="27" t="s">
        <v>32</v>
      </c>
      <c r="N2210" s="19"/>
      <c r="O2210" s="21">
        <v>0.68819444444444444</v>
      </c>
      <c r="Q2210" s="7">
        <f>Table2[[#This Row],[Elevation
PILE TOP]]-Table2[[#This Row],[LENGTH(m.)
(Actual)]]</f>
        <v>-24</v>
      </c>
      <c r="R2210" s="2">
        <v>24</v>
      </c>
      <c r="S2210" s="7">
        <f>Table2[[#This Row],[N]]+Table2[[#This Row],[Pile 
Deviation 
N (m)]]</f>
        <v>1511644.7919999999</v>
      </c>
      <c r="T2210" s="7">
        <f>Table2[[#This Row],[E]]+Table2[[#This Row],[Pile 
Deviation 
E (m)]]</f>
        <v>694097.81900000002</v>
      </c>
      <c r="U2210" s="7">
        <v>-0.02</v>
      </c>
      <c r="V2210" s="7">
        <v>-0.02</v>
      </c>
      <c r="W2210" s="7">
        <v>0.24</v>
      </c>
      <c r="X2210" s="2" t="s">
        <v>51</v>
      </c>
      <c r="Y2210" t="s">
        <v>63</v>
      </c>
      <c r="Z2210" s="9">
        <v>46186</v>
      </c>
      <c r="AA2210" s="9">
        <v>46185</v>
      </c>
      <c r="AB2210">
        <v>6</v>
      </c>
    </row>
    <row r="2211" spans="1:28" x14ac:dyDescent="0.65">
      <c r="A2211">
        <v>2204</v>
      </c>
      <c r="B2211" t="s">
        <v>29</v>
      </c>
      <c r="C2211" s="6">
        <v>1511644.409</v>
      </c>
      <c r="D2211" s="6">
        <v>694108.9</v>
      </c>
      <c r="E2211" s="2" t="s">
        <v>35</v>
      </c>
      <c r="F2211" s="1">
        <v>24</v>
      </c>
      <c r="G2211" s="2" t="s">
        <v>50</v>
      </c>
      <c r="J2211">
        <v>1</v>
      </c>
      <c r="K2211" s="19"/>
      <c r="L2211" s="21">
        <v>0.64097222222222217</v>
      </c>
      <c r="M2211" s="27" t="s">
        <v>32</v>
      </c>
      <c r="N2211" s="19"/>
      <c r="O2211" s="21">
        <v>0.66666666666666663</v>
      </c>
      <c r="Q2211" s="7">
        <f>Table2[[#This Row],[Elevation
PILE TOP]]-Table2[[#This Row],[LENGTH(m.)
(Actual)]]</f>
        <v>-24</v>
      </c>
      <c r="R2211" s="2">
        <v>24</v>
      </c>
      <c r="S2211" s="7">
        <f>Table2[[#This Row],[N]]+Table2[[#This Row],[Pile 
Deviation 
N (m)]]</f>
        <v>1511644.399</v>
      </c>
      <c r="T2211" s="7">
        <f>Table2[[#This Row],[E]]+Table2[[#This Row],[Pile 
Deviation 
E (m)]]</f>
        <v>694108.88</v>
      </c>
      <c r="U2211" s="7">
        <v>-0.01</v>
      </c>
      <c r="V2211" s="7">
        <v>-0.02</v>
      </c>
      <c r="W2211" s="7">
        <v>0.24</v>
      </c>
      <c r="X2211" s="2" t="s">
        <v>51</v>
      </c>
      <c r="Y2211" t="s">
        <v>63</v>
      </c>
      <c r="Z2211" s="9">
        <v>46188</v>
      </c>
      <c r="AA2211" s="9">
        <v>46188</v>
      </c>
      <c r="AB2211">
        <v>14</v>
      </c>
    </row>
    <row r="2212" spans="1:28" ht="13.95" customHeight="1" x14ac:dyDescent="0.65">
      <c r="A2212">
        <v>2205</v>
      </c>
      <c r="B2212" t="s">
        <v>29</v>
      </c>
      <c r="C2212" s="6">
        <v>1511643.585</v>
      </c>
      <c r="D2212" s="6">
        <v>694101.11699999997</v>
      </c>
      <c r="E2212" s="2" t="s">
        <v>35</v>
      </c>
      <c r="F2212" s="1">
        <v>24</v>
      </c>
      <c r="G2212" s="2" t="s">
        <v>50</v>
      </c>
      <c r="J2212">
        <v>1</v>
      </c>
      <c r="K2212" s="19"/>
      <c r="L2212" s="21">
        <v>0.38958333333333334</v>
      </c>
      <c r="M2212" s="27" t="s">
        <v>32</v>
      </c>
      <c r="N2212" s="19"/>
      <c r="O2212" s="21">
        <v>0.4201388888888889</v>
      </c>
      <c r="Q2212" s="7">
        <f>Table2[[#This Row],[Elevation
PILE TOP]]-Table2[[#This Row],[LENGTH(m.)
(Actual)]]</f>
        <v>-24</v>
      </c>
      <c r="R2212" s="2">
        <v>24</v>
      </c>
      <c r="S2212" s="7">
        <f>Table2[[#This Row],[N]]+Table2[[#This Row],[Pile 
Deviation 
N (m)]]</f>
        <v>1511643.595</v>
      </c>
      <c r="T2212" s="7">
        <f>Table2[[#This Row],[E]]+Table2[[#This Row],[Pile 
Deviation 
E (m)]]</f>
        <v>694101.09699999995</v>
      </c>
      <c r="U2212" s="7">
        <v>0.01</v>
      </c>
      <c r="V2212" s="7">
        <v>-0.02</v>
      </c>
      <c r="W2212" s="7">
        <v>0.24</v>
      </c>
      <c r="X2212" s="2" t="s">
        <v>51</v>
      </c>
      <c r="Y2212" t="s">
        <v>63</v>
      </c>
      <c r="Z2212" s="9">
        <v>46187</v>
      </c>
      <c r="AA2212" s="9">
        <v>46186</v>
      </c>
      <c r="AB2212">
        <v>7</v>
      </c>
    </row>
    <row r="2213" spans="1:28" x14ac:dyDescent="0.65">
      <c r="A2213">
        <v>2206</v>
      </c>
      <c r="B2213" t="s">
        <v>29</v>
      </c>
      <c r="C2213" s="6">
        <v>1511643.182</v>
      </c>
      <c r="D2213" s="6">
        <v>694112.17799999996</v>
      </c>
      <c r="E2213" s="2" t="s">
        <v>35</v>
      </c>
      <c r="F2213" s="1">
        <v>24</v>
      </c>
      <c r="G2213" s="2" t="s">
        <v>50</v>
      </c>
      <c r="J2213">
        <v>1</v>
      </c>
      <c r="K2213" s="19"/>
      <c r="L2213" s="21">
        <v>0.68333333333333324</v>
      </c>
      <c r="M2213" s="27" t="s">
        <v>32</v>
      </c>
      <c r="N2213" s="19"/>
      <c r="O2213" s="21">
        <v>0.7090277777777777</v>
      </c>
      <c r="Q2213" s="7">
        <f>Table2[[#This Row],[Elevation
PILE TOP]]-Table2[[#This Row],[LENGTH(m.)
(Actual)]]</f>
        <v>-24</v>
      </c>
      <c r="R2213" s="2">
        <v>24</v>
      </c>
      <c r="S2213" s="7">
        <f>Table2[[#This Row],[N]]+Table2[[#This Row],[Pile 
Deviation 
N (m)]]</f>
        <v>1511643.172</v>
      </c>
      <c r="T2213" s="7">
        <f>Table2[[#This Row],[E]]+Table2[[#This Row],[Pile 
Deviation 
E (m)]]</f>
        <v>694112.12799999991</v>
      </c>
      <c r="U2213" s="7">
        <v>-0.01</v>
      </c>
      <c r="V2213" s="7">
        <v>-0.05</v>
      </c>
      <c r="W2213" s="7">
        <v>0.24</v>
      </c>
      <c r="X2213" s="2" t="s">
        <v>51</v>
      </c>
      <c r="Y2213" t="s">
        <v>63</v>
      </c>
      <c r="Z2213" s="9">
        <v>46188</v>
      </c>
      <c r="AA2213" s="9">
        <v>46188</v>
      </c>
      <c r="AB2213">
        <v>16</v>
      </c>
    </row>
    <row r="2214" spans="1:28" ht="13.95" customHeight="1" x14ac:dyDescent="0.65">
      <c r="A2214">
        <v>2207</v>
      </c>
      <c r="B2214" t="s">
        <v>29</v>
      </c>
      <c r="C2214" s="6">
        <v>1511642.358</v>
      </c>
      <c r="D2214" s="6">
        <v>694104.39500000002</v>
      </c>
      <c r="E2214" s="2" t="s">
        <v>35</v>
      </c>
      <c r="F2214" s="1">
        <v>24</v>
      </c>
      <c r="G2214" s="2" t="s">
        <v>50</v>
      </c>
      <c r="J2214">
        <v>1</v>
      </c>
      <c r="K2214" s="19"/>
      <c r="L2214" s="21">
        <v>0.44027777777777777</v>
      </c>
      <c r="M2214" s="27" t="s">
        <v>32</v>
      </c>
      <c r="N2214" s="19"/>
      <c r="O2214" s="21">
        <v>0.47430555555555554</v>
      </c>
      <c r="Q2214" s="7">
        <f>Table2[[#This Row],[Elevation
PILE TOP]]-Table2[[#This Row],[LENGTH(m.)
(Actual)]]</f>
        <v>-24</v>
      </c>
      <c r="R2214" s="2">
        <v>24</v>
      </c>
      <c r="S2214" s="7">
        <f>Table2[[#This Row],[N]]+Table2[[#This Row],[Pile 
Deviation 
N (m)]]</f>
        <v>1511642.388</v>
      </c>
      <c r="T2214" s="7">
        <f>Table2[[#This Row],[E]]+Table2[[#This Row],[Pile 
Deviation 
E (m)]]</f>
        <v>694104.375</v>
      </c>
      <c r="U2214" s="7">
        <v>0.03</v>
      </c>
      <c r="V2214" s="7">
        <v>-0.02</v>
      </c>
      <c r="W2214" s="7">
        <v>0.24</v>
      </c>
      <c r="X2214" s="2" t="s">
        <v>51</v>
      </c>
      <c r="Y2214" t="s">
        <v>63</v>
      </c>
      <c r="Z2214" s="9">
        <v>46187</v>
      </c>
      <c r="AA2214" s="9">
        <v>46187</v>
      </c>
      <c r="AB2214">
        <v>8</v>
      </c>
    </row>
    <row r="2215" spans="1:28" x14ac:dyDescent="0.65">
      <c r="A2215">
        <v>2208</v>
      </c>
      <c r="B2215" t="s">
        <v>29</v>
      </c>
      <c r="C2215" s="6">
        <v>1511641.9550000001</v>
      </c>
      <c r="D2215" s="6">
        <v>694115.45600000001</v>
      </c>
      <c r="E2215" s="2" t="s">
        <v>35</v>
      </c>
      <c r="F2215" s="1">
        <v>24</v>
      </c>
      <c r="G2215" s="2" t="s">
        <v>50</v>
      </c>
      <c r="J2215">
        <v>1</v>
      </c>
      <c r="K2215" s="19"/>
      <c r="L2215" s="21">
        <v>0.62361111111111112</v>
      </c>
      <c r="M2215" s="27" t="s">
        <v>32</v>
      </c>
      <c r="N2215" s="19"/>
      <c r="O2215" s="21">
        <v>0.65416666666666667</v>
      </c>
      <c r="Q2215" s="7">
        <f>Table2[[#This Row],[Elevation
PILE TOP]]-Table2[[#This Row],[LENGTH(m.)
(Actual)]]</f>
        <v>-24</v>
      </c>
      <c r="R2215" s="2">
        <v>24</v>
      </c>
      <c r="S2215" s="7">
        <f>Table2[[#This Row],[N]]+Table2[[#This Row],[Pile 
Deviation 
N (m)]]</f>
        <v>1511641.9450000001</v>
      </c>
      <c r="T2215" s="7">
        <f>Table2[[#This Row],[E]]+Table2[[#This Row],[Pile 
Deviation 
E (m)]]</f>
        <v>694115.47600000002</v>
      </c>
      <c r="U2215" s="7">
        <v>-0.01</v>
      </c>
      <c r="V2215" s="7">
        <v>0.02</v>
      </c>
      <c r="W2215" s="7">
        <v>0.24</v>
      </c>
      <c r="X2215" s="2" t="s">
        <v>51</v>
      </c>
      <c r="Y2215" t="s">
        <v>63</v>
      </c>
      <c r="Z2215" s="9">
        <v>46189</v>
      </c>
      <c r="AA2215" s="9">
        <v>46189</v>
      </c>
      <c r="AB2215">
        <v>17</v>
      </c>
    </row>
    <row r="2216" spans="1:28" ht="13.95" customHeight="1" x14ac:dyDescent="0.65">
      <c r="A2216">
        <v>2209</v>
      </c>
      <c r="B2216" t="s">
        <v>29</v>
      </c>
      <c r="C2216" s="6">
        <v>1511641.1310000001</v>
      </c>
      <c r="D2216" s="6">
        <v>694107.67299999995</v>
      </c>
      <c r="E2216" s="2" t="s">
        <v>35</v>
      </c>
      <c r="F2216" s="1">
        <v>24</v>
      </c>
      <c r="G2216" s="2" t="s">
        <v>50</v>
      </c>
      <c r="J2216">
        <v>1</v>
      </c>
      <c r="K2216" s="19"/>
      <c r="L2216" s="21">
        <v>0.49652777777777773</v>
      </c>
      <c r="M2216" s="27" t="s">
        <v>32</v>
      </c>
      <c r="N2216" s="19"/>
      <c r="O2216" s="21">
        <v>0.55486111111111114</v>
      </c>
      <c r="Q2216" s="7">
        <f>Table2[[#This Row],[Elevation
PILE TOP]]-Table2[[#This Row],[LENGTH(m.)
(Actual)]]</f>
        <v>-24</v>
      </c>
      <c r="R2216" s="2">
        <v>24</v>
      </c>
      <c r="S2216" s="7">
        <f>Table2[[#This Row],[N]]+Table2[[#This Row],[Pile 
Deviation 
N (m)]]</f>
        <v>1511641.1310000001</v>
      </c>
      <c r="T2216" s="7">
        <f>Table2[[#This Row],[E]]+Table2[[#This Row],[Pile 
Deviation 
E (m)]]</f>
        <v>694107.65299999993</v>
      </c>
      <c r="U2216" s="7">
        <v>0</v>
      </c>
      <c r="V2216" s="7">
        <v>-0.02</v>
      </c>
      <c r="W2216" s="7">
        <v>0.24</v>
      </c>
      <c r="X2216" s="2" t="s">
        <v>51</v>
      </c>
      <c r="Y2216" t="s">
        <v>63</v>
      </c>
      <c r="Z2216" s="9">
        <v>46187</v>
      </c>
      <c r="AA2216" s="9">
        <v>46187</v>
      </c>
      <c r="AB2216">
        <v>9</v>
      </c>
    </row>
    <row r="2217" spans="1:28" x14ac:dyDescent="0.65">
      <c r="A2217">
        <v>2210</v>
      </c>
      <c r="B2217" t="s">
        <v>29</v>
      </c>
      <c r="C2217" s="6">
        <v>1511639.9040000001</v>
      </c>
      <c r="D2217" s="6">
        <v>694110.951</v>
      </c>
      <c r="E2217" s="2" t="s">
        <v>35</v>
      </c>
      <c r="F2217" s="1">
        <v>24</v>
      </c>
      <c r="G2217" s="2" t="s">
        <v>50</v>
      </c>
      <c r="J2217">
        <v>1</v>
      </c>
      <c r="K2217" s="19"/>
      <c r="L2217" s="21">
        <v>0.54861111111111105</v>
      </c>
      <c r="M2217" s="27" t="s">
        <v>32</v>
      </c>
      <c r="N2217" s="19"/>
      <c r="O2217" s="21">
        <v>0.60763888888888895</v>
      </c>
      <c r="Q2217" s="7">
        <f>Table2[[#This Row],[Elevation
PILE TOP]]-Table2[[#This Row],[LENGTH(m.)
(Actual)]]</f>
        <v>-24</v>
      </c>
      <c r="R2217" s="2">
        <v>24</v>
      </c>
      <c r="S2217" s="7">
        <f>Table2[[#This Row],[N]]+Table2[[#This Row],[Pile 
Deviation 
N (m)]]</f>
        <v>1511639.8940000001</v>
      </c>
      <c r="T2217" s="7">
        <f>Table2[[#This Row],[E]]+Table2[[#This Row],[Pile 
Deviation 
E (m)]]</f>
        <v>694110.91099999996</v>
      </c>
      <c r="U2217" s="7">
        <v>-0.01</v>
      </c>
      <c r="V2217" s="7">
        <v>-0.04</v>
      </c>
      <c r="W2217" s="7">
        <v>0.24</v>
      </c>
      <c r="X2217" s="2" t="s">
        <v>51</v>
      </c>
      <c r="Y2217" t="s">
        <v>63</v>
      </c>
      <c r="Z2217" s="9">
        <v>46187</v>
      </c>
      <c r="AA2217" s="9">
        <v>46187</v>
      </c>
      <c r="AB2217">
        <v>10</v>
      </c>
    </row>
    <row r="2218" spans="1:28" ht="13.95" customHeight="1" x14ac:dyDescent="0.65">
      <c r="A2218">
        <v>2211</v>
      </c>
      <c r="B2218" t="s">
        <v>29</v>
      </c>
      <c r="C2218" s="6">
        <v>1511638.6769999999</v>
      </c>
      <c r="D2218" s="6">
        <v>694114.22900000005</v>
      </c>
      <c r="E2218" s="2" t="s">
        <v>35</v>
      </c>
      <c r="F2218" s="1">
        <v>24</v>
      </c>
      <c r="G2218" s="2" t="s">
        <v>50</v>
      </c>
      <c r="J2218">
        <v>1</v>
      </c>
      <c r="K2218" s="19"/>
      <c r="L2218" s="21"/>
      <c r="M2218" s="27" t="s">
        <v>32</v>
      </c>
      <c r="N2218" s="19"/>
      <c r="O2218" s="21"/>
      <c r="Q2218" s="7">
        <f>Table2[[#This Row],[Elevation
PILE TOP]]-Table2[[#This Row],[LENGTH(m.)
(Actual)]]</f>
        <v>-24</v>
      </c>
      <c r="R2218" s="2">
        <v>24</v>
      </c>
      <c r="S2218" s="7">
        <f>Table2[[#This Row],[N]]+Table2[[#This Row],[Pile 
Deviation 
N (m)]]</f>
        <v>1511638.6569999999</v>
      </c>
      <c r="T2218" s="7">
        <f>Table2[[#This Row],[E]]+Table2[[#This Row],[Pile 
Deviation 
E (m)]]</f>
        <v>694114.26900000009</v>
      </c>
      <c r="U2218" s="7">
        <v>-0.02</v>
      </c>
      <c r="V2218" s="7">
        <v>0.04</v>
      </c>
      <c r="W2218" s="7">
        <v>0.24</v>
      </c>
      <c r="X2218" s="2" t="s">
        <v>51</v>
      </c>
      <c r="Y2218" t="s">
        <v>63</v>
      </c>
      <c r="Z2218" s="9">
        <v>46189</v>
      </c>
      <c r="AA2218" s="9">
        <v>46189</v>
      </c>
      <c r="AB2218">
        <v>16</v>
      </c>
    </row>
    <row r="2219" spans="1:28" hidden="1" x14ac:dyDescent="0.65">
      <c r="A2219">
        <v>2212</v>
      </c>
      <c r="B2219" t="s">
        <v>29</v>
      </c>
      <c r="C2219" s="6">
        <v>1511774.7009999999</v>
      </c>
      <c r="D2219" s="6">
        <v>693823.37100000004</v>
      </c>
      <c r="E2219" s="2" t="s">
        <v>66</v>
      </c>
      <c r="F2219" s="1">
        <v>24</v>
      </c>
      <c r="G2219" s="2" t="s">
        <v>50</v>
      </c>
      <c r="J2219"/>
      <c r="K2219" s="19"/>
      <c r="L2219" s="21"/>
      <c r="M2219" s="27"/>
      <c r="N2219" s="19"/>
      <c r="O2219" s="21"/>
      <c r="P2219" s="7">
        <v>0.24</v>
      </c>
      <c r="Q2219" s="7">
        <f>Table2[[#This Row],[Elevation
PILE TOP]]-Table2[[#This Row],[LENGTH(m.)
(Actual)]]</f>
        <v>0.24</v>
      </c>
      <c r="R2219" s="2"/>
      <c r="S2219" s="7">
        <f>Table2[[#This Row],[N]]+Table2[[#This Row],[Pile 
Deviation 
N (m)]]</f>
        <v>1511774.7009999999</v>
      </c>
      <c r="T2219" s="7">
        <f>Table2[[#This Row],[E]]+Table2[[#This Row],[Pile 
Deviation 
E (m)]]</f>
        <v>693823.37100000004</v>
      </c>
      <c r="W2219" s="7">
        <v>0.24</v>
      </c>
      <c r="X2219" s="2" t="s">
        <v>67</v>
      </c>
      <c r="AA2219" s="9">
        <v>46221</v>
      </c>
    </row>
    <row r="2220" spans="1:28" ht="13.95" hidden="1" customHeight="1" x14ac:dyDescent="0.65">
      <c r="A2220">
        <v>2213</v>
      </c>
      <c r="B2220" t="s">
        <v>29</v>
      </c>
      <c r="C2220" s="6">
        <v>1511773.7779999999</v>
      </c>
      <c r="D2220" s="6">
        <v>693826.98400000005</v>
      </c>
      <c r="E2220" s="2" t="s">
        <v>66</v>
      </c>
      <c r="F2220" s="1">
        <v>24</v>
      </c>
      <c r="G2220" s="2" t="s">
        <v>50</v>
      </c>
      <c r="J2220"/>
      <c r="K2220" s="19"/>
      <c r="L2220" s="21"/>
      <c r="M2220" s="27"/>
      <c r="N2220" s="19"/>
      <c r="O2220" s="21"/>
      <c r="P2220" s="7">
        <v>0.24</v>
      </c>
      <c r="Q2220" s="7">
        <f>Table2[[#This Row],[Elevation
PILE TOP]]-Table2[[#This Row],[LENGTH(m.)
(Actual)]]</f>
        <v>0.24</v>
      </c>
      <c r="R2220" s="2"/>
      <c r="S2220" s="7">
        <f>Table2[[#This Row],[N]]+Table2[[#This Row],[Pile 
Deviation 
N (m)]]</f>
        <v>1511773.7779999999</v>
      </c>
      <c r="T2220" s="7">
        <f>Table2[[#This Row],[E]]+Table2[[#This Row],[Pile 
Deviation 
E (m)]]</f>
        <v>693826.98400000005</v>
      </c>
      <c r="W2220" s="7">
        <v>0.24</v>
      </c>
      <c r="X2220" s="2" t="s">
        <v>67</v>
      </c>
      <c r="AA2220" s="9">
        <v>46221</v>
      </c>
    </row>
    <row r="2221" spans="1:28" hidden="1" x14ac:dyDescent="0.65">
      <c r="A2221">
        <v>2214</v>
      </c>
      <c r="B2221" t="s">
        <v>29</v>
      </c>
      <c r="C2221" s="6">
        <v>1511772.9110000001</v>
      </c>
      <c r="D2221" s="6">
        <v>693830.375</v>
      </c>
      <c r="E2221" s="2" t="s">
        <v>66</v>
      </c>
      <c r="F2221" s="1">
        <v>24</v>
      </c>
      <c r="G2221" s="2" t="s">
        <v>50</v>
      </c>
      <c r="J2221"/>
      <c r="K2221" s="19"/>
      <c r="L2221" s="21"/>
      <c r="M2221" s="27"/>
      <c r="N2221" s="19"/>
      <c r="O2221" s="21"/>
      <c r="P2221" s="7">
        <v>0.24</v>
      </c>
      <c r="Q2221" s="7">
        <f>Table2[[#This Row],[Elevation
PILE TOP]]-Table2[[#This Row],[LENGTH(m.)
(Actual)]]</f>
        <v>0.24</v>
      </c>
      <c r="R2221" s="2"/>
      <c r="S2221" s="7">
        <f>Table2[[#This Row],[N]]+Table2[[#This Row],[Pile 
Deviation 
N (m)]]</f>
        <v>1511772.9110000001</v>
      </c>
      <c r="T2221" s="7">
        <f>Table2[[#This Row],[E]]+Table2[[#This Row],[Pile 
Deviation 
E (m)]]</f>
        <v>693830.375</v>
      </c>
      <c r="W2221" s="7">
        <v>0.24</v>
      </c>
      <c r="X2221" s="2" t="s">
        <v>67</v>
      </c>
      <c r="AA2221" s="9">
        <v>46221</v>
      </c>
    </row>
    <row r="2222" spans="1:28" ht="13.95" hidden="1" customHeight="1" x14ac:dyDescent="0.65">
      <c r="A2222">
        <v>2215</v>
      </c>
      <c r="B2222" t="s">
        <v>29</v>
      </c>
      <c r="C2222" s="6">
        <v>1511772.0449999999</v>
      </c>
      <c r="D2222" s="6">
        <v>693833.76699999999</v>
      </c>
      <c r="E2222" s="2" t="s">
        <v>66</v>
      </c>
      <c r="F2222" s="1">
        <v>24</v>
      </c>
      <c r="G2222" s="2" t="s">
        <v>50</v>
      </c>
      <c r="J2222"/>
      <c r="K2222" s="19"/>
      <c r="L2222" s="21"/>
      <c r="M2222" s="27"/>
      <c r="N2222" s="19"/>
      <c r="O2222" s="21"/>
      <c r="P2222" s="7">
        <v>0.24</v>
      </c>
      <c r="Q2222" s="7">
        <f>Table2[[#This Row],[Elevation
PILE TOP]]-Table2[[#This Row],[LENGTH(m.)
(Actual)]]</f>
        <v>0.24</v>
      </c>
      <c r="R2222" s="2"/>
      <c r="S2222" s="7">
        <f>Table2[[#This Row],[N]]+Table2[[#This Row],[Pile 
Deviation 
N (m)]]</f>
        <v>1511772.0449999999</v>
      </c>
      <c r="T2222" s="7">
        <f>Table2[[#This Row],[E]]+Table2[[#This Row],[Pile 
Deviation 
E (m)]]</f>
        <v>693833.76699999999</v>
      </c>
      <c r="W2222" s="7">
        <v>0.24</v>
      </c>
      <c r="X2222" s="2" t="s">
        <v>67</v>
      </c>
      <c r="AA2222" s="9">
        <v>46223</v>
      </c>
    </row>
    <row r="2223" spans="1:28" hidden="1" x14ac:dyDescent="0.65">
      <c r="A2223">
        <v>2216</v>
      </c>
      <c r="B2223" t="s">
        <v>29</v>
      </c>
      <c r="C2223" s="6">
        <v>1511771.179</v>
      </c>
      <c r="D2223" s="6">
        <v>693837.15800000005</v>
      </c>
      <c r="E2223" s="2" t="s">
        <v>66</v>
      </c>
      <c r="F2223" s="1">
        <v>24</v>
      </c>
      <c r="G2223" s="2" t="s">
        <v>50</v>
      </c>
      <c r="J2223"/>
      <c r="K2223" s="19"/>
      <c r="L2223" s="21"/>
      <c r="M2223" s="27"/>
      <c r="N2223" s="19"/>
      <c r="O2223" s="21"/>
      <c r="P2223" s="7">
        <v>0.24</v>
      </c>
      <c r="Q2223" s="7">
        <f>Table2[[#This Row],[Elevation
PILE TOP]]-Table2[[#This Row],[LENGTH(m.)
(Actual)]]</f>
        <v>0.24</v>
      </c>
      <c r="R2223" s="2"/>
      <c r="S2223" s="7">
        <f>Table2[[#This Row],[N]]+Table2[[#This Row],[Pile 
Deviation 
N (m)]]</f>
        <v>1511771.179</v>
      </c>
      <c r="T2223" s="7">
        <f>Table2[[#This Row],[E]]+Table2[[#This Row],[Pile 
Deviation 
E (m)]]</f>
        <v>693837.15800000005</v>
      </c>
      <c r="W2223" s="7">
        <v>0.24</v>
      </c>
      <c r="X2223" s="2" t="s">
        <v>67</v>
      </c>
      <c r="AA2223" s="9">
        <v>46223</v>
      </c>
    </row>
    <row r="2224" spans="1:28" ht="13.95" hidden="1" customHeight="1" x14ac:dyDescent="0.65">
      <c r="A2224">
        <v>2217</v>
      </c>
      <c r="B2224" t="s">
        <v>29</v>
      </c>
      <c r="C2224" s="6">
        <v>1511770.9180000001</v>
      </c>
      <c r="D2224" s="6">
        <v>693822.071</v>
      </c>
      <c r="E2224" s="2" t="s">
        <v>66</v>
      </c>
      <c r="F2224" s="1">
        <v>24</v>
      </c>
      <c r="G2224" s="2" t="s">
        <v>50</v>
      </c>
      <c r="J2224"/>
      <c r="K2224" s="19"/>
      <c r="L2224" s="21"/>
      <c r="M2224" s="27"/>
      <c r="N2224" s="19"/>
      <c r="O2224" s="21"/>
      <c r="P2224" s="7">
        <v>0.24</v>
      </c>
      <c r="Q2224" s="7">
        <f>Table2[[#This Row],[Elevation
PILE TOP]]-Table2[[#This Row],[LENGTH(m.)
(Actual)]]</f>
        <v>0.24</v>
      </c>
      <c r="R2224" s="2"/>
      <c r="S2224" s="7">
        <f>Table2[[#This Row],[N]]+Table2[[#This Row],[Pile 
Deviation 
N (m)]]</f>
        <v>1511770.9180000001</v>
      </c>
      <c r="T2224" s="7">
        <f>Table2[[#This Row],[E]]+Table2[[#This Row],[Pile 
Deviation 
E (m)]]</f>
        <v>693822.071</v>
      </c>
      <c r="W2224" s="7">
        <v>0.24</v>
      </c>
      <c r="X2224" s="2" t="s">
        <v>68</v>
      </c>
      <c r="AA2224" s="9">
        <v>46220</v>
      </c>
    </row>
    <row r="2225" spans="1:27" hidden="1" x14ac:dyDescent="0.65">
      <c r="A2225">
        <v>2218</v>
      </c>
      <c r="B2225" t="s">
        <v>29</v>
      </c>
      <c r="C2225" s="6">
        <v>1511770.3119999999</v>
      </c>
      <c r="D2225" s="6">
        <v>693840.549</v>
      </c>
      <c r="E2225" s="2" t="s">
        <v>66</v>
      </c>
      <c r="F2225" s="1">
        <v>24</v>
      </c>
      <c r="G2225" s="2" t="s">
        <v>50</v>
      </c>
      <c r="J2225"/>
      <c r="K2225" s="19"/>
      <c r="L2225" s="21"/>
      <c r="M2225" s="27"/>
      <c r="N2225" s="19"/>
      <c r="O2225" s="21"/>
      <c r="P2225" s="7">
        <v>0.24</v>
      </c>
      <c r="Q2225" s="7">
        <f>Table2[[#This Row],[Elevation
PILE TOP]]-Table2[[#This Row],[LENGTH(m.)
(Actual)]]</f>
        <v>0.24</v>
      </c>
      <c r="R2225" s="2"/>
      <c r="S2225" s="7">
        <f>Table2[[#This Row],[N]]+Table2[[#This Row],[Pile 
Deviation 
N (m)]]</f>
        <v>1511770.3119999999</v>
      </c>
      <c r="T2225" s="7">
        <f>Table2[[#This Row],[E]]+Table2[[#This Row],[Pile 
Deviation 
E (m)]]</f>
        <v>693840.549</v>
      </c>
      <c r="W2225" s="7">
        <v>0.24</v>
      </c>
      <c r="X2225" s="2" t="s">
        <v>67</v>
      </c>
      <c r="AA2225" s="9">
        <v>46223</v>
      </c>
    </row>
    <row r="2226" spans="1:27" ht="13.95" hidden="1" customHeight="1" x14ac:dyDescent="0.65">
      <c r="A2226">
        <v>2219</v>
      </c>
      <c r="B2226" t="s">
        <v>29</v>
      </c>
      <c r="C2226" s="6">
        <v>1511770.105</v>
      </c>
      <c r="D2226" s="6">
        <v>693824.43500000006</v>
      </c>
      <c r="E2226" s="2" t="s">
        <v>66</v>
      </c>
      <c r="F2226" s="1">
        <v>24</v>
      </c>
      <c r="G2226" s="2" t="s">
        <v>50</v>
      </c>
      <c r="J2226"/>
      <c r="K2226" s="19"/>
      <c r="L2226" s="21"/>
      <c r="M2226" s="27"/>
      <c r="N2226" s="19"/>
      <c r="O2226" s="21"/>
      <c r="P2226" s="7">
        <v>0.24</v>
      </c>
      <c r="Q2226" s="7">
        <f>Table2[[#This Row],[Elevation
PILE TOP]]-Table2[[#This Row],[LENGTH(m.)
(Actual)]]</f>
        <v>0.24</v>
      </c>
      <c r="R2226" s="2"/>
      <c r="S2226" s="7">
        <f>Table2[[#This Row],[N]]+Table2[[#This Row],[Pile 
Deviation 
N (m)]]</f>
        <v>1511770.105</v>
      </c>
      <c r="T2226" s="7">
        <f>Table2[[#This Row],[E]]+Table2[[#This Row],[Pile 
Deviation 
E (m)]]</f>
        <v>693824.43500000006</v>
      </c>
      <c r="W2226" s="7">
        <v>0.24</v>
      </c>
      <c r="X2226" s="2" t="s">
        <v>68</v>
      </c>
      <c r="AA2226" s="9">
        <v>46220</v>
      </c>
    </row>
    <row r="2227" spans="1:27" hidden="1" x14ac:dyDescent="0.65">
      <c r="A2227">
        <v>2220</v>
      </c>
      <c r="B2227" t="s">
        <v>29</v>
      </c>
      <c r="C2227" s="6">
        <v>1511769.446</v>
      </c>
      <c r="D2227" s="6">
        <v>693843.94</v>
      </c>
      <c r="E2227" s="2" t="s">
        <v>66</v>
      </c>
      <c r="F2227" s="1">
        <v>24</v>
      </c>
      <c r="G2227" s="2" t="s">
        <v>50</v>
      </c>
      <c r="J2227"/>
      <c r="K2227" s="19"/>
      <c r="L2227" s="21"/>
      <c r="M2227" s="27"/>
      <c r="N2227" s="19"/>
      <c r="O2227" s="21"/>
      <c r="P2227" s="7">
        <v>0.24</v>
      </c>
      <c r="Q2227" s="7">
        <f>Table2[[#This Row],[Elevation
PILE TOP]]-Table2[[#This Row],[LENGTH(m.)
(Actual)]]</f>
        <v>0.24</v>
      </c>
      <c r="R2227" s="2"/>
      <c r="S2227" s="7">
        <f>Table2[[#This Row],[N]]+Table2[[#This Row],[Pile 
Deviation 
N (m)]]</f>
        <v>1511769.446</v>
      </c>
      <c r="T2227" s="7">
        <f>Table2[[#This Row],[E]]+Table2[[#This Row],[Pile 
Deviation 
E (m)]]</f>
        <v>693843.94</v>
      </c>
      <c r="W2227" s="7">
        <v>0.24</v>
      </c>
      <c r="X2227" s="2" t="s">
        <v>67</v>
      </c>
      <c r="AA2227" s="9">
        <v>46223</v>
      </c>
    </row>
    <row r="2228" spans="1:27" ht="13.95" hidden="1" customHeight="1" x14ac:dyDescent="0.65">
      <c r="A2228">
        <v>2221</v>
      </c>
      <c r="B2228" t="s">
        <v>29</v>
      </c>
      <c r="C2228" s="6">
        <v>1511768.58</v>
      </c>
      <c r="D2228" s="6">
        <v>693847.33100000001</v>
      </c>
      <c r="E2228" s="2" t="s">
        <v>66</v>
      </c>
      <c r="F2228" s="1">
        <v>24</v>
      </c>
      <c r="G2228" s="2" t="s">
        <v>50</v>
      </c>
      <c r="J2228"/>
      <c r="K2228" s="19"/>
      <c r="L2228" s="21"/>
      <c r="M2228" s="27"/>
      <c r="N2228" s="19"/>
      <c r="O2228" s="21"/>
      <c r="P2228" s="7">
        <v>0.24</v>
      </c>
      <c r="Q2228" s="7">
        <f>Table2[[#This Row],[Elevation
PILE TOP]]-Table2[[#This Row],[LENGTH(m.)
(Actual)]]</f>
        <v>0.24</v>
      </c>
      <c r="R2228" s="2"/>
      <c r="S2228" s="7">
        <f>Table2[[#This Row],[N]]+Table2[[#This Row],[Pile 
Deviation 
N (m)]]</f>
        <v>1511768.58</v>
      </c>
      <c r="T2228" s="7">
        <f>Table2[[#This Row],[E]]+Table2[[#This Row],[Pile 
Deviation 
E (m)]]</f>
        <v>693847.33100000001</v>
      </c>
      <c r="W2228" s="7">
        <v>0.24</v>
      </c>
      <c r="X2228" s="2" t="s">
        <v>67</v>
      </c>
      <c r="AA2228" s="9">
        <v>46224</v>
      </c>
    </row>
    <row r="2229" spans="1:27" hidden="1" x14ac:dyDescent="0.65">
      <c r="A2229">
        <v>2222</v>
      </c>
      <c r="B2229" t="s">
        <v>29</v>
      </c>
      <c r="C2229" s="6">
        <v>1511767.713</v>
      </c>
      <c r="D2229" s="6">
        <v>693850.72199999995</v>
      </c>
      <c r="E2229" s="2" t="s">
        <v>66</v>
      </c>
      <c r="F2229" s="1">
        <v>24</v>
      </c>
      <c r="G2229" s="2" t="s">
        <v>50</v>
      </c>
      <c r="J2229"/>
      <c r="K2229" s="19"/>
      <c r="L2229" s="21"/>
      <c r="M2229" s="27"/>
      <c r="N2229" s="19"/>
      <c r="O2229" s="21"/>
      <c r="P2229" s="7">
        <v>0.24</v>
      </c>
      <c r="Q2229" s="7">
        <f>Table2[[#This Row],[Elevation
PILE TOP]]-Table2[[#This Row],[LENGTH(m.)
(Actual)]]</f>
        <v>0.24</v>
      </c>
      <c r="R2229" s="2"/>
      <c r="S2229" s="7">
        <f>Table2[[#This Row],[N]]+Table2[[#This Row],[Pile 
Deviation 
N (m)]]</f>
        <v>1511767.713</v>
      </c>
      <c r="T2229" s="7">
        <f>Table2[[#This Row],[E]]+Table2[[#This Row],[Pile 
Deviation 
E (m)]]</f>
        <v>693850.72199999995</v>
      </c>
      <c r="W2229" s="7">
        <v>0.24</v>
      </c>
      <c r="X2229" s="2" t="s">
        <v>67</v>
      </c>
      <c r="AA2229" s="9">
        <v>46224</v>
      </c>
    </row>
    <row r="2230" spans="1:27" ht="13.95" hidden="1" customHeight="1" x14ac:dyDescent="0.65">
      <c r="A2230">
        <v>2223</v>
      </c>
      <c r="B2230" t="s">
        <v>29</v>
      </c>
      <c r="C2230" s="6">
        <v>1511767.608</v>
      </c>
      <c r="D2230" s="6">
        <v>693820.93299999996</v>
      </c>
      <c r="E2230" s="2" t="s">
        <v>66</v>
      </c>
      <c r="F2230" s="1">
        <v>24</v>
      </c>
      <c r="G2230" s="2" t="s">
        <v>50</v>
      </c>
      <c r="J2230"/>
      <c r="K2230" s="19"/>
      <c r="L2230" s="21"/>
      <c r="M2230" s="27"/>
      <c r="N2230" s="19"/>
      <c r="O2230" s="21"/>
      <c r="P2230" s="7">
        <v>0.24</v>
      </c>
      <c r="Q2230" s="7">
        <f>Table2[[#This Row],[Elevation
PILE TOP]]-Table2[[#This Row],[LENGTH(m.)
(Actual)]]</f>
        <v>0.24</v>
      </c>
      <c r="R2230" s="2"/>
      <c r="S2230" s="7">
        <f>Table2[[#This Row],[N]]+Table2[[#This Row],[Pile 
Deviation 
N (m)]]</f>
        <v>1511767.608</v>
      </c>
      <c r="T2230" s="7">
        <f>Table2[[#This Row],[E]]+Table2[[#This Row],[Pile 
Deviation 
E (m)]]</f>
        <v>693820.93299999996</v>
      </c>
      <c r="W2230" s="7">
        <v>0.24</v>
      </c>
      <c r="X2230" s="2" t="s">
        <v>68</v>
      </c>
      <c r="AA2230" s="9">
        <v>46220</v>
      </c>
    </row>
    <row r="2231" spans="1:27" hidden="1" x14ac:dyDescent="0.65">
      <c r="A2231">
        <v>2224</v>
      </c>
      <c r="B2231" t="s">
        <v>29</v>
      </c>
      <c r="C2231" s="6">
        <v>1511766.8470000001</v>
      </c>
      <c r="D2231" s="6">
        <v>693854.11300000001</v>
      </c>
      <c r="E2231" s="2" t="s">
        <v>66</v>
      </c>
      <c r="F2231" s="1">
        <v>24</v>
      </c>
      <c r="G2231" s="2" t="s">
        <v>50</v>
      </c>
      <c r="J2231"/>
      <c r="K2231" s="19"/>
      <c r="L2231" s="21"/>
      <c r="M2231" s="27"/>
      <c r="N2231" s="19"/>
      <c r="O2231" s="21"/>
      <c r="P2231" s="7">
        <v>0.24</v>
      </c>
      <c r="Q2231" s="7">
        <f>Table2[[#This Row],[Elevation
PILE TOP]]-Table2[[#This Row],[LENGTH(m.)
(Actual)]]</f>
        <v>0.24</v>
      </c>
      <c r="R2231" s="2"/>
      <c r="S2231" s="7">
        <f>Table2[[#This Row],[N]]+Table2[[#This Row],[Pile 
Deviation 
N (m)]]</f>
        <v>1511766.8470000001</v>
      </c>
      <c r="T2231" s="7">
        <f>Table2[[#This Row],[E]]+Table2[[#This Row],[Pile 
Deviation 
E (m)]]</f>
        <v>693854.11300000001</v>
      </c>
      <c r="W2231" s="7">
        <v>0.24</v>
      </c>
      <c r="X2231" s="2" t="s">
        <v>67</v>
      </c>
      <c r="AA2231" s="9">
        <v>46224</v>
      </c>
    </row>
    <row r="2232" spans="1:27" ht="13.95" hidden="1" customHeight="1" x14ac:dyDescent="0.65">
      <c r="A2232">
        <v>2225</v>
      </c>
      <c r="B2232" t="s">
        <v>29</v>
      </c>
      <c r="C2232" s="6">
        <v>1511765.9809999999</v>
      </c>
      <c r="D2232" s="6">
        <v>693857.50399999996</v>
      </c>
      <c r="E2232" s="2" t="s">
        <v>66</v>
      </c>
      <c r="F2232" s="1">
        <v>24</v>
      </c>
      <c r="G2232" s="2" t="s">
        <v>50</v>
      </c>
      <c r="J2232"/>
      <c r="K2232" s="19"/>
      <c r="L2232" s="21"/>
      <c r="M2232" s="27"/>
      <c r="N2232" s="19"/>
      <c r="O2232" s="21"/>
      <c r="P2232" s="7">
        <v>0.24</v>
      </c>
      <c r="Q2232" s="7">
        <f>Table2[[#This Row],[Elevation
PILE TOP]]-Table2[[#This Row],[LENGTH(m.)
(Actual)]]</f>
        <v>0.24</v>
      </c>
      <c r="R2232" s="2"/>
      <c r="S2232" s="7">
        <f>Table2[[#This Row],[N]]+Table2[[#This Row],[Pile 
Deviation 
N (m)]]</f>
        <v>1511765.9809999999</v>
      </c>
      <c r="T2232" s="7">
        <f>Table2[[#This Row],[E]]+Table2[[#This Row],[Pile 
Deviation 
E (m)]]</f>
        <v>693857.50399999996</v>
      </c>
      <c r="W2232" s="7">
        <v>0.24</v>
      </c>
      <c r="X2232" s="2" t="s">
        <v>67</v>
      </c>
      <c r="AA2232" s="9">
        <v>46224</v>
      </c>
    </row>
    <row r="2233" spans="1:27" hidden="1" x14ac:dyDescent="0.65">
      <c r="A2233">
        <v>2226</v>
      </c>
      <c r="B2233" t="s">
        <v>29</v>
      </c>
      <c r="C2233" s="6">
        <v>1511765.1140000001</v>
      </c>
      <c r="D2233" s="6">
        <v>693860.89500000002</v>
      </c>
      <c r="E2233" s="2" t="s">
        <v>66</v>
      </c>
      <c r="F2233" s="1">
        <v>24</v>
      </c>
      <c r="G2233" s="2" t="s">
        <v>50</v>
      </c>
      <c r="J2233"/>
      <c r="K2233" s="19"/>
      <c r="L2233" s="21"/>
      <c r="M2233" s="27"/>
      <c r="N2233" s="19"/>
      <c r="O2233" s="21"/>
      <c r="P2233" s="7">
        <v>0.24</v>
      </c>
      <c r="Q2233" s="7">
        <f>Table2[[#This Row],[Elevation
PILE TOP]]-Table2[[#This Row],[LENGTH(m.)
(Actual)]]</f>
        <v>0.24</v>
      </c>
      <c r="R2233" s="2"/>
      <c r="S2233" s="7">
        <f>Table2[[#This Row],[N]]+Table2[[#This Row],[Pile 
Deviation 
N (m)]]</f>
        <v>1511765.1140000001</v>
      </c>
      <c r="T2233" s="7">
        <f>Table2[[#This Row],[E]]+Table2[[#This Row],[Pile 
Deviation 
E (m)]]</f>
        <v>693860.89500000002</v>
      </c>
      <c r="W2233" s="7">
        <v>0.24</v>
      </c>
      <c r="X2233" s="2" t="s">
        <v>67</v>
      </c>
      <c r="AA2233" s="9">
        <v>46225</v>
      </c>
    </row>
    <row r="2234" spans="1:27" ht="13.95" hidden="1" customHeight="1" x14ac:dyDescent="0.65">
      <c r="A2234">
        <v>2227</v>
      </c>
      <c r="B2234" t="s">
        <v>29</v>
      </c>
      <c r="C2234" s="6">
        <v>1511764.298</v>
      </c>
      <c r="D2234" s="6">
        <v>693819.79599999997</v>
      </c>
      <c r="E2234" s="2" t="s">
        <v>66</v>
      </c>
      <c r="F2234" s="1">
        <v>24</v>
      </c>
      <c r="G2234" s="2" t="s">
        <v>50</v>
      </c>
      <c r="J2234"/>
      <c r="K2234" s="19"/>
      <c r="L2234" s="21"/>
      <c r="M2234" s="27"/>
      <c r="N2234" s="19"/>
      <c r="O2234" s="21"/>
      <c r="P2234" s="7">
        <v>0.24</v>
      </c>
      <c r="Q2234" s="7">
        <f>Table2[[#This Row],[Elevation
PILE TOP]]-Table2[[#This Row],[LENGTH(m.)
(Actual)]]</f>
        <v>0.24</v>
      </c>
      <c r="R2234" s="2"/>
      <c r="S2234" s="7">
        <f>Table2[[#This Row],[N]]+Table2[[#This Row],[Pile 
Deviation 
N (m)]]</f>
        <v>1511764.298</v>
      </c>
      <c r="T2234" s="7">
        <f>Table2[[#This Row],[E]]+Table2[[#This Row],[Pile 
Deviation 
E (m)]]</f>
        <v>693819.79599999997</v>
      </c>
      <c r="W2234" s="7">
        <v>0.24</v>
      </c>
      <c r="X2234" s="2" t="s">
        <v>68</v>
      </c>
      <c r="AA2234" s="9">
        <v>46220</v>
      </c>
    </row>
    <row r="2235" spans="1:27" hidden="1" x14ac:dyDescent="0.65">
      <c r="A2235">
        <v>2228</v>
      </c>
      <c r="B2235" t="s">
        <v>29</v>
      </c>
      <c r="C2235" s="6">
        <v>1511764.2479999999</v>
      </c>
      <c r="D2235" s="6">
        <v>693864.28599999996</v>
      </c>
      <c r="E2235" s="2" t="s">
        <v>66</v>
      </c>
      <c r="F2235" s="1">
        <v>24</v>
      </c>
      <c r="G2235" s="2" t="s">
        <v>50</v>
      </c>
      <c r="J2235"/>
      <c r="K2235" s="19"/>
      <c r="L2235" s="21"/>
      <c r="M2235" s="27"/>
      <c r="N2235" s="19"/>
      <c r="O2235" s="21"/>
      <c r="P2235" s="7">
        <v>0.24</v>
      </c>
      <c r="Q2235" s="7">
        <f>Table2[[#This Row],[Elevation
PILE TOP]]-Table2[[#This Row],[LENGTH(m.)
(Actual)]]</f>
        <v>0.24</v>
      </c>
      <c r="R2235" s="2"/>
      <c r="S2235" s="7">
        <f>Table2[[#This Row],[N]]+Table2[[#This Row],[Pile 
Deviation 
N (m)]]</f>
        <v>1511764.2479999999</v>
      </c>
      <c r="T2235" s="7">
        <f>Table2[[#This Row],[E]]+Table2[[#This Row],[Pile 
Deviation 
E (m)]]</f>
        <v>693864.28599999996</v>
      </c>
      <c r="W2235" s="7">
        <v>0.24</v>
      </c>
      <c r="X2235" s="2" t="s">
        <v>67</v>
      </c>
      <c r="AA2235" s="9">
        <v>46225</v>
      </c>
    </row>
    <row r="2236" spans="1:27" ht="13.95" hidden="1" customHeight="1" x14ac:dyDescent="0.65">
      <c r="A2236">
        <v>2229</v>
      </c>
      <c r="B2236" t="s">
        <v>29</v>
      </c>
      <c r="C2236" s="6">
        <v>1511763.4850000001</v>
      </c>
      <c r="D2236" s="6">
        <v>693822.16</v>
      </c>
      <c r="E2236" s="2" t="s">
        <v>66</v>
      </c>
      <c r="F2236" s="1">
        <v>24</v>
      </c>
      <c r="G2236" s="2" t="s">
        <v>50</v>
      </c>
      <c r="J2236"/>
      <c r="K2236" s="19"/>
      <c r="L2236" s="21"/>
      <c r="M2236" s="27"/>
      <c r="N2236" s="19"/>
      <c r="O2236" s="21"/>
      <c r="P2236" s="7">
        <v>0.24</v>
      </c>
      <c r="Q2236" s="7">
        <f>Table2[[#This Row],[Elevation
PILE TOP]]-Table2[[#This Row],[LENGTH(m.)
(Actual)]]</f>
        <v>0.24</v>
      </c>
      <c r="R2236" s="2"/>
      <c r="S2236" s="7">
        <f>Table2[[#This Row],[N]]+Table2[[#This Row],[Pile 
Deviation 
N (m)]]</f>
        <v>1511763.4850000001</v>
      </c>
      <c r="T2236" s="7">
        <f>Table2[[#This Row],[E]]+Table2[[#This Row],[Pile 
Deviation 
E (m)]]</f>
        <v>693822.16</v>
      </c>
      <c r="W2236" s="7">
        <v>0.24</v>
      </c>
      <c r="X2236" s="2" t="s">
        <v>68</v>
      </c>
      <c r="AA2236" s="9">
        <v>46220</v>
      </c>
    </row>
    <row r="2237" spans="1:27" hidden="1" x14ac:dyDescent="0.65">
      <c r="A2237">
        <v>2230</v>
      </c>
      <c r="B2237" t="s">
        <v>29</v>
      </c>
      <c r="C2237" s="6">
        <v>1511763.382</v>
      </c>
      <c r="D2237" s="6">
        <v>693867.67700000003</v>
      </c>
      <c r="E2237" s="2" t="s">
        <v>66</v>
      </c>
      <c r="F2237" s="1">
        <v>24</v>
      </c>
      <c r="G2237" s="2" t="s">
        <v>50</v>
      </c>
      <c r="J2237"/>
      <c r="K2237" s="19"/>
      <c r="L2237" s="21"/>
      <c r="M2237" s="27"/>
      <c r="N2237" s="19"/>
      <c r="O2237" s="21"/>
      <c r="P2237" s="7">
        <v>0.24</v>
      </c>
      <c r="Q2237" s="7">
        <f>Table2[[#This Row],[Elevation
PILE TOP]]-Table2[[#This Row],[LENGTH(m.)
(Actual)]]</f>
        <v>0.24</v>
      </c>
      <c r="R2237" s="2"/>
      <c r="S2237" s="7">
        <f>Table2[[#This Row],[N]]+Table2[[#This Row],[Pile 
Deviation 
N (m)]]</f>
        <v>1511763.382</v>
      </c>
      <c r="T2237" s="7">
        <f>Table2[[#This Row],[E]]+Table2[[#This Row],[Pile 
Deviation 
E (m)]]</f>
        <v>693867.67700000003</v>
      </c>
      <c r="W2237" s="7">
        <v>0.24</v>
      </c>
      <c r="X2237" s="2" t="s">
        <v>67</v>
      </c>
      <c r="AA2237" s="9">
        <v>46225</v>
      </c>
    </row>
    <row r="2238" spans="1:27" ht="13.95" hidden="1" customHeight="1" x14ac:dyDescent="0.65">
      <c r="A2238">
        <v>2231</v>
      </c>
      <c r="B2238" t="s">
        <v>29</v>
      </c>
      <c r="C2238" s="6">
        <v>1511762.4950000001</v>
      </c>
      <c r="D2238" s="6">
        <v>693871.06299999997</v>
      </c>
      <c r="E2238" s="2" t="s">
        <v>66</v>
      </c>
      <c r="F2238" s="1">
        <v>24</v>
      </c>
      <c r="G2238" s="2" t="s">
        <v>50</v>
      </c>
      <c r="J2238"/>
      <c r="K2238" s="19"/>
      <c r="L2238" s="21"/>
      <c r="M2238" s="27"/>
      <c r="N2238" s="19"/>
      <c r="O2238" s="21"/>
      <c r="P2238" s="7">
        <v>0.24</v>
      </c>
      <c r="Q2238" s="7">
        <f>Table2[[#This Row],[Elevation
PILE TOP]]-Table2[[#This Row],[LENGTH(m.)
(Actual)]]</f>
        <v>0.24</v>
      </c>
      <c r="R2238" s="2"/>
      <c r="S2238" s="7">
        <f>Table2[[#This Row],[N]]+Table2[[#This Row],[Pile 
Deviation 
N (m)]]</f>
        <v>1511762.4950000001</v>
      </c>
      <c r="T2238" s="7">
        <f>Table2[[#This Row],[E]]+Table2[[#This Row],[Pile 
Deviation 
E (m)]]</f>
        <v>693871.06299999997</v>
      </c>
      <c r="W2238" s="7">
        <v>0.24</v>
      </c>
      <c r="X2238" s="2" t="s">
        <v>67</v>
      </c>
      <c r="AA2238" s="9">
        <v>46225</v>
      </c>
    </row>
    <row r="2239" spans="1:27" hidden="1" x14ac:dyDescent="0.65">
      <c r="A2239">
        <v>2232</v>
      </c>
      <c r="B2239" t="s">
        <v>29</v>
      </c>
      <c r="C2239" s="6">
        <v>1511761.652</v>
      </c>
      <c r="D2239" s="6">
        <v>693874.46</v>
      </c>
      <c r="E2239" s="2" t="s">
        <v>66</v>
      </c>
      <c r="F2239" s="1">
        <v>24</v>
      </c>
      <c r="G2239" s="2" t="s">
        <v>50</v>
      </c>
      <c r="J2239"/>
      <c r="K2239" s="19"/>
      <c r="L2239" s="21"/>
      <c r="M2239" s="27"/>
      <c r="N2239" s="19"/>
      <c r="O2239" s="21"/>
      <c r="P2239" s="7">
        <v>0.24</v>
      </c>
      <c r="Q2239" s="7">
        <f>Table2[[#This Row],[Elevation
PILE TOP]]-Table2[[#This Row],[LENGTH(m.)
(Actual)]]</f>
        <v>0.24</v>
      </c>
      <c r="R2239" s="2"/>
      <c r="S2239" s="7">
        <f>Table2[[#This Row],[N]]+Table2[[#This Row],[Pile 
Deviation 
N (m)]]</f>
        <v>1511761.652</v>
      </c>
      <c r="T2239" s="7">
        <f>Table2[[#This Row],[E]]+Table2[[#This Row],[Pile 
Deviation 
E (m)]]</f>
        <v>693874.46</v>
      </c>
      <c r="W2239" s="7">
        <v>0.24</v>
      </c>
      <c r="X2239" s="2" t="s">
        <v>67</v>
      </c>
      <c r="AA2239" s="9">
        <v>46226</v>
      </c>
    </row>
    <row r="2240" spans="1:27" ht="13.95" hidden="1" customHeight="1" x14ac:dyDescent="0.65">
      <c r="A2240">
        <v>2233</v>
      </c>
      <c r="B2240" t="s">
        <v>29</v>
      </c>
      <c r="C2240" s="6">
        <v>1511760.9879999999</v>
      </c>
      <c r="D2240" s="6">
        <v>693818.65800000005</v>
      </c>
      <c r="E2240" s="2" t="s">
        <v>66</v>
      </c>
      <c r="F2240" s="1">
        <v>24</v>
      </c>
      <c r="G2240" s="2" t="s">
        <v>50</v>
      </c>
      <c r="J2240"/>
      <c r="K2240" s="19"/>
      <c r="L2240" s="21"/>
      <c r="M2240" s="27"/>
      <c r="N2240" s="19"/>
      <c r="O2240" s="21"/>
      <c r="P2240" s="7">
        <v>0.24</v>
      </c>
      <c r="Q2240" s="7">
        <f>Table2[[#This Row],[Elevation
PILE TOP]]-Table2[[#This Row],[LENGTH(m.)
(Actual)]]</f>
        <v>0.24</v>
      </c>
      <c r="R2240" s="2"/>
      <c r="S2240" s="7">
        <f>Table2[[#This Row],[N]]+Table2[[#This Row],[Pile 
Deviation 
N (m)]]</f>
        <v>1511760.9879999999</v>
      </c>
      <c r="T2240" s="7">
        <f>Table2[[#This Row],[E]]+Table2[[#This Row],[Pile 
Deviation 
E (m)]]</f>
        <v>693818.65800000005</v>
      </c>
      <c r="W2240" s="7">
        <v>0.24</v>
      </c>
      <c r="X2240" s="2" t="s">
        <v>68</v>
      </c>
      <c r="AA2240" s="9">
        <v>46219</v>
      </c>
    </row>
    <row r="2241" spans="1:27" hidden="1" x14ac:dyDescent="0.65">
      <c r="A2241">
        <v>2234</v>
      </c>
      <c r="B2241" t="s">
        <v>29</v>
      </c>
      <c r="C2241" s="6">
        <v>1511760.8089999999</v>
      </c>
      <c r="D2241" s="6">
        <v>693877.85699999996</v>
      </c>
      <c r="E2241" s="2" t="s">
        <v>66</v>
      </c>
      <c r="F2241" s="1">
        <v>24</v>
      </c>
      <c r="G2241" s="2" t="s">
        <v>50</v>
      </c>
      <c r="J2241"/>
      <c r="K2241" s="19"/>
      <c r="L2241" s="21"/>
      <c r="M2241" s="27"/>
      <c r="N2241" s="19"/>
      <c r="O2241" s="21"/>
      <c r="P2241" s="7">
        <v>0.24</v>
      </c>
      <c r="Q2241" s="7">
        <f>Table2[[#This Row],[Elevation
PILE TOP]]-Table2[[#This Row],[LENGTH(m.)
(Actual)]]</f>
        <v>0.24</v>
      </c>
      <c r="R2241" s="2"/>
      <c r="S2241" s="7">
        <f>Table2[[#This Row],[N]]+Table2[[#This Row],[Pile 
Deviation 
N (m)]]</f>
        <v>1511760.8089999999</v>
      </c>
      <c r="T2241" s="7">
        <f>Table2[[#This Row],[E]]+Table2[[#This Row],[Pile 
Deviation 
E (m)]]</f>
        <v>693877.85699999996</v>
      </c>
      <c r="W2241" s="7">
        <v>0.24</v>
      </c>
      <c r="X2241" s="2" t="s">
        <v>67</v>
      </c>
      <c r="AA2241" s="9">
        <v>46226</v>
      </c>
    </row>
    <row r="2242" spans="1:27" ht="13.95" hidden="1" customHeight="1" x14ac:dyDescent="0.65">
      <c r="A2242">
        <v>2235</v>
      </c>
      <c r="B2242" t="s">
        <v>29</v>
      </c>
      <c r="C2242" s="6">
        <v>1511759.966</v>
      </c>
      <c r="D2242" s="6">
        <v>693881.25399999996</v>
      </c>
      <c r="E2242" s="2" t="s">
        <v>66</v>
      </c>
      <c r="F2242" s="1">
        <v>24</v>
      </c>
      <c r="G2242" s="2" t="s">
        <v>50</v>
      </c>
      <c r="J2242"/>
      <c r="K2242" s="19"/>
      <c r="L2242" s="21"/>
      <c r="M2242" s="27"/>
      <c r="N2242" s="19"/>
      <c r="O2242" s="21"/>
      <c r="P2242" s="7">
        <v>0.24</v>
      </c>
      <c r="Q2242" s="7">
        <f>Table2[[#This Row],[Elevation
PILE TOP]]-Table2[[#This Row],[LENGTH(m.)
(Actual)]]</f>
        <v>0.24</v>
      </c>
      <c r="R2242" s="2"/>
      <c r="S2242" s="7">
        <f>Table2[[#This Row],[N]]+Table2[[#This Row],[Pile 
Deviation 
N (m)]]</f>
        <v>1511759.966</v>
      </c>
      <c r="T2242" s="7">
        <f>Table2[[#This Row],[E]]+Table2[[#This Row],[Pile 
Deviation 
E (m)]]</f>
        <v>693881.25399999996</v>
      </c>
      <c r="W2242" s="7">
        <v>0.24</v>
      </c>
      <c r="X2242" s="2" t="s">
        <v>67</v>
      </c>
      <c r="AA2242" s="9">
        <v>46226</v>
      </c>
    </row>
    <row r="2243" spans="1:27" hidden="1" x14ac:dyDescent="0.65">
      <c r="A2243">
        <v>2236</v>
      </c>
      <c r="B2243" t="s">
        <v>29</v>
      </c>
      <c r="C2243" s="6">
        <v>1511759.7790000001</v>
      </c>
      <c r="D2243" s="6">
        <v>693882.18599999999</v>
      </c>
      <c r="E2243" s="2" t="s">
        <v>66</v>
      </c>
      <c r="F2243" s="1">
        <v>24</v>
      </c>
      <c r="G2243" s="2" t="s">
        <v>50</v>
      </c>
      <c r="J2243"/>
      <c r="K2243" s="19"/>
      <c r="L2243" s="21"/>
      <c r="M2243" s="27"/>
      <c r="N2243" s="19"/>
      <c r="O2243" s="21"/>
      <c r="P2243" s="7">
        <v>0.24</v>
      </c>
      <c r="Q2243" s="7">
        <f>Table2[[#This Row],[Elevation
PILE TOP]]-Table2[[#This Row],[LENGTH(m.)
(Actual)]]</f>
        <v>0.24</v>
      </c>
      <c r="R2243" s="2"/>
      <c r="S2243" s="7">
        <f>Table2[[#This Row],[N]]+Table2[[#This Row],[Pile 
Deviation 
N (m)]]</f>
        <v>1511759.7790000001</v>
      </c>
      <c r="T2243" s="7">
        <f>Table2[[#This Row],[E]]+Table2[[#This Row],[Pile 
Deviation 
E (m)]]</f>
        <v>693882.18599999999</v>
      </c>
      <c r="W2243" s="7">
        <v>0.24</v>
      </c>
      <c r="X2243" s="2" t="s">
        <v>67</v>
      </c>
      <c r="AA2243" s="9">
        <v>46226</v>
      </c>
    </row>
    <row r="2244" spans="1:27" ht="13.95" hidden="1" customHeight="1" x14ac:dyDescent="0.65">
      <c r="A2244">
        <v>2237</v>
      </c>
      <c r="B2244" t="s">
        <v>29</v>
      </c>
      <c r="C2244" s="6">
        <v>1511759.541</v>
      </c>
      <c r="D2244" s="6">
        <v>693885.67799999996</v>
      </c>
      <c r="E2244" s="2" t="s">
        <v>66</v>
      </c>
      <c r="F2244" s="1">
        <v>24</v>
      </c>
      <c r="G2244" s="2" t="s">
        <v>50</v>
      </c>
      <c r="J2244"/>
      <c r="K2244" s="19"/>
      <c r="L2244" s="21"/>
      <c r="M2244" s="27"/>
      <c r="N2244" s="19"/>
      <c r="O2244" s="21"/>
      <c r="P2244" s="7">
        <v>0.24</v>
      </c>
      <c r="Q2244" s="7">
        <f>Table2[[#This Row],[Elevation
PILE TOP]]-Table2[[#This Row],[LENGTH(m.)
(Actual)]]</f>
        <v>0.24</v>
      </c>
      <c r="R2244" s="2"/>
      <c r="S2244" s="7">
        <f>Table2[[#This Row],[N]]+Table2[[#This Row],[Pile 
Deviation 
N (m)]]</f>
        <v>1511759.541</v>
      </c>
      <c r="T2244" s="7">
        <f>Table2[[#This Row],[E]]+Table2[[#This Row],[Pile 
Deviation 
E (m)]]</f>
        <v>693885.67799999996</v>
      </c>
      <c r="W2244" s="7">
        <v>0.24</v>
      </c>
      <c r="X2244" s="2" t="s">
        <v>67</v>
      </c>
      <c r="AA2244" s="9">
        <v>46227</v>
      </c>
    </row>
    <row r="2245" spans="1:27" hidden="1" x14ac:dyDescent="0.65">
      <c r="A2245">
        <v>2238</v>
      </c>
      <c r="B2245" t="s">
        <v>29</v>
      </c>
      <c r="C2245" s="6">
        <v>1511759.3030000001</v>
      </c>
      <c r="D2245" s="6">
        <v>693889.17</v>
      </c>
      <c r="E2245" s="2" t="s">
        <v>66</v>
      </c>
      <c r="F2245" s="1">
        <v>24</v>
      </c>
      <c r="G2245" s="2" t="s">
        <v>50</v>
      </c>
      <c r="J2245"/>
      <c r="K2245" s="19"/>
      <c r="L2245" s="21"/>
      <c r="M2245" s="27"/>
      <c r="N2245" s="19"/>
      <c r="O2245" s="21"/>
      <c r="P2245" s="7">
        <v>0.24</v>
      </c>
      <c r="Q2245" s="7">
        <f>Table2[[#This Row],[Elevation
PILE TOP]]-Table2[[#This Row],[LENGTH(m.)
(Actual)]]</f>
        <v>0.24</v>
      </c>
      <c r="R2245" s="2"/>
      <c r="S2245" s="7">
        <f>Table2[[#This Row],[N]]+Table2[[#This Row],[Pile 
Deviation 
N (m)]]</f>
        <v>1511759.3030000001</v>
      </c>
      <c r="T2245" s="7">
        <f>Table2[[#This Row],[E]]+Table2[[#This Row],[Pile 
Deviation 
E (m)]]</f>
        <v>693889.17</v>
      </c>
      <c r="W2245" s="7">
        <v>0.24</v>
      </c>
      <c r="X2245" s="2" t="s">
        <v>67</v>
      </c>
      <c r="AA2245" s="9">
        <v>46227</v>
      </c>
    </row>
    <row r="2246" spans="1:27" ht="13.95" hidden="1" customHeight="1" x14ac:dyDescent="0.65">
      <c r="A2246">
        <v>2239</v>
      </c>
      <c r="B2246" t="s">
        <v>29</v>
      </c>
      <c r="C2246" s="6">
        <v>1511759.0519999999</v>
      </c>
      <c r="D2246" s="6">
        <v>693892.66099999996</v>
      </c>
      <c r="E2246" s="2" t="s">
        <v>66</v>
      </c>
      <c r="F2246" s="1">
        <v>24</v>
      </c>
      <c r="G2246" s="2" t="s">
        <v>50</v>
      </c>
      <c r="J2246"/>
      <c r="K2246" s="19"/>
      <c r="L2246" s="21"/>
      <c r="M2246" s="27"/>
      <c r="N2246" s="19"/>
      <c r="O2246" s="21"/>
      <c r="P2246" s="7">
        <v>0.24</v>
      </c>
      <c r="Q2246" s="7">
        <f>Table2[[#This Row],[Elevation
PILE TOP]]-Table2[[#This Row],[LENGTH(m.)
(Actual)]]</f>
        <v>0.24</v>
      </c>
      <c r="R2246" s="2"/>
      <c r="S2246" s="7">
        <f>Table2[[#This Row],[N]]+Table2[[#This Row],[Pile 
Deviation 
N (m)]]</f>
        <v>1511759.0519999999</v>
      </c>
      <c r="T2246" s="7">
        <f>Table2[[#This Row],[E]]+Table2[[#This Row],[Pile 
Deviation 
E (m)]]</f>
        <v>693892.66099999996</v>
      </c>
      <c r="W2246" s="7">
        <v>0.24</v>
      </c>
      <c r="X2246" s="2" t="s">
        <v>67</v>
      </c>
      <c r="AA2246" s="9">
        <v>46227</v>
      </c>
    </row>
    <row r="2247" spans="1:27" hidden="1" x14ac:dyDescent="0.65">
      <c r="A2247">
        <v>2240</v>
      </c>
      <c r="B2247" t="s">
        <v>29</v>
      </c>
      <c r="C2247" s="6">
        <v>1511758.7860000001</v>
      </c>
      <c r="D2247" s="6">
        <v>693896.15099999995</v>
      </c>
      <c r="E2247" s="2" t="s">
        <v>66</v>
      </c>
      <c r="F2247" s="1">
        <v>24</v>
      </c>
      <c r="G2247" s="2" t="s">
        <v>50</v>
      </c>
      <c r="J2247"/>
      <c r="K2247" s="19"/>
      <c r="L2247" s="21"/>
      <c r="M2247" s="27"/>
      <c r="N2247" s="19"/>
      <c r="O2247" s="21"/>
      <c r="P2247" s="7">
        <v>0.24</v>
      </c>
      <c r="Q2247" s="7">
        <f>Table2[[#This Row],[Elevation
PILE TOP]]-Table2[[#This Row],[LENGTH(m.)
(Actual)]]</f>
        <v>0.24</v>
      </c>
      <c r="R2247" s="2"/>
      <c r="S2247" s="7">
        <f>Table2[[#This Row],[N]]+Table2[[#This Row],[Pile 
Deviation 
N (m)]]</f>
        <v>1511758.7860000001</v>
      </c>
      <c r="T2247" s="7">
        <f>Table2[[#This Row],[E]]+Table2[[#This Row],[Pile 
Deviation 
E (m)]]</f>
        <v>693896.15099999995</v>
      </c>
      <c r="W2247" s="7">
        <v>0.24</v>
      </c>
      <c r="X2247" s="2" t="s">
        <v>67</v>
      </c>
      <c r="AA2247" s="9">
        <v>46227</v>
      </c>
    </row>
    <row r="2248" spans="1:27" ht="13.95" hidden="1" customHeight="1" x14ac:dyDescent="0.65">
      <c r="A2248">
        <v>2241</v>
      </c>
      <c r="B2248" t="s">
        <v>29</v>
      </c>
      <c r="C2248" s="6">
        <v>1511758.5190000001</v>
      </c>
      <c r="D2248" s="6">
        <v>693899.64099999995</v>
      </c>
      <c r="E2248" s="2" t="s">
        <v>66</v>
      </c>
      <c r="F2248" s="1">
        <v>24</v>
      </c>
      <c r="G2248" s="2" t="s">
        <v>50</v>
      </c>
      <c r="J2248"/>
      <c r="K2248" s="19"/>
      <c r="L2248" s="21"/>
      <c r="M2248" s="27"/>
      <c r="N2248" s="19"/>
      <c r="O2248" s="21"/>
      <c r="P2248" s="7">
        <v>0.24</v>
      </c>
      <c r="Q2248" s="7">
        <f>Table2[[#This Row],[Elevation
PILE TOP]]-Table2[[#This Row],[LENGTH(m.)
(Actual)]]</f>
        <v>0.24</v>
      </c>
      <c r="R2248" s="2"/>
      <c r="S2248" s="7">
        <f>Table2[[#This Row],[N]]+Table2[[#This Row],[Pile 
Deviation 
N (m)]]</f>
        <v>1511758.5190000001</v>
      </c>
      <c r="T2248" s="7">
        <f>Table2[[#This Row],[E]]+Table2[[#This Row],[Pile 
Deviation 
E (m)]]</f>
        <v>693899.64099999995</v>
      </c>
      <c r="W2248" s="7">
        <v>0.24</v>
      </c>
      <c r="X2248" s="2" t="s">
        <v>67</v>
      </c>
      <c r="AA2248" s="9">
        <v>46228</v>
      </c>
    </row>
    <row r="2249" spans="1:27" hidden="1" x14ac:dyDescent="0.65">
      <c r="A2249">
        <v>2242</v>
      </c>
      <c r="B2249" t="s">
        <v>29</v>
      </c>
      <c r="C2249" s="6">
        <v>1511758.253</v>
      </c>
      <c r="D2249" s="6">
        <v>693903.13100000005</v>
      </c>
      <c r="E2249" s="2" t="s">
        <v>66</v>
      </c>
      <c r="F2249" s="1">
        <v>24</v>
      </c>
      <c r="G2249" s="2" t="s">
        <v>50</v>
      </c>
      <c r="J2249"/>
      <c r="K2249" s="19"/>
      <c r="L2249" s="21"/>
      <c r="M2249" s="27"/>
      <c r="N2249" s="19"/>
      <c r="O2249" s="21"/>
      <c r="P2249" s="7">
        <v>0.24</v>
      </c>
      <c r="Q2249" s="7">
        <f>Table2[[#This Row],[Elevation
PILE TOP]]-Table2[[#This Row],[LENGTH(m.)
(Actual)]]</f>
        <v>0.24</v>
      </c>
      <c r="R2249" s="2"/>
      <c r="S2249" s="7">
        <f>Table2[[#This Row],[N]]+Table2[[#This Row],[Pile 
Deviation 
N (m)]]</f>
        <v>1511758.253</v>
      </c>
      <c r="T2249" s="7">
        <f>Table2[[#This Row],[E]]+Table2[[#This Row],[Pile 
Deviation 
E (m)]]</f>
        <v>693903.13100000005</v>
      </c>
      <c r="W2249" s="7">
        <v>0.24</v>
      </c>
      <c r="X2249" s="2" t="s">
        <v>67</v>
      </c>
      <c r="AA2249" s="9">
        <v>46228</v>
      </c>
    </row>
    <row r="2250" spans="1:27" ht="13.95" hidden="1" customHeight="1" x14ac:dyDescent="0.65">
      <c r="A2250">
        <v>2243</v>
      </c>
      <c r="B2250" t="s">
        <v>29</v>
      </c>
      <c r="C2250" s="6">
        <v>1511757.986</v>
      </c>
      <c r="D2250" s="6">
        <v>693906.62100000004</v>
      </c>
      <c r="E2250" s="2" t="s">
        <v>66</v>
      </c>
      <c r="F2250" s="1">
        <v>24</v>
      </c>
      <c r="G2250" s="2" t="s">
        <v>50</v>
      </c>
      <c r="J2250"/>
      <c r="K2250" s="19"/>
      <c r="L2250" s="21"/>
      <c r="M2250" s="27"/>
      <c r="N2250" s="19"/>
      <c r="O2250" s="21"/>
      <c r="P2250" s="7">
        <v>0.24</v>
      </c>
      <c r="Q2250" s="7">
        <f>Table2[[#This Row],[Elevation
PILE TOP]]-Table2[[#This Row],[LENGTH(m.)
(Actual)]]</f>
        <v>0.24</v>
      </c>
      <c r="R2250" s="2"/>
      <c r="S2250" s="7">
        <f>Table2[[#This Row],[N]]+Table2[[#This Row],[Pile 
Deviation 
N (m)]]</f>
        <v>1511757.986</v>
      </c>
      <c r="T2250" s="7">
        <f>Table2[[#This Row],[E]]+Table2[[#This Row],[Pile 
Deviation 
E (m)]]</f>
        <v>693906.62100000004</v>
      </c>
      <c r="W2250" s="7">
        <v>0.24</v>
      </c>
      <c r="X2250" s="2" t="s">
        <v>67</v>
      </c>
      <c r="AA2250" s="9">
        <v>46228</v>
      </c>
    </row>
    <row r="2251" spans="1:27" hidden="1" x14ac:dyDescent="0.65">
      <c r="A2251">
        <v>2244</v>
      </c>
      <c r="B2251" t="s">
        <v>29</v>
      </c>
      <c r="C2251" s="6">
        <v>1511757.72</v>
      </c>
      <c r="D2251" s="6">
        <v>693910.11</v>
      </c>
      <c r="E2251" s="2" t="s">
        <v>66</v>
      </c>
      <c r="F2251" s="1">
        <v>24</v>
      </c>
      <c r="G2251" s="2" t="s">
        <v>50</v>
      </c>
      <c r="J2251"/>
      <c r="K2251" s="19"/>
      <c r="L2251" s="21"/>
      <c r="M2251" s="27"/>
      <c r="N2251" s="19"/>
      <c r="O2251" s="21"/>
      <c r="P2251" s="7">
        <v>0.24</v>
      </c>
      <c r="Q2251" s="7">
        <f>Table2[[#This Row],[Elevation
PILE TOP]]-Table2[[#This Row],[LENGTH(m.)
(Actual)]]</f>
        <v>0.24</v>
      </c>
      <c r="R2251" s="2"/>
      <c r="S2251" s="7">
        <f>Table2[[#This Row],[N]]+Table2[[#This Row],[Pile 
Deviation 
N (m)]]</f>
        <v>1511757.72</v>
      </c>
      <c r="T2251" s="7">
        <f>Table2[[#This Row],[E]]+Table2[[#This Row],[Pile 
Deviation 
E (m)]]</f>
        <v>693910.11</v>
      </c>
      <c r="W2251" s="7">
        <v>0.24</v>
      </c>
      <c r="X2251" s="2" t="s">
        <v>67</v>
      </c>
      <c r="AA2251" s="9">
        <v>46228</v>
      </c>
    </row>
    <row r="2252" spans="1:27" ht="13.95" hidden="1" customHeight="1" x14ac:dyDescent="0.65">
      <c r="A2252">
        <v>2245</v>
      </c>
      <c r="B2252" t="s">
        <v>29</v>
      </c>
      <c r="C2252" s="6">
        <v>1511757.6780000001</v>
      </c>
      <c r="D2252" s="6">
        <v>693817.52099999995</v>
      </c>
      <c r="E2252" s="2" t="s">
        <v>66</v>
      </c>
      <c r="F2252" s="1">
        <v>24</v>
      </c>
      <c r="G2252" s="2" t="s">
        <v>50</v>
      </c>
      <c r="J2252"/>
      <c r="K2252" s="19"/>
      <c r="L2252" s="21"/>
      <c r="M2252" s="27"/>
      <c r="N2252" s="19"/>
      <c r="O2252" s="21"/>
      <c r="P2252" s="7">
        <v>0.24</v>
      </c>
      <c r="Q2252" s="7">
        <f>Table2[[#This Row],[Elevation
PILE TOP]]-Table2[[#This Row],[LENGTH(m.)
(Actual)]]</f>
        <v>0.24</v>
      </c>
      <c r="R2252" s="2"/>
      <c r="S2252" s="7">
        <f>Table2[[#This Row],[N]]+Table2[[#This Row],[Pile 
Deviation 
N (m)]]</f>
        <v>1511757.6780000001</v>
      </c>
      <c r="T2252" s="7">
        <f>Table2[[#This Row],[E]]+Table2[[#This Row],[Pile 
Deviation 
E (m)]]</f>
        <v>693817.52099999995</v>
      </c>
      <c r="W2252" s="7">
        <v>0.24</v>
      </c>
      <c r="X2252" s="2" t="s">
        <v>68</v>
      </c>
      <c r="AA2252" s="9">
        <v>46219</v>
      </c>
    </row>
    <row r="2253" spans="1:27" hidden="1" x14ac:dyDescent="0.65">
      <c r="A2253">
        <v>2246</v>
      </c>
      <c r="B2253" t="s">
        <v>29</v>
      </c>
      <c r="C2253" s="6">
        <v>1511757.4669999999</v>
      </c>
      <c r="D2253" s="6">
        <v>693913.60100000002</v>
      </c>
      <c r="E2253" s="2" t="s">
        <v>66</v>
      </c>
      <c r="F2253" s="1">
        <v>24</v>
      </c>
      <c r="G2253" s="2" t="s">
        <v>50</v>
      </c>
      <c r="J2253"/>
      <c r="K2253" s="19"/>
      <c r="L2253" s="21"/>
      <c r="M2253" s="27"/>
      <c r="N2253" s="19"/>
      <c r="O2253" s="21"/>
      <c r="P2253" s="7">
        <v>0.24</v>
      </c>
      <c r="Q2253" s="7">
        <f>Table2[[#This Row],[Elevation
PILE TOP]]-Table2[[#This Row],[LENGTH(m.)
(Actual)]]</f>
        <v>0.24</v>
      </c>
      <c r="R2253" s="2"/>
      <c r="S2253" s="7">
        <f>Table2[[#This Row],[N]]+Table2[[#This Row],[Pile 
Deviation 
N (m)]]</f>
        <v>1511757.4669999999</v>
      </c>
      <c r="T2253" s="7">
        <f>Table2[[#This Row],[E]]+Table2[[#This Row],[Pile 
Deviation 
E (m)]]</f>
        <v>693913.60100000002</v>
      </c>
      <c r="W2253" s="7">
        <v>0.24</v>
      </c>
      <c r="X2253" s="2" t="s">
        <v>67</v>
      </c>
      <c r="AA2253" s="9">
        <v>46230</v>
      </c>
    </row>
    <row r="2254" spans="1:27" ht="13.95" hidden="1" customHeight="1" x14ac:dyDescent="0.65">
      <c r="A2254">
        <v>2247</v>
      </c>
      <c r="B2254" t="s">
        <v>29</v>
      </c>
      <c r="C2254" s="6">
        <v>1511757.2209999999</v>
      </c>
      <c r="D2254" s="6">
        <v>693917.09299999999</v>
      </c>
      <c r="E2254" s="2" t="s">
        <v>66</v>
      </c>
      <c r="F2254" s="1">
        <v>24</v>
      </c>
      <c r="G2254" s="2" t="s">
        <v>50</v>
      </c>
      <c r="J2254"/>
      <c r="K2254" s="19"/>
      <c r="L2254" s="21"/>
      <c r="M2254" s="27"/>
      <c r="N2254" s="19"/>
      <c r="O2254" s="21"/>
      <c r="P2254" s="7">
        <v>0.24</v>
      </c>
      <c r="Q2254" s="7">
        <f>Table2[[#This Row],[Elevation
PILE TOP]]-Table2[[#This Row],[LENGTH(m.)
(Actual)]]</f>
        <v>0.24</v>
      </c>
      <c r="R2254" s="2"/>
      <c r="S2254" s="7">
        <f>Table2[[#This Row],[N]]+Table2[[#This Row],[Pile 
Deviation 
N (m)]]</f>
        <v>1511757.2209999999</v>
      </c>
      <c r="T2254" s="7">
        <f>Table2[[#This Row],[E]]+Table2[[#This Row],[Pile 
Deviation 
E (m)]]</f>
        <v>693917.09299999999</v>
      </c>
      <c r="W2254" s="7">
        <v>0.24</v>
      </c>
      <c r="X2254" s="2" t="s">
        <v>67</v>
      </c>
      <c r="AA2254" s="9">
        <v>46230</v>
      </c>
    </row>
    <row r="2255" spans="1:27" hidden="1" x14ac:dyDescent="0.65">
      <c r="A2255">
        <v>2248</v>
      </c>
      <c r="B2255" t="s">
        <v>29</v>
      </c>
      <c r="C2255" s="6">
        <v>1511756.9750000001</v>
      </c>
      <c r="D2255" s="6">
        <v>693920.58400000003</v>
      </c>
      <c r="E2255" s="2" t="s">
        <v>66</v>
      </c>
      <c r="F2255" s="1">
        <v>24</v>
      </c>
      <c r="G2255" s="2" t="s">
        <v>50</v>
      </c>
      <c r="J2255"/>
      <c r="K2255" s="19"/>
      <c r="L2255" s="21"/>
      <c r="M2255" s="27"/>
      <c r="N2255" s="19"/>
      <c r="O2255" s="21"/>
      <c r="P2255" s="7">
        <v>0.24</v>
      </c>
      <c r="Q2255" s="7">
        <f>Table2[[#This Row],[Elevation
PILE TOP]]-Table2[[#This Row],[LENGTH(m.)
(Actual)]]</f>
        <v>0.24</v>
      </c>
      <c r="R2255" s="2"/>
      <c r="S2255" s="7">
        <f>Table2[[#This Row],[N]]+Table2[[#This Row],[Pile 
Deviation 
N (m)]]</f>
        <v>1511756.9750000001</v>
      </c>
      <c r="T2255" s="7">
        <f>Table2[[#This Row],[E]]+Table2[[#This Row],[Pile 
Deviation 
E (m)]]</f>
        <v>693920.58400000003</v>
      </c>
      <c r="W2255" s="7">
        <v>0.24</v>
      </c>
      <c r="X2255" s="2" t="s">
        <v>67</v>
      </c>
      <c r="AA2255" s="9">
        <v>46230</v>
      </c>
    </row>
    <row r="2256" spans="1:27" ht="13.95" hidden="1" customHeight="1" x14ac:dyDescent="0.65">
      <c r="A2256">
        <v>2249</v>
      </c>
      <c r="B2256" t="s">
        <v>29</v>
      </c>
      <c r="C2256" s="6">
        <v>1511756.865</v>
      </c>
      <c r="D2256" s="6">
        <v>693819.88500000001</v>
      </c>
      <c r="E2256" s="2" t="s">
        <v>66</v>
      </c>
      <c r="F2256" s="1">
        <v>24</v>
      </c>
      <c r="G2256" s="2" t="s">
        <v>50</v>
      </c>
      <c r="J2256"/>
      <c r="K2256" s="19"/>
      <c r="L2256" s="21"/>
      <c r="M2256" s="27"/>
      <c r="N2256" s="19"/>
      <c r="O2256" s="21"/>
      <c r="P2256" s="7">
        <v>0.24</v>
      </c>
      <c r="Q2256" s="7">
        <f>Table2[[#This Row],[Elevation
PILE TOP]]-Table2[[#This Row],[LENGTH(m.)
(Actual)]]</f>
        <v>0.24</v>
      </c>
      <c r="R2256" s="2"/>
      <c r="S2256" s="7">
        <f>Table2[[#This Row],[N]]+Table2[[#This Row],[Pile 
Deviation 
N (m)]]</f>
        <v>1511756.865</v>
      </c>
      <c r="T2256" s="7">
        <f>Table2[[#This Row],[E]]+Table2[[#This Row],[Pile 
Deviation 
E (m)]]</f>
        <v>693819.88500000001</v>
      </c>
      <c r="W2256" s="7">
        <v>0.24</v>
      </c>
      <c r="X2256" s="2" t="s">
        <v>68</v>
      </c>
      <c r="AA2256" s="9">
        <v>46219</v>
      </c>
    </row>
    <row r="2257" spans="1:27" hidden="1" x14ac:dyDescent="0.65">
      <c r="A2257">
        <v>2250</v>
      </c>
      <c r="B2257" t="s">
        <v>29</v>
      </c>
      <c r="C2257" s="6">
        <v>1511756.7279999999</v>
      </c>
      <c r="D2257" s="6">
        <v>693924.07499999995</v>
      </c>
      <c r="E2257" s="2" t="s">
        <v>66</v>
      </c>
      <c r="F2257" s="1">
        <v>24</v>
      </c>
      <c r="G2257" s="2" t="s">
        <v>50</v>
      </c>
      <c r="J2257"/>
      <c r="K2257" s="19"/>
      <c r="L2257" s="21"/>
      <c r="M2257" s="27"/>
      <c r="N2257" s="19"/>
      <c r="O2257" s="21"/>
      <c r="P2257" s="7">
        <v>0.24</v>
      </c>
      <c r="Q2257" s="7">
        <f>Table2[[#This Row],[Elevation
PILE TOP]]-Table2[[#This Row],[LENGTH(m.)
(Actual)]]</f>
        <v>0.24</v>
      </c>
      <c r="R2257" s="2"/>
      <c r="S2257" s="7">
        <f>Table2[[#This Row],[N]]+Table2[[#This Row],[Pile 
Deviation 
N (m)]]</f>
        <v>1511756.7279999999</v>
      </c>
      <c r="T2257" s="7">
        <f>Table2[[#This Row],[E]]+Table2[[#This Row],[Pile 
Deviation 
E (m)]]</f>
        <v>693924.07499999995</v>
      </c>
      <c r="W2257" s="7">
        <v>0.24</v>
      </c>
      <c r="X2257" s="2" t="s">
        <v>67</v>
      </c>
      <c r="AA2257" s="9">
        <v>46230</v>
      </c>
    </row>
    <row r="2258" spans="1:27" ht="13.95" hidden="1" customHeight="1" x14ac:dyDescent="0.65">
      <c r="A2258">
        <v>2251</v>
      </c>
      <c r="B2258" t="s">
        <v>29</v>
      </c>
      <c r="C2258" s="6">
        <v>1511756.4820000001</v>
      </c>
      <c r="D2258" s="6">
        <v>693927.56700000004</v>
      </c>
      <c r="E2258" s="2" t="s">
        <v>66</v>
      </c>
      <c r="F2258" s="1">
        <v>24</v>
      </c>
      <c r="G2258" s="2" t="s">
        <v>50</v>
      </c>
      <c r="J2258"/>
      <c r="K2258" s="19"/>
      <c r="L2258" s="21"/>
      <c r="M2258" s="27"/>
      <c r="N2258" s="19"/>
      <c r="O2258" s="21"/>
      <c r="P2258" s="7">
        <v>0.24</v>
      </c>
      <c r="Q2258" s="7">
        <f>Table2[[#This Row],[Elevation
PILE TOP]]-Table2[[#This Row],[LENGTH(m.)
(Actual)]]</f>
        <v>0.24</v>
      </c>
      <c r="R2258" s="2"/>
      <c r="S2258" s="7">
        <f>Table2[[#This Row],[N]]+Table2[[#This Row],[Pile 
Deviation 
N (m)]]</f>
        <v>1511756.4820000001</v>
      </c>
      <c r="T2258" s="7">
        <f>Table2[[#This Row],[E]]+Table2[[#This Row],[Pile 
Deviation 
E (m)]]</f>
        <v>693927.56700000004</v>
      </c>
      <c r="W2258" s="7">
        <v>0.24</v>
      </c>
      <c r="X2258" s="2" t="s">
        <v>67</v>
      </c>
      <c r="AA2258" s="9">
        <v>46233</v>
      </c>
    </row>
    <row r="2259" spans="1:27" hidden="1" x14ac:dyDescent="0.65">
      <c r="A2259">
        <v>2252</v>
      </c>
      <c r="B2259" t="s">
        <v>29</v>
      </c>
      <c r="C2259" s="6">
        <v>1511756.236</v>
      </c>
      <c r="D2259" s="6">
        <v>693931.05799999996</v>
      </c>
      <c r="E2259" s="2" t="s">
        <v>66</v>
      </c>
      <c r="F2259" s="1">
        <v>24</v>
      </c>
      <c r="G2259" s="2" t="s">
        <v>50</v>
      </c>
      <c r="J2259"/>
      <c r="K2259" s="19"/>
      <c r="L2259" s="21"/>
      <c r="M2259" s="27"/>
      <c r="N2259" s="19"/>
      <c r="O2259" s="21"/>
      <c r="P2259" s="7">
        <v>0.24</v>
      </c>
      <c r="Q2259" s="7">
        <f>Table2[[#This Row],[Elevation
PILE TOP]]-Table2[[#This Row],[LENGTH(m.)
(Actual)]]</f>
        <v>0.24</v>
      </c>
      <c r="R2259" s="2"/>
      <c r="S2259" s="7">
        <f>Table2[[#This Row],[N]]+Table2[[#This Row],[Pile 
Deviation 
N (m)]]</f>
        <v>1511756.236</v>
      </c>
      <c r="T2259" s="7">
        <f>Table2[[#This Row],[E]]+Table2[[#This Row],[Pile 
Deviation 
E (m)]]</f>
        <v>693931.05799999996</v>
      </c>
      <c r="W2259" s="7">
        <v>0.24</v>
      </c>
      <c r="X2259" s="2" t="s">
        <v>67</v>
      </c>
      <c r="AA2259" s="9">
        <v>46233</v>
      </c>
    </row>
    <row r="2260" spans="1:27" ht="13.95" hidden="1" customHeight="1" x14ac:dyDescent="0.65">
      <c r="A2260">
        <v>2253</v>
      </c>
      <c r="B2260" t="s">
        <v>29</v>
      </c>
      <c r="C2260" s="6">
        <v>1511755.9890000001</v>
      </c>
      <c r="D2260" s="6">
        <v>693934.549</v>
      </c>
      <c r="E2260" s="2" t="s">
        <v>66</v>
      </c>
      <c r="F2260" s="1">
        <v>24</v>
      </c>
      <c r="G2260" s="2" t="s">
        <v>50</v>
      </c>
      <c r="J2260"/>
      <c r="K2260" s="19"/>
      <c r="L2260" s="21"/>
      <c r="M2260" s="27"/>
      <c r="N2260" s="19"/>
      <c r="O2260" s="21"/>
      <c r="P2260" s="7">
        <v>0.24</v>
      </c>
      <c r="Q2260" s="7">
        <f>Table2[[#This Row],[Elevation
PILE TOP]]-Table2[[#This Row],[LENGTH(m.)
(Actual)]]</f>
        <v>0.24</v>
      </c>
      <c r="R2260" s="2"/>
      <c r="S2260" s="7">
        <f>Table2[[#This Row],[N]]+Table2[[#This Row],[Pile 
Deviation 
N (m)]]</f>
        <v>1511755.9890000001</v>
      </c>
      <c r="T2260" s="7">
        <f>Table2[[#This Row],[E]]+Table2[[#This Row],[Pile 
Deviation 
E (m)]]</f>
        <v>693934.549</v>
      </c>
      <c r="W2260" s="7">
        <v>0.24</v>
      </c>
      <c r="X2260" s="2" t="s">
        <v>67</v>
      </c>
      <c r="AA2260" s="9">
        <v>46233</v>
      </c>
    </row>
    <row r="2261" spans="1:27" hidden="1" x14ac:dyDescent="0.65">
      <c r="A2261">
        <v>2254</v>
      </c>
      <c r="B2261" t="s">
        <v>29</v>
      </c>
      <c r="C2261" s="6">
        <v>1511755.743</v>
      </c>
      <c r="D2261" s="6">
        <v>693938.04099999997</v>
      </c>
      <c r="E2261" s="2" t="s">
        <v>66</v>
      </c>
      <c r="F2261" s="1">
        <v>24</v>
      </c>
      <c r="G2261" s="2" t="s">
        <v>50</v>
      </c>
      <c r="J2261"/>
      <c r="K2261" s="19"/>
      <c r="L2261" s="21"/>
      <c r="M2261" s="27"/>
      <c r="N2261" s="19"/>
      <c r="O2261" s="21"/>
      <c r="P2261" s="7">
        <v>0.24</v>
      </c>
      <c r="Q2261" s="7">
        <f>Table2[[#This Row],[Elevation
PILE TOP]]-Table2[[#This Row],[LENGTH(m.)
(Actual)]]</f>
        <v>0.24</v>
      </c>
      <c r="R2261" s="2"/>
      <c r="S2261" s="7">
        <f>Table2[[#This Row],[N]]+Table2[[#This Row],[Pile 
Deviation 
N (m)]]</f>
        <v>1511755.743</v>
      </c>
      <c r="T2261" s="7">
        <f>Table2[[#This Row],[E]]+Table2[[#This Row],[Pile 
Deviation 
E (m)]]</f>
        <v>693938.04099999997</v>
      </c>
      <c r="W2261" s="7">
        <v>0.24</v>
      </c>
      <c r="X2261" s="2" t="s">
        <v>67</v>
      </c>
      <c r="AA2261" s="9">
        <v>46233</v>
      </c>
    </row>
    <row r="2262" spans="1:27" ht="13.95" hidden="1" customHeight="1" x14ac:dyDescent="0.65">
      <c r="A2262">
        <v>2255</v>
      </c>
      <c r="B2262" t="s">
        <v>29</v>
      </c>
      <c r="C2262" s="6">
        <v>1511755.497</v>
      </c>
      <c r="D2262" s="6">
        <v>693941.53200000001</v>
      </c>
      <c r="E2262" s="2" t="s">
        <v>66</v>
      </c>
      <c r="F2262" s="1">
        <v>24</v>
      </c>
      <c r="G2262" s="2" t="s">
        <v>50</v>
      </c>
      <c r="J2262"/>
      <c r="K2262" s="19"/>
      <c r="L2262" s="21"/>
      <c r="M2262" s="27"/>
      <c r="N2262" s="19"/>
      <c r="O2262" s="21"/>
      <c r="P2262" s="7">
        <v>0.24</v>
      </c>
      <c r="Q2262" s="7">
        <f>Table2[[#This Row],[Elevation
PILE TOP]]-Table2[[#This Row],[LENGTH(m.)
(Actual)]]</f>
        <v>0.24</v>
      </c>
      <c r="R2262" s="2"/>
      <c r="S2262" s="7">
        <f>Table2[[#This Row],[N]]+Table2[[#This Row],[Pile 
Deviation 
N (m)]]</f>
        <v>1511755.497</v>
      </c>
      <c r="T2262" s="7">
        <f>Table2[[#This Row],[E]]+Table2[[#This Row],[Pile 
Deviation 
E (m)]]</f>
        <v>693941.53200000001</v>
      </c>
      <c r="W2262" s="7">
        <v>0.24</v>
      </c>
      <c r="X2262" s="2" t="s">
        <v>67</v>
      </c>
      <c r="AA2262" s="9">
        <v>46234</v>
      </c>
    </row>
    <row r="2263" spans="1:27" hidden="1" x14ac:dyDescent="0.65">
      <c r="A2263">
        <v>2256</v>
      </c>
      <c r="B2263" t="s">
        <v>29</v>
      </c>
      <c r="C2263" s="6">
        <v>1511755.25</v>
      </c>
      <c r="D2263" s="6">
        <v>693945.02300000004</v>
      </c>
      <c r="E2263" s="2" t="s">
        <v>66</v>
      </c>
      <c r="F2263" s="1">
        <v>24</v>
      </c>
      <c r="G2263" s="2" t="s">
        <v>50</v>
      </c>
      <c r="J2263"/>
      <c r="K2263" s="19"/>
      <c r="L2263" s="21"/>
      <c r="M2263" s="27"/>
      <c r="N2263" s="19"/>
      <c r="O2263" s="21"/>
      <c r="P2263" s="7">
        <v>0.24</v>
      </c>
      <c r="Q2263" s="7">
        <f>Table2[[#This Row],[Elevation
PILE TOP]]-Table2[[#This Row],[LENGTH(m.)
(Actual)]]</f>
        <v>0.24</v>
      </c>
      <c r="R2263" s="2"/>
      <c r="S2263" s="7">
        <f>Table2[[#This Row],[N]]+Table2[[#This Row],[Pile 
Deviation 
N (m)]]</f>
        <v>1511755.25</v>
      </c>
      <c r="T2263" s="7">
        <f>Table2[[#This Row],[E]]+Table2[[#This Row],[Pile 
Deviation 
E (m)]]</f>
        <v>693945.02300000004</v>
      </c>
      <c r="W2263" s="7">
        <v>0.24</v>
      </c>
      <c r="X2263" s="2" t="s">
        <v>67</v>
      </c>
      <c r="AA2263" s="9">
        <v>46234</v>
      </c>
    </row>
    <row r="2264" spans="1:27" ht="13.95" hidden="1" customHeight="1" x14ac:dyDescent="0.65">
      <c r="A2264">
        <v>2257</v>
      </c>
      <c r="B2264" t="s">
        <v>29</v>
      </c>
      <c r="C2264" s="6">
        <v>1511755.0090000001</v>
      </c>
      <c r="D2264" s="6">
        <v>693948.58200000005</v>
      </c>
      <c r="E2264" s="2" t="s">
        <v>66</v>
      </c>
      <c r="F2264" s="1">
        <v>24</v>
      </c>
      <c r="G2264" s="2" t="s">
        <v>50</v>
      </c>
      <c r="J2264"/>
      <c r="K2264" s="19"/>
      <c r="L2264" s="21"/>
      <c r="M2264" s="27"/>
      <c r="N2264" s="19"/>
      <c r="O2264" s="21"/>
      <c r="P2264" s="7">
        <v>0.24</v>
      </c>
      <c r="Q2264" s="7">
        <f>Table2[[#This Row],[Elevation
PILE TOP]]-Table2[[#This Row],[LENGTH(m.)
(Actual)]]</f>
        <v>0.24</v>
      </c>
      <c r="R2264" s="2"/>
      <c r="S2264" s="7">
        <f>Table2[[#This Row],[N]]+Table2[[#This Row],[Pile 
Deviation 
N (m)]]</f>
        <v>1511755.0090000001</v>
      </c>
      <c r="T2264" s="7">
        <f>Table2[[#This Row],[E]]+Table2[[#This Row],[Pile 
Deviation 
E (m)]]</f>
        <v>693948.58200000005</v>
      </c>
      <c r="W2264" s="7">
        <v>0.24</v>
      </c>
      <c r="X2264" s="2" t="s">
        <v>67</v>
      </c>
      <c r="AA2264" s="9">
        <v>46234</v>
      </c>
    </row>
    <row r="2265" spans="1:27" hidden="1" x14ac:dyDescent="0.65">
      <c r="A2265">
        <v>2258</v>
      </c>
      <c r="B2265" t="s">
        <v>29</v>
      </c>
      <c r="C2265" s="6">
        <v>1511754.368</v>
      </c>
      <c r="D2265" s="6">
        <v>693816.38399999996</v>
      </c>
      <c r="E2265" s="2" t="s">
        <v>66</v>
      </c>
      <c r="F2265" s="1">
        <v>24</v>
      </c>
      <c r="G2265" s="2" t="s">
        <v>50</v>
      </c>
      <c r="J2265"/>
      <c r="K2265" s="19"/>
      <c r="L2265" s="21"/>
      <c r="M2265" s="27"/>
      <c r="N2265" s="19"/>
      <c r="O2265" s="21"/>
      <c r="P2265" s="7">
        <v>0.24</v>
      </c>
      <c r="Q2265" s="7">
        <f>Table2[[#This Row],[Elevation
PILE TOP]]-Table2[[#This Row],[LENGTH(m.)
(Actual)]]</f>
        <v>0.24</v>
      </c>
      <c r="R2265" s="2"/>
      <c r="S2265" s="7">
        <f>Table2[[#This Row],[N]]+Table2[[#This Row],[Pile 
Deviation 
N (m)]]</f>
        <v>1511754.368</v>
      </c>
      <c r="T2265" s="7">
        <f>Table2[[#This Row],[E]]+Table2[[#This Row],[Pile 
Deviation 
E (m)]]</f>
        <v>693816.38399999996</v>
      </c>
      <c r="W2265" s="7">
        <v>0.24</v>
      </c>
      <c r="X2265" s="2" t="s">
        <v>68</v>
      </c>
      <c r="AA2265" s="9">
        <v>46219</v>
      </c>
    </row>
    <row r="2266" spans="1:27" ht="13.95" hidden="1" customHeight="1" x14ac:dyDescent="0.65">
      <c r="A2266">
        <v>2259</v>
      </c>
      <c r="B2266" t="s">
        <v>29</v>
      </c>
      <c r="C2266" s="6">
        <v>1511751.058</v>
      </c>
      <c r="D2266" s="6">
        <v>693815.24600000004</v>
      </c>
      <c r="E2266" s="2" t="s">
        <v>66</v>
      </c>
      <c r="F2266" s="1">
        <v>24</v>
      </c>
      <c r="G2266" s="2" t="s">
        <v>50</v>
      </c>
      <c r="J2266"/>
      <c r="K2266" s="19"/>
      <c r="L2266" s="21"/>
      <c r="M2266" s="27"/>
      <c r="N2266" s="19"/>
      <c r="O2266" s="21"/>
      <c r="P2266" s="7">
        <v>0.24</v>
      </c>
      <c r="Q2266" s="7">
        <f>Table2[[#This Row],[Elevation
PILE TOP]]-Table2[[#This Row],[LENGTH(m.)
(Actual)]]</f>
        <v>0.24</v>
      </c>
      <c r="R2266" s="2"/>
      <c r="S2266" s="7">
        <f>Table2[[#This Row],[N]]+Table2[[#This Row],[Pile 
Deviation 
N (m)]]</f>
        <v>1511751.058</v>
      </c>
      <c r="T2266" s="7">
        <f>Table2[[#This Row],[E]]+Table2[[#This Row],[Pile 
Deviation 
E (m)]]</f>
        <v>693815.24600000004</v>
      </c>
      <c r="W2266" s="7">
        <v>0.24</v>
      </c>
      <c r="X2266" s="2" t="s">
        <v>68</v>
      </c>
      <c r="AA2266" s="9">
        <v>46218</v>
      </c>
    </row>
    <row r="2267" spans="1:27" hidden="1" x14ac:dyDescent="0.65">
      <c r="A2267">
        <v>2260</v>
      </c>
      <c r="B2267" t="s">
        <v>29</v>
      </c>
      <c r="C2267" s="6">
        <v>1511750.2450000001</v>
      </c>
      <c r="D2267" s="6">
        <v>693817.61</v>
      </c>
      <c r="E2267" s="2" t="s">
        <v>66</v>
      </c>
      <c r="F2267" s="1">
        <v>24</v>
      </c>
      <c r="G2267" s="2" t="s">
        <v>50</v>
      </c>
      <c r="J2267"/>
      <c r="K2267" s="19"/>
      <c r="L2267" s="21"/>
      <c r="M2267" s="27"/>
      <c r="N2267" s="19"/>
      <c r="O2267" s="21"/>
      <c r="P2267" s="7">
        <v>0.24</v>
      </c>
      <c r="Q2267" s="7">
        <f>Table2[[#This Row],[Elevation
PILE TOP]]-Table2[[#This Row],[LENGTH(m.)
(Actual)]]</f>
        <v>0.24</v>
      </c>
      <c r="R2267" s="2"/>
      <c r="S2267" s="7">
        <f>Table2[[#This Row],[N]]+Table2[[#This Row],[Pile 
Deviation 
N (m)]]</f>
        <v>1511750.2450000001</v>
      </c>
      <c r="T2267" s="7">
        <f>Table2[[#This Row],[E]]+Table2[[#This Row],[Pile 
Deviation 
E (m)]]</f>
        <v>693817.61</v>
      </c>
      <c r="W2267" s="7">
        <v>0.24</v>
      </c>
      <c r="X2267" s="2" t="s">
        <v>68</v>
      </c>
      <c r="AA2267" s="9">
        <v>46218</v>
      </c>
    </row>
    <row r="2268" spans="1:27" ht="13.95" hidden="1" customHeight="1" x14ac:dyDescent="0.65">
      <c r="A2268">
        <v>2261</v>
      </c>
      <c r="B2268" t="s">
        <v>29</v>
      </c>
      <c r="C2268" s="6">
        <v>1511747.7479999999</v>
      </c>
      <c r="D2268" s="6">
        <v>693814.10900000005</v>
      </c>
      <c r="E2268" s="2" t="s">
        <v>66</v>
      </c>
      <c r="F2268" s="1">
        <v>24</v>
      </c>
      <c r="G2268" s="2" t="s">
        <v>50</v>
      </c>
      <c r="J2268"/>
      <c r="K2268" s="19"/>
      <c r="L2268" s="21"/>
      <c r="M2268" s="27"/>
      <c r="N2268" s="19"/>
      <c r="O2268" s="21"/>
      <c r="P2268" s="7">
        <v>0.24</v>
      </c>
      <c r="Q2268" s="7">
        <f>Table2[[#This Row],[Elevation
PILE TOP]]-Table2[[#This Row],[LENGTH(m.)
(Actual)]]</f>
        <v>0.24</v>
      </c>
      <c r="R2268" s="2"/>
      <c r="S2268" s="7">
        <f>Table2[[#This Row],[N]]+Table2[[#This Row],[Pile 
Deviation 
N (m)]]</f>
        <v>1511747.7479999999</v>
      </c>
      <c r="T2268" s="7">
        <f>Table2[[#This Row],[E]]+Table2[[#This Row],[Pile 
Deviation 
E (m)]]</f>
        <v>693814.10900000005</v>
      </c>
      <c r="W2268" s="7">
        <v>0.24</v>
      </c>
      <c r="X2268" s="2" t="s">
        <v>68</v>
      </c>
      <c r="AA2268" s="9">
        <v>46218</v>
      </c>
    </row>
    <row r="2269" spans="1:27" hidden="1" x14ac:dyDescent="0.65">
      <c r="A2269">
        <v>2262</v>
      </c>
      <c r="B2269" t="s">
        <v>29</v>
      </c>
      <c r="C2269" s="6">
        <v>1511744.4380000001</v>
      </c>
      <c r="D2269" s="6">
        <v>693812.97100000002</v>
      </c>
      <c r="E2269" s="2" t="s">
        <v>66</v>
      </c>
      <c r="F2269" s="1">
        <v>24</v>
      </c>
      <c r="G2269" s="2" t="s">
        <v>50</v>
      </c>
      <c r="J2269"/>
      <c r="K2269" s="19"/>
      <c r="L2269" s="21"/>
      <c r="M2269" s="27"/>
      <c r="N2269" s="19"/>
      <c r="O2269" s="21"/>
      <c r="P2269" s="7">
        <v>0.24</v>
      </c>
      <c r="Q2269" s="7">
        <f>Table2[[#This Row],[Elevation
PILE TOP]]-Table2[[#This Row],[LENGTH(m.)
(Actual)]]</f>
        <v>0.24</v>
      </c>
      <c r="R2269" s="2"/>
      <c r="S2269" s="7">
        <f>Table2[[#This Row],[N]]+Table2[[#This Row],[Pile 
Deviation 
N (m)]]</f>
        <v>1511744.4380000001</v>
      </c>
      <c r="T2269" s="7">
        <f>Table2[[#This Row],[E]]+Table2[[#This Row],[Pile 
Deviation 
E (m)]]</f>
        <v>693812.97100000002</v>
      </c>
      <c r="W2269" s="7">
        <v>0.24</v>
      </c>
      <c r="X2269" s="2" t="s">
        <v>68</v>
      </c>
      <c r="AA2269" s="9">
        <v>46218</v>
      </c>
    </row>
    <row r="2270" spans="1:27" ht="13.95" hidden="1" customHeight="1" x14ac:dyDescent="0.65">
      <c r="A2270">
        <v>2263</v>
      </c>
      <c r="B2270" t="s">
        <v>29</v>
      </c>
      <c r="C2270" s="6">
        <v>1511743.625</v>
      </c>
      <c r="D2270" s="6">
        <v>693815.33600000001</v>
      </c>
      <c r="E2270" s="2" t="s">
        <v>66</v>
      </c>
      <c r="F2270" s="1">
        <v>24</v>
      </c>
      <c r="G2270" s="2" t="s">
        <v>50</v>
      </c>
      <c r="J2270"/>
      <c r="K2270" s="19"/>
      <c r="L2270" s="21"/>
      <c r="M2270" s="27"/>
      <c r="N2270" s="19"/>
      <c r="O2270" s="21"/>
      <c r="P2270" s="7">
        <v>0.24</v>
      </c>
      <c r="Q2270" s="7">
        <f>Table2[[#This Row],[Elevation
PILE TOP]]-Table2[[#This Row],[LENGTH(m.)
(Actual)]]</f>
        <v>0.24</v>
      </c>
      <c r="R2270" s="2"/>
      <c r="S2270" s="7">
        <f>Table2[[#This Row],[N]]+Table2[[#This Row],[Pile 
Deviation 
N (m)]]</f>
        <v>1511743.625</v>
      </c>
      <c r="T2270" s="7">
        <f>Table2[[#This Row],[E]]+Table2[[#This Row],[Pile 
Deviation 
E (m)]]</f>
        <v>693815.33600000001</v>
      </c>
      <c r="W2270" s="7">
        <v>0.24</v>
      </c>
      <c r="X2270" s="2" t="s">
        <v>68</v>
      </c>
      <c r="AA2270" s="9">
        <v>46218</v>
      </c>
    </row>
    <row r="2271" spans="1:27" hidden="1" x14ac:dyDescent="0.65">
      <c r="A2271">
        <v>2264</v>
      </c>
      <c r="B2271" t="s">
        <v>29</v>
      </c>
      <c r="C2271" s="6">
        <v>1511741.128</v>
      </c>
      <c r="D2271" s="6">
        <v>693811.83400000003</v>
      </c>
      <c r="E2271" s="2" t="s">
        <v>66</v>
      </c>
      <c r="F2271" s="1">
        <v>24</v>
      </c>
      <c r="G2271" s="2" t="s">
        <v>50</v>
      </c>
      <c r="J2271"/>
      <c r="K2271" s="19"/>
      <c r="L2271" s="21"/>
      <c r="M2271" s="27"/>
      <c r="N2271" s="19"/>
      <c r="O2271" s="21"/>
      <c r="P2271" s="7">
        <v>0.24</v>
      </c>
      <c r="Q2271" s="7">
        <f>Table2[[#This Row],[Elevation
PILE TOP]]-Table2[[#This Row],[LENGTH(m.)
(Actual)]]</f>
        <v>0.24</v>
      </c>
      <c r="R2271" s="2"/>
      <c r="S2271" s="7">
        <f>Table2[[#This Row],[N]]+Table2[[#This Row],[Pile 
Deviation 
N (m)]]</f>
        <v>1511741.128</v>
      </c>
      <c r="T2271" s="7">
        <f>Table2[[#This Row],[E]]+Table2[[#This Row],[Pile 
Deviation 
E (m)]]</f>
        <v>693811.83400000003</v>
      </c>
      <c r="W2271" s="7">
        <v>0.24</v>
      </c>
      <c r="X2271" s="2" t="s">
        <v>68</v>
      </c>
      <c r="AA2271" s="9">
        <v>46217</v>
      </c>
    </row>
    <row r="2272" spans="1:27" ht="13.95" hidden="1" customHeight="1" x14ac:dyDescent="0.65">
      <c r="A2272">
        <v>2265</v>
      </c>
      <c r="B2272" t="s">
        <v>29</v>
      </c>
      <c r="C2272" s="6">
        <v>1511737.818</v>
      </c>
      <c r="D2272" s="6">
        <v>693810.696</v>
      </c>
      <c r="E2272" s="2" t="s">
        <v>66</v>
      </c>
      <c r="F2272" s="1">
        <v>24</v>
      </c>
      <c r="G2272" s="2" t="s">
        <v>50</v>
      </c>
      <c r="J2272"/>
      <c r="K2272" s="19"/>
      <c r="L2272" s="21"/>
      <c r="M2272" s="27"/>
      <c r="N2272" s="19"/>
      <c r="O2272" s="21"/>
      <c r="P2272" s="7">
        <v>0.24</v>
      </c>
      <c r="Q2272" s="7">
        <f>Table2[[#This Row],[Elevation
PILE TOP]]-Table2[[#This Row],[LENGTH(m.)
(Actual)]]</f>
        <v>0.24</v>
      </c>
      <c r="R2272" s="2"/>
      <c r="S2272" s="7">
        <f>Table2[[#This Row],[N]]+Table2[[#This Row],[Pile 
Deviation 
N (m)]]</f>
        <v>1511737.818</v>
      </c>
      <c r="T2272" s="7">
        <f>Table2[[#This Row],[E]]+Table2[[#This Row],[Pile 
Deviation 
E (m)]]</f>
        <v>693810.696</v>
      </c>
      <c r="W2272" s="7">
        <v>0.24</v>
      </c>
      <c r="X2272" s="2" t="s">
        <v>68</v>
      </c>
      <c r="AA2272" s="9">
        <v>46217</v>
      </c>
    </row>
    <row r="2273" spans="1:27" hidden="1" x14ac:dyDescent="0.65">
      <c r="A2273">
        <v>2266</v>
      </c>
      <c r="B2273" t="s">
        <v>29</v>
      </c>
      <c r="C2273" s="6">
        <v>1511737.0049999999</v>
      </c>
      <c r="D2273" s="6">
        <v>693813.06099999999</v>
      </c>
      <c r="E2273" s="2" t="s">
        <v>66</v>
      </c>
      <c r="F2273" s="1">
        <v>24</v>
      </c>
      <c r="G2273" s="2" t="s">
        <v>50</v>
      </c>
      <c r="J2273"/>
      <c r="K2273" s="19"/>
      <c r="L2273" s="21"/>
      <c r="M2273" s="27"/>
      <c r="N2273" s="19"/>
      <c r="O2273" s="21"/>
      <c r="P2273" s="7">
        <v>0.24</v>
      </c>
      <c r="Q2273" s="7">
        <f>Table2[[#This Row],[Elevation
PILE TOP]]-Table2[[#This Row],[LENGTH(m.)
(Actual)]]</f>
        <v>0.24</v>
      </c>
      <c r="R2273" s="2"/>
      <c r="S2273" s="7">
        <f>Table2[[#This Row],[N]]+Table2[[#This Row],[Pile 
Deviation 
N (m)]]</f>
        <v>1511737.0049999999</v>
      </c>
      <c r="T2273" s="7">
        <f>Table2[[#This Row],[E]]+Table2[[#This Row],[Pile 
Deviation 
E (m)]]</f>
        <v>693813.06099999999</v>
      </c>
      <c r="W2273" s="7">
        <v>0.24</v>
      </c>
      <c r="X2273" s="2" t="s">
        <v>68</v>
      </c>
      <c r="AA2273" s="9">
        <v>46217</v>
      </c>
    </row>
    <row r="2274" spans="1:27" ht="13.95" hidden="1" customHeight="1" x14ac:dyDescent="0.65">
      <c r="A2274">
        <v>2267</v>
      </c>
      <c r="B2274" t="s">
        <v>29</v>
      </c>
      <c r="C2274" s="6">
        <v>1511734.5079999999</v>
      </c>
      <c r="D2274" s="6">
        <v>693809.55900000001</v>
      </c>
      <c r="E2274" s="2" t="s">
        <v>66</v>
      </c>
      <c r="F2274" s="1">
        <v>24</v>
      </c>
      <c r="G2274" s="2" t="s">
        <v>50</v>
      </c>
      <c r="J2274"/>
      <c r="K2274" s="19"/>
      <c r="L2274" s="21"/>
      <c r="M2274" s="27"/>
      <c r="N2274" s="19"/>
      <c r="O2274" s="21"/>
      <c r="P2274" s="7">
        <v>0.24</v>
      </c>
      <c r="Q2274" s="7">
        <f>Table2[[#This Row],[Elevation
PILE TOP]]-Table2[[#This Row],[LENGTH(m.)
(Actual)]]</f>
        <v>0.24</v>
      </c>
      <c r="R2274" s="2"/>
      <c r="S2274" s="7">
        <f>Table2[[#This Row],[N]]+Table2[[#This Row],[Pile 
Deviation 
N (m)]]</f>
        <v>1511734.5079999999</v>
      </c>
      <c r="T2274" s="7">
        <f>Table2[[#This Row],[E]]+Table2[[#This Row],[Pile 
Deviation 
E (m)]]</f>
        <v>693809.55900000001</v>
      </c>
      <c r="W2274" s="7">
        <v>0.24</v>
      </c>
      <c r="X2274" s="2" t="s">
        <v>68</v>
      </c>
      <c r="AA2274" s="9">
        <v>46217</v>
      </c>
    </row>
    <row r="2275" spans="1:27" hidden="1" x14ac:dyDescent="0.65">
      <c r="A2275">
        <v>2268</v>
      </c>
      <c r="B2275" t="s">
        <v>29</v>
      </c>
      <c r="C2275" s="6">
        <v>1511731.1980000001</v>
      </c>
      <c r="D2275" s="6">
        <v>693808.42200000002</v>
      </c>
      <c r="E2275" s="2" t="s">
        <v>66</v>
      </c>
      <c r="F2275" s="1">
        <v>24</v>
      </c>
      <c r="G2275" s="2" t="s">
        <v>50</v>
      </c>
      <c r="J2275"/>
      <c r="K2275" s="19"/>
      <c r="L2275" s="21"/>
      <c r="M2275" s="27"/>
      <c r="N2275" s="19"/>
      <c r="O2275" s="21"/>
      <c r="P2275" s="7">
        <v>0.24</v>
      </c>
      <c r="Q2275" s="7">
        <f>Table2[[#This Row],[Elevation
PILE TOP]]-Table2[[#This Row],[LENGTH(m.)
(Actual)]]</f>
        <v>0.24</v>
      </c>
      <c r="R2275" s="2"/>
      <c r="S2275" s="7">
        <f>Table2[[#This Row],[N]]+Table2[[#This Row],[Pile 
Deviation 
N (m)]]</f>
        <v>1511731.1980000001</v>
      </c>
      <c r="T2275" s="7">
        <f>Table2[[#This Row],[E]]+Table2[[#This Row],[Pile 
Deviation 
E (m)]]</f>
        <v>693808.42200000002</v>
      </c>
      <c r="W2275" s="7">
        <v>0.24</v>
      </c>
      <c r="X2275" s="2" t="s">
        <v>68</v>
      </c>
      <c r="AA2275" s="9">
        <v>46216</v>
      </c>
    </row>
    <row r="2276" spans="1:27" ht="13.95" hidden="1" customHeight="1" x14ac:dyDescent="0.65">
      <c r="A2276">
        <v>2269</v>
      </c>
      <c r="B2276" t="s">
        <v>29</v>
      </c>
      <c r="C2276" s="6">
        <v>1511730.385</v>
      </c>
      <c r="D2276" s="6">
        <v>693810.78599999996</v>
      </c>
      <c r="E2276" s="2" t="s">
        <v>66</v>
      </c>
      <c r="F2276" s="1">
        <v>24</v>
      </c>
      <c r="G2276" s="2" t="s">
        <v>50</v>
      </c>
      <c r="J2276"/>
      <c r="K2276" s="19"/>
      <c r="L2276" s="21"/>
      <c r="M2276" s="27"/>
      <c r="N2276" s="19"/>
      <c r="O2276" s="21"/>
      <c r="P2276" s="7">
        <v>0.24</v>
      </c>
      <c r="Q2276" s="7">
        <f>Table2[[#This Row],[Elevation
PILE TOP]]-Table2[[#This Row],[LENGTH(m.)
(Actual)]]</f>
        <v>0.24</v>
      </c>
      <c r="R2276" s="2"/>
      <c r="S2276" s="7">
        <f>Table2[[#This Row],[N]]+Table2[[#This Row],[Pile 
Deviation 
N (m)]]</f>
        <v>1511730.385</v>
      </c>
      <c r="T2276" s="7">
        <f>Table2[[#This Row],[E]]+Table2[[#This Row],[Pile 
Deviation 
E (m)]]</f>
        <v>693810.78599999996</v>
      </c>
      <c r="W2276" s="7">
        <v>0.24</v>
      </c>
      <c r="X2276" s="2" t="s">
        <v>68</v>
      </c>
      <c r="AA2276" s="9">
        <v>46216</v>
      </c>
    </row>
    <row r="2277" spans="1:27" hidden="1" x14ac:dyDescent="0.65">
      <c r="A2277">
        <v>2270</v>
      </c>
      <c r="B2277" t="s">
        <v>29</v>
      </c>
      <c r="C2277" s="6">
        <v>1511727.888</v>
      </c>
      <c r="D2277" s="6">
        <v>693807.28399999999</v>
      </c>
      <c r="E2277" s="2" t="s">
        <v>66</v>
      </c>
      <c r="F2277" s="1">
        <v>24</v>
      </c>
      <c r="G2277" s="2" t="s">
        <v>50</v>
      </c>
      <c r="J2277"/>
      <c r="K2277" s="19"/>
      <c r="L2277" s="21"/>
      <c r="M2277" s="27"/>
      <c r="N2277" s="19"/>
      <c r="O2277" s="21"/>
      <c r="P2277" s="7">
        <v>0.24</v>
      </c>
      <c r="Q2277" s="7">
        <f>Table2[[#This Row],[Elevation
PILE TOP]]-Table2[[#This Row],[LENGTH(m.)
(Actual)]]</f>
        <v>0.24</v>
      </c>
      <c r="R2277" s="2"/>
      <c r="S2277" s="7">
        <f>Table2[[#This Row],[N]]+Table2[[#This Row],[Pile 
Deviation 
N (m)]]</f>
        <v>1511727.888</v>
      </c>
      <c r="T2277" s="7">
        <f>Table2[[#This Row],[E]]+Table2[[#This Row],[Pile 
Deviation 
E (m)]]</f>
        <v>693807.28399999999</v>
      </c>
      <c r="W2277" s="7">
        <v>0.24</v>
      </c>
      <c r="X2277" s="2" t="s">
        <v>68</v>
      </c>
      <c r="AA2277" s="9">
        <v>46216</v>
      </c>
    </row>
    <row r="2278" spans="1:27" ht="13.95" hidden="1" customHeight="1" x14ac:dyDescent="0.65">
      <c r="A2278">
        <v>2271</v>
      </c>
      <c r="B2278" t="s">
        <v>29</v>
      </c>
      <c r="C2278" s="6">
        <v>1511724.578</v>
      </c>
      <c r="D2278" s="6">
        <v>693806.147</v>
      </c>
      <c r="E2278" s="2" t="s">
        <v>66</v>
      </c>
      <c r="F2278" s="1">
        <v>24</v>
      </c>
      <c r="G2278" s="2" t="s">
        <v>50</v>
      </c>
      <c r="J2278"/>
      <c r="K2278" s="19"/>
      <c r="L2278" s="21"/>
      <c r="M2278" s="27"/>
      <c r="N2278" s="19"/>
      <c r="O2278" s="21"/>
      <c r="P2278" s="7">
        <v>0.24</v>
      </c>
      <c r="Q2278" s="7">
        <f>Table2[[#This Row],[Elevation
PILE TOP]]-Table2[[#This Row],[LENGTH(m.)
(Actual)]]</f>
        <v>0.24</v>
      </c>
      <c r="R2278" s="2"/>
      <c r="S2278" s="7">
        <f>Table2[[#This Row],[N]]+Table2[[#This Row],[Pile 
Deviation 
N (m)]]</f>
        <v>1511724.578</v>
      </c>
      <c r="T2278" s="7">
        <f>Table2[[#This Row],[E]]+Table2[[#This Row],[Pile 
Deviation 
E (m)]]</f>
        <v>693806.147</v>
      </c>
      <c r="W2278" s="7">
        <v>0.24</v>
      </c>
      <c r="X2278" s="2" t="s">
        <v>68</v>
      </c>
      <c r="AA2278" s="9">
        <v>46216</v>
      </c>
    </row>
    <row r="2279" spans="1:27" hidden="1" x14ac:dyDescent="0.65">
      <c r="A2279">
        <v>2272</v>
      </c>
      <c r="B2279" t="s">
        <v>29</v>
      </c>
      <c r="C2279" s="6">
        <v>1511723.7649999999</v>
      </c>
      <c r="D2279" s="6">
        <v>693808.51100000006</v>
      </c>
      <c r="E2279" s="2" t="s">
        <v>66</v>
      </c>
      <c r="F2279" s="1">
        <v>24</v>
      </c>
      <c r="G2279" s="2" t="s">
        <v>50</v>
      </c>
      <c r="J2279"/>
      <c r="K2279" s="19"/>
      <c r="L2279" s="21"/>
      <c r="M2279" s="27"/>
      <c r="N2279" s="19"/>
      <c r="O2279" s="21"/>
      <c r="P2279" s="7">
        <v>0.24</v>
      </c>
      <c r="Q2279" s="7">
        <f>Table2[[#This Row],[Elevation
PILE TOP]]-Table2[[#This Row],[LENGTH(m.)
(Actual)]]</f>
        <v>0.24</v>
      </c>
      <c r="R2279" s="2"/>
      <c r="S2279" s="7">
        <f>Table2[[#This Row],[N]]+Table2[[#This Row],[Pile 
Deviation 
N (m)]]</f>
        <v>1511723.7649999999</v>
      </c>
      <c r="T2279" s="7">
        <f>Table2[[#This Row],[E]]+Table2[[#This Row],[Pile 
Deviation 
E (m)]]</f>
        <v>693808.51100000006</v>
      </c>
      <c r="W2279" s="7">
        <v>0.24</v>
      </c>
      <c r="X2279" s="2" t="s">
        <v>68</v>
      </c>
      <c r="AA2279" s="9">
        <v>46216</v>
      </c>
    </row>
    <row r="2280" spans="1:27" ht="13.95" hidden="1" customHeight="1" x14ac:dyDescent="0.65">
      <c r="A2280">
        <v>2273</v>
      </c>
      <c r="B2280" t="s">
        <v>29</v>
      </c>
      <c r="C2280" s="6">
        <v>1511721.2679999999</v>
      </c>
      <c r="D2280" s="6">
        <v>693805.00899999996</v>
      </c>
      <c r="E2280" s="2" t="s">
        <v>66</v>
      </c>
      <c r="F2280" s="1">
        <v>24</v>
      </c>
      <c r="G2280" s="2" t="s">
        <v>50</v>
      </c>
      <c r="J2280"/>
      <c r="K2280" s="19"/>
      <c r="L2280" s="21"/>
      <c r="M2280" s="27"/>
      <c r="N2280" s="19"/>
      <c r="O2280" s="21"/>
      <c r="P2280" s="7">
        <v>0.24</v>
      </c>
      <c r="Q2280" s="7">
        <f>Table2[[#This Row],[Elevation
PILE TOP]]-Table2[[#This Row],[LENGTH(m.)
(Actual)]]</f>
        <v>0.24</v>
      </c>
      <c r="R2280" s="2"/>
      <c r="S2280" s="7">
        <f>Table2[[#This Row],[N]]+Table2[[#This Row],[Pile 
Deviation 
N (m)]]</f>
        <v>1511721.2679999999</v>
      </c>
      <c r="T2280" s="7">
        <f>Table2[[#This Row],[E]]+Table2[[#This Row],[Pile 
Deviation 
E (m)]]</f>
        <v>693805.00899999996</v>
      </c>
      <c r="W2280" s="7">
        <v>0.24</v>
      </c>
      <c r="X2280" s="2" t="s">
        <v>68</v>
      </c>
      <c r="AA2280" s="9">
        <v>46214</v>
      </c>
    </row>
    <row r="2281" spans="1:27" hidden="1" x14ac:dyDescent="0.65">
      <c r="A2281">
        <v>2274</v>
      </c>
      <c r="B2281" t="s">
        <v>29</v>
      </c>
      <c r="C2281" s="6">
        <v>1511717.9580000001</v>
      </c>
      <c r="D2281" s="6">
        <v>693803.87199999997</v>
      </c>
      <c r="E2281" s="2" t="s">
        <v>66</v>
      </c>
      <c r="F2281" s="1">
        <v>24</v>
      </c>
      <c r="G2281" s="2" t="s">
        <v>50</v>
      </c>
      <c r="J2281"/>
      <c r="K2281" s="19"/>
      <c r="L2281" s="21"/>
      <c r="M2281" s="27"/>
      <c r="N2281" s="19"/>
      <c r="O2281" s="21"/>
      <c r="P2281" s="7">
        <v>0.24</v>
      </c>
      <c r="Q2281" s="7">
        <f>Table2[[#This Row],[Elevation
PILE TOP]]-Table2[[#This Row],[LENGTH(m.)
(Actual)]]</f>
        <v>0.24</v>
      </c>
      <c r="R2281" s="2"/>
      <c r="S2281" s="7">
        <f>Table2[[#This Row],[N]]+Table2[[#This Row],[Pile 
Deviation 
N (m)]]</f>
        <v>1511717.9580000001</v>
      </c>
      <c r="T2281" s="7">
        <f>Table2[[#This Row],[E]]+Table2[[#This Row],[Pile 
Deviation 
E (m)]]</f>
        <v>693803.87199999997</v>
      </c>
      <c r="W2281" s="7">
        <v>0.24</v>
      </c>
      <c r="X2281" s="2" t="s">
        <v>68</v>
      </c>
      <c r="AA2281" s="9">
        <v>46214</v>
      </c>
    </row>
    <row r="2282" spans="1:27" ht="13.95" hidden="1" customHeight="1" x14ac:dyDescent="0.65">
      <c r="A2282">
        <v>2275</v>
      </c>
      <c r="B2282" t="s">
        <v>29</v>
      </c>
      <c r="C2282" s="6">
        <v>1511717.145</v>
      </c>
      <c r="D2282" s="6">
        <v>693806.23600000003</v>
      </c>
      <c r="E2282" s="2" t="s">
        <v>66</v>
      </c>
      <c r="F2282" s="1">
        <v>24</v>
      </c>
      <c r="G2282" s="2" t="s">
        <v>50</v>
      </c>
      <c r="J2282"/>
      <c r="K2282" s="19"/>
      <c r="L2282" s="21"/>
      <c r="M2282" s="27"/>
      <c r="N2282" s="19"/>
      <c r="O2282" s="21"/>
      <c r="P2282" s="7">
        <v>0.24</v>
      </c>
      <c r="Q2282" s="7">
        <f>Table2[[#This Row],[Elevation
PILE TOP]]-Table2[[#This Row],[LENGTH(m.)
(Actual)]]</f>
        <v>0.24</v>
      </c>
      <c r="R2282" s="2"/>
      <c r="S2282" s="7">
        <f>Table2[[#This Row],[N]]+Table2[[#This Row],[Pile 
Deviation 
N (m)]]</f>
        <v>1511717.145</v>
      </c>
      <c r="T2282" s="7">
        <f>Table2[[#This Row],[E]]+Table2[[#This Row],[Pile 
Deviation 
E (m)]]</f>
        <v>693806.23600000003</v>
      </c>
      <c r="W2282" s="7">
        <v>0.24</v>
      </c>
      <c r="X2282" s="2" t="s">
        <v>68</v>
      </c>
      <c r="AA2282" s="9">
        <v>46214</v>
      </c>
    </row>
    <row r="2283" spans="1:27" hidden="1" x14ac:dyDescent="0.65">
      <c r="A2283">
        <v>2276</v>
      </c>
      <c r="B2283" t="s">
        <v>29</v>
      </c>
      <c r="C2283" s="6">
        <v>1511714.858</v>
      </c>
      <c r="D2283" s="6">
        <v>693802.80700000003</v>
      </c>
      <c r="E2283" s="2" t="s">
        <v>66</v>
      </c>
      <c r="F2283" s="1">
        <v>24</v>
      </c>
      <c r="G2283" s="2" t="s">
        <v>50</v>
      </c>
      <c r="J2283"/>
      <c r="K2283" s="19"/>
      <c r="L2283" s="21"/>
      <c r="M2283" s="27"/>
      <c r="N2283" s="19"/>
      <c r="O2283" s="21"/>
      <c r="P2283" s="7">
        <v>0.24</v>
      </c>
      <c r="Q2283" s="7">
        <f>Table2[[#This Row],[Elevation
PILE TOP]]-Table2[[#This Row],[LENGTH(m.)
(Actual)]]</f>
        <v>0.24</v>
      </c>
      <c r="R2283" s="2"/>
      <c r="S2283" s="7">
        <f>Table2[[#This Row],[N]]+Table2[[#This Row],[Pile 
Deviation 
N (m)]]</f>
        <v>1511714.858</v>
      </c>
      <c r="T2283" s="7">
        <f>Table2[[#This Row],[E]]+Table2[[#This Row],[Pile 
Deviation 
E (m)]]</f>
        <v>693802.80700000003</v>
      </c>
      <c r="W2283" s="7">
        <v>0.24</v>
      </c>
      <c r="X2283" s="2" t="s">
        <v>68</v>
      </c>
      <c r="AA2283" s="9">
        <v>46214</v>
      </c>
    </row>
    <row r="2284" spans="1:27" ht="13.95" hidden="1" customHeight="1" x14ac:dyDescent="0.65">
      <c r="A2284">
        <v>2277</v>
      </c>
      <c r="B2284" t="s">
        <v>29</v>
      </c>
      <c r="C2284" s="6">
        <v>1511714.041</v>
      </c>
      <c r="D2284" s="6">
        <v>693805.18500000006</v>
      </c>
      <c r="E2284" s="2" t="s">
        <v>66</v>
      </c>
      <c r="F2284" s="1">
        <v>24</v>
      </c>
      <c r="G2284" s="2" t="s">
        <v>50</v>
      </c>
      <c r="J2284"/>
      <c r="K2284" s="19"/>
      <c r="L2284" s="21"/>
      <c r="M2284" s="27"/>
      <c r="N2284" s="19"/>
      <c r="O2284" s="21"/>
      <c r="P2284" s="7">
        <v>0.24</v>
      </c>
      <c r="Q2284" s="7">
        <f>Table2[[#This Row],[Elevation
PILE TOP]]-Table2[[#This Row],[LENGTH(m.)
(Actual)]]</f>
        <v>0.24</v>
      </c>
      <c r="R2284" s="2"/>
      <c r="S2284" s="7">
        <f>Table2[[#This Row],[N]]+Table2[[#This Row],[Pile 
Deviation 
N (m)]]</f>
        <v>1511714.041</v>
      </c>
      <c r="T2284" s="7">
        <f>Table2[[#This Row],[E]]+Table2[[#This Row],[Pile 
Deviation 
E (m)]]</f>
        <v>693805.18500000006</v>
      </c>
      <c r="W2284" s="7">
        <v>0.24</v>
      </c>
      <c r="X2284" s="2" t="s">
        <v>68</v>
      </c>
      <c r="AA2284" s="9">
        <v>46214</v>
      </c>
    </row>
    <row r="2285" spans="1:27" hidden="1" x14ac:dyDescent="0.65">
      <c r="A2285">
        <v>2278</v>
      </c>
      <c r="B2285" t="s">
        <v>29</v>
      </c>
      <c r="C2285" s="6">
        <v>1511712.5220000001</v>
      </c>
      <c r="D2285" s="6">
        <v>693802.00399999996</v>
      </c>
      <c r="E2285" s="2" t="s">
        <v>66</v>
      </c>
      <c r="F2285" s="1">
        <v>24</v>
      </c>
      <c r="G2285" s="2" t="s">
        <v>50</v>
      </c>
      <c r="J2285"/>
      <c r="K2285" s="19"/>
      <c r="L2285" s="21"/>
      <c r="M2285" s="27"/>
      <c r="N2285" s="19"/>
      <c r="O2285" s="21"/>
      <c r="P2285" s="7">
        <v>0.24</v>
      </c>
      <c r="Q2285" s="7">
        <f>Table2[[#This Row],[Elevation
PILE TOP]]-Table2[[#This Row],[LENGTH(m.)
(Actual)]]</f>
        <v>0.24</v>
      </c>
      <c r="R2285" s="2"/>
      <c r="S2285" s="7">
        <f>Table2[[#This Row],[N]]+Table2[[#This Row],[Pile 
Deviation 
N (m)]]</f>
        <v>1511712.5220000001</v>
      </c>
      <c r="T2285" s="7">
        <f>Table2[[#This Row],[E]]+Table2[[#This Row],[Pile 
Deviation 
E (m)]]</f>
        <v>693802.00399999996</v>
      </c>
      <c r="W2285" s="7">
        <v>0.24</v>
      </c>
      <c r="X2285" s="2" t="s">
        <v>68</v>
      </c>
      <c r="AA2285" s="9">
        <v>46214</v>
      </c>
    </row>
    <row r="2286" spans="1:27" ht="13.95" hidden="1" customHeight="1" x14ac:dyDescent="0.65">
      <c r="A2286">
        <v>2279</v>
      </c>
      <c r="B2286" t="s">
        <v>29</v>
      </c>
      <c r="C2286" s="6">
        <v>1511711.885</v>
      </c>
      <c r="D2286" s="6">
        <v>693811.228</v>
      </c>
      <c r="E2286" s="2" t="s">
        <v>66</v>
      </c>
      <c r="F2286" s="1">
        <v>24</v>
      </c>
      <c r="G2286" s="2" t="s">
        <v>50</v>
      </c>
      <c r="J2286"/>
      <c r="K2286" s="19"/>
      <c r="L2286" s="21"/>
      <c r="M2286" s="27"/>
      <c r="N2286" s="19"/>
      <c r="O2286" s="21"/>
      <c r="P2286" s="7">
        <v>0.24</v>
      </c>
      <c r="Q2286" s="7">
        <f>Table2[[#This Row],[Elevation
PILE TOP]]-Table2[[#This Row],[LENGTH(m.)
(Actual)]]</f>
        <v>0.24</v>
      </c>
      <c r="R2286" s="2"/>
      <c r="S2286" s="7">
        <f>Table2[[#This Row],[N]]+Table2[[#This Row],[Pile 
Deviation 
N (m)]]</f>
        <v>1511711.885</v>
      </c>
      <c r="T2286" s="7">
        <f>Table2[[#This Row],[E]]+Table2[[#This Row],[Pile 
Deviation 
E (m)]]</f>
        <v>693811.228</v>
      </c>
      <c r="W2286" s="7">
        <v>0.24</v>
      </c>
      <c r="X2286" s="2" t="s">
        <v>68</v>
      </c>
      <c r="AA2286" s="9">
        <v>46213</v>
      </c>
    </row>
    <row r="2287" spans="1:27" hidden="1" x14ac:dyDescent="0.65">
      <c r="A2287">
        <v>2280</v>
      </c>
      <c r="B2287" t="s">
        <v>29</v>
      </c>
      <c r="C2287" s="6">
        <v>1511711.686</v>
      </c>
      <c r="D2287" s="6">
        <v>693804.34499999997</v>
      </c>
      <c r="E2287" s="2" t="s">
        <v>66</v>
      </c>
      <c r="F2287" s="1">
        <v>24</v>
      </c>
      <c r="G2287" s="2" t="s">
        <v>50</v>
      </c>
      <c r="J2287"/>
      <c r="K2287" s="19"/>
      <c r="L2287" s="21"/>
      <c r="M2287" s="27"/>
      <c r="N2287" s="19"/>
      <c r="O2287" s="21"/>
      <c r="P2287" s="7">
        <v>0.24</v>
      </c>
      <c r="Q2287" s="7">
        <f>Table2[[#This Row],[Elevation
PILE TOP]]-Table2[[#This Row],[LENGTH(m.)
(Actual)]]</f>
        <v>0.24</v>
      </c>
      <c r="R2287" s="2"/>
      <c r="S2287" s="7">
        <f>Table2[[#This Row],[N]]+Table2[[#This Row],[Pile 
Deviation 
N (m)]]</f>
        <v>1511711.686</v>
      </c>
      <c r="T2287" s="7">
        <f>Table2[[#This Row],[E]]+Table2[[#This Row],[Pile 
Deviation 
E (m)]]</f>
        <v>693804.34499999997</v>
      </c>
      <c r="W2287" s="7">
        <v>0.24</v>
      </c>
      <c r="X2287" s="2" t="s">
        <v>68</v>
      </c>
      <c r="AA2287" s="9">
        <v>46214</v>
      </c>
    </row>
    <row r="2288" spans="1:27" ht="13.95" hidden="1" customHeight="1" x14ac:dyDescent="0.65">
      <c r="A2288">
        <v>2281</v>
      </c>
      <c r="B2288" t="s">
        <v>29</v>
      </c>
      <c r="C2288" s="6">
        <v>1511710.608</v>
      </c>
      <c r="D2288" s="6">
        <v>693807.36699999997</v>
      </c>
      <c r="E2288" s="2" t="s">
        <v>66</v>
      </c>
      <c r="F2288" s="1">
        <v>24</v>
      </c>
      <c r="G2288" s="2" t="s">
        <v>50</v>
      </c>
      <c r="J2288"/>
      <c r="K2288" s="19"/>
      <c r="L2288" s="21"/>
      <c r="M2288" s="27"/>
      <c r="N2288" s="19"/>
      <c r="O2288" s="21"/>
      <c r="P2288" s="7">
        <v>0.24</v>
      </c>
      <c r="Q2288" s="7">
        <f>Table2[[#This Row],[Elevation
PILE TOP]]-Table2[[#This Row],[LENGTH(m.)
(Actual)]]</f>
        <v>0.24</v>
      </c>
      <c r="R2288" s="2"/>
      <c r="S2288" s="7">
        <f>Table2[[#This Row],[N]]+Table2[[#This Row],[Pile 
Deviation 
N (m)]]</f>
        <v>1511710.608</v>
      </c>
      <c r="T2288" s="7">
        <f>Table2[[#This Row],[E]]+Table2[[#This Row],[Pile 
Deviation 
E (m)]]</f>
        <v>693807.36699999997</v>
      </c>
      <c r="W2288" s="7">
        <v>0.24</v>
      </c>
      <c r="X2288" s="2" t="s">
        <v>68</v>
      </c>
      <c r="AA2288" s="9">
        <v>46213</v>
      </c>
    </row>
    <row r="2289" spans="1:27" hidden="1" x14ac:dyDescent="0.65">
      <c r="A2289">
        <v>2282</v>
      </c>
      <c r="B2289" t="s">
        <v>29</v>
      </c>
      <c r="C2289" s="6">
        <v>1511709.5330000001</v>
      </c>
      <c r="D2289" s="6">
        <v>693817.821</v>
      </c>
      <c r="E2289" s="2" t="s">
        <v>66</v>
      </c>
      <c r="F2289" s="1">
        <v>24</v>
      </c>
      <c r="G2289" s="2" t="s">
        <v>50</v>
      </c>
      <c r="J2289"/>
      <c r="K2289" s="19"/>
      <c r="L2289" s="21"/>
      <c r="M2289" s="27"/>
      <c r="N2289" s="19"/>
      <c r="O2289" s="21"/>
      <c r="P2289" s="7">
        <v>0.24</v>
      </c>
      <c r="Q2289" s="7">
        <f>Table2[[#This Row],[Elevation
PILE TOP]]-Table2[[#This Row],[LENGTH(m.)
(Actual)]]</f>
        <v>0.24</v>
      </c>
      <c r="R2289" s="2"/>
      <c r="S2289" s="7">
        <f>Table2[[#This Row],[N]]+Table2[[#This Row],[Pile 
Deviation 
N (m)]]</f>
        <v>1511709.5330000001</v>
      </c>
      <c r="T2289" s="7">
        <f>Table2[[#This Row],[E]]+Table2[[#This Row],[Pile 
Deviation 
E (m)]]</f>
        <v>693817.821</v>
      </c>
      <c r="W2289" s="7">
        <v>0.24</v>
      </c>
      <c r="X2289" s="2" t="s">
        <v>68</v>
      </c>
      <c r="AA2289" s="9">
        <v>46213</v>
      </c>
    </row>
    <row r="2290" spans="1:27" ht="13.95" hidden="1" customHeight="1" x14ac:dyDescent="0.65">
      <c r="A2290">
        <v>2283</v>
      </c>
      <c r="B2290" t="s">
        <v>29</v>
      </c>
      <c r="C2290" s="6">
        <v>1511709.53</v>
      </c>
      <c r="D2290" s="6">
        <v>693810.38800000004</v>
      </c>
      <c r="E2290" s="2" t="s">
        <v>66</v>
      </c>
      <c r="F2290" s="1">
        <v>24</v>
      </c>
      <c r="G2290" s="2" t="s">
        <v>50</v>
      </c>
      <c r="J2290"/>
      <c r="K2290" s="19"/>
      <c r="L2290" s="21"/>
      <c r="M2290" s="27"/>
      <c r="N2290" s="19"/>
      <c r="O2290" s="21"/>
      <c r="P2290" s="7">
        <v>0.24</v>
      </c>
      <c r="Q2290" s="7">
        <f>Table2[[#This Row],[Elevation
PILE TOP]]-Table2[[#This Row],[LENGTH(m.)
(Actual)]]</f>
        <v>0.24</v>
      </c>
      <c r="R2290" s="2"/>
      <c r="S2290" s="7">
        <f>Table2[[#This Row],[N]]+Table2[[#This Row],[Pile 
Deviation 
N (m)]]</f>
        <v>1511709.53</v>
      </c>
      <c r="T2290" s="7">
        <f>Table2[[#This Row],[E]]+Table2[[#This Row],[Pile 
Deviation 
E (m)]]</f>
        <v>693810.38800000004</v>
      </c>
      <c r="W2290" s="7">
        <v>0.24</v>
      </c>
      <c r="X2290" s="2" t="s">
        <v>68</v>
      </c>
      <c r="AA2290" s="9">
        <v>46213</v>
      </c>
    </row>
    <row r="2291" spans="1:27" hidden="1" x14ac:dyDescent="0.65">
      <c r="A2291">
        <v>2284</v>
      </c>
      <c r="B2291" t="s">
        <v>29</v>
      </c>
      <c r="C2291" s="6">
        <v>1511708.3540000001</v>
      </c>
      <c r="D2291" s="6">
        <v>693813.68500000006</v>
      </c>
      <c r="E2291" s="2" t="s">
        <v>66</v>
      </c>
      <c r="F2291" s="1">
        <v>24</v>
      </c>
      <c r="G2291" s="2" t="s">
        <v>50</v>
      </c>
      <c r="J2291"/>
      <c r="K2291" s="19"/>
      <c r="L2291" s="21"/>
      <c r="M2291" s="27"/>
      <c r="N2291" s="19"/>
      <c r="O2291" s="21"/>
      <c r="P2291" s="7">
        <v>0.24</v>
      </c>
      <c r="Q2291" s="7">
        <f>Table2[[#This Row],[Elevation
PILE TOP]]-Table2[[#This Row],[LENGTH(m.)
(Actual)]]</f>
        <v>0.24</v>
      </c>
      <c r="R2291" s="2"/>
      <c r="S2291" s="7">
        <f>Table2[[#This Row],[N]]+Table2[[#This Row],[Pile 
Deviation 
N (m)]]</f>
        <v>1511708.3540000001</v>
      </c>
      <c r="T2291" s="7">
        <f>Table2[[#This Row],[E]]+Table2[[#This Row],[Pile 
Deviation 
E (m)]]</f>
        <v>693813.68500000006</v>
      </c>
      <c r="W2291" s="7">
        <v>0.24</v>
      </c>
      <c r="X2291" s="2" t="s">
        <v>68</v>
      </c>
      <c r="AA2291" s="9">
        <v>46213</v>
      </c>
    </row>
    <row r="2292" spans="1:27" ht="13.95" hidden="1" customHeight="1" x14ac:dyDescent="0.65">
      <c r="A2292">
        <v>2285</v>
      </c>
      <c r="B2292" t="s">
        <v>29</v>
      </c>
      <c r="C2292" s="6">
        <v>1511707.1810000001</v>
      </c>
      <c r="D2292" s="6">
        <v>693824.41500000004</v>
      </c>
      <c r="E2292" s="2" t="s">
        <v>66</v>
      </c>
      <c r="F2292" s="1">
        <v>24</v>
      </c>
      <c r="G2292" s="2" t="s">
        <v>50</v>
      </c>
      <c r="J2292"/>
      <c r="K2292" s="19"/>
      <c r="L2292" s="21"/>
      <c r="M2292" s="27"/>
      <c r="N2292" s="19"/>
      <c r="O2292" s="21"/>
      <c r="P2292" s="7">
        <v>0.24</v>
      </c>
      <c r="Q2292" s="7">
        <f>Table2[[#This Row],[Elevation
PILE TOP]]-Table2[[#This Row],[LENGTH(m.)
(Actual)]]</f>
        <v>0.24</v>
      </c>
      <c r="R2292" s="2"/>
      <c r="S2292" s="7">
        <f>Table2[[#This Row],[N]]+Table2[[#This Row],[Pile 
Deviation 
N (m)]]</f>
        <v>1511707.1810000001</v>
      </c>
      <c r="T2292" s="7">
        <f>Table2[[#This Row],[E]]+Table2[[#This Row],[Pile 
Deviation 
E (m)]]</f>
        <v>693824.41500000004</v>
      </c>
      <c r="W2292" s="7">
        <v>0.24</v>
      </c>
      <c r="X2292" s="2" t="s">
        <v>68</v>
      </c>
      <c r="AA2292" s="9">
        <v>46212</v>
      </c>
    </row>
    <row r="2293" spans="1:27" hidden="1" x14ac:dyDescent="0.65">
      <c r="A2293">
        <v>2286</v>
      </c>
      <c r="B2293" t="s">
        <v>29</v>
      </c>
      <c r="C2293" s="6">
        <v>1511707.1780000001</v>
      </c>
      <c r="D2293" s="6">
        <v>693816.98100000003</v>
      </c>
      <c r="E2293" s="2" t="s">
        <v>66</v>
      </c>
      <c r="F2293" s="1">
        <v>24</v>
      </c>
      <c r="G2293" s="2" t="s">
        <v>50</v>
      </c>
      <c r="J2293"/>
      <c r="K2293" s="19"/>
      <c r="L2293" s="21"/>
      <c r="M2293" s="27"/>
      <c r="N2293" s="19"/>
      <c r="O2293" s="21"/>
      <c r="P2293" s="7">
        <v>0.24</v>
      </c>
      <c r="Q2293" s="7">
        <f>Table2[[#This Row],[Elevation
PILE TOP]]-Table2[[#This Row],[LENGTH(m.)
(Actual)]]</f>
        <v>0.24</v>
      </c>
      <c r="R2293" s="2"/>
      <c r="S2293" s="7">
        <f>Table2[[#This Row],[N]]+Table2[[#This Row],[Pile 
Deviation 
N (m)]]</f>
        <v>1511707.1780000001</v>
      </c>
      <c r="T2293" s="7">
        <f>Table2[[#This Row],[E]]+Table2[[#This Row],[Pile 
Deviation 
E (m)]]</f>
        <v>693816.98100000003</v>
      </c>
      <c r="W2293" s="7">
        <v>0.24</v>
      </c>
      <c r="X2293" s="2" t="s">
        <v>68</v>
      </c>
      <c r="AA2293" s="9">
        <v>46213</v>
      </c>
    </row>
    <row r="2294" spans="1:27" ht="13.95" customHeight="1" x14ac:dyDescent="0.65">
      <c r="A2294">
        <v>2287</v>
      </c>
      <c r="B2294" t="s">
        <v>29</v>
      </c>
      <c r="C2294" s="6">
        <v>1511706.7250000001</v>
      </c>
      <c r="D2294" s="6">
        <v>693931.71400000004</v>
      </c>
      <c r="E2294" s="2" t="s">
        <v>66</v>
      </c>
      <c r="F2294" s="1">
        <v>24</v>
      </c>
      <c r="G2294" s="2" t="s">
        <v>50</v>
      </c>
      <c r="J2294"/>
      <c r="K2294" s="19"/>
      <c r="L2294" s="21"/>
      <c r="M2294" s="27"/>
      <c r="N2294" s="19"/>
      <c r="O2294" s="21"/>
      <c r="P2294" s="7">
        <v>0.24</v>
      </c>
      <c r="Q2294" s="7">
        <f>Table2[[#This Row],[Elevation
PILE TOP]]-Table2[[#This Row],[LENGTH(m.)
(Actual)]]</f>
        <v>0.24</v>
      </c>
      <c r="R2294" s="2"/>
      <c r="S2294" s="7">
        <f>Table2[[#This Row],[N]]+Table2[[#This Row],[Pile 
Deviation 
N (m)]]</f>
        <v>1511706.7250000001</v>
      </c>
      <c r="T2294" s="7">
        <f>Table2[[#This Row],[E]]+Table2[[#This Row],[Pile 
Deviation 
E (m)]]</f>
        <v>693931.71400000004</v>
      </c>
      <c r="W2294" s="7">
        <v>0.24</v>
      </c>
      <c r="X2294" s="2" t="s">
        <v>68</v>
      </c>
      <c r="AA2294" s="9">
        <v>46203</v>
      </c>
    </row>
    <row r="2295" spans="1:27" hidden="1" x14ac:dyDescent="0.65">
      <c r="A2295">
        <v>2288</v>
      </c>
      <c r="B2295" t="s">
        <v>29</v>
      </c>
      <c r="C2295" s="6">
        <v>1511706.0020000001</v>
      </c>
      <c r="D2295" s="6">
        <v>693820.27800000005</v>
      </c>
      <c r="E2295" s="2" t="s">
        <v>66</v>
      </c>
      <c r="F2295" s="1">
        <v>24</v>
      </c>
      <c r="G2295" s="2" t="s">
        <v>50</v>
      </c>
      <c r="J2295"/>
      <c r="K2295" s="19"/>
      <c r="L2295" s="21"/>
      <c r="M2295" s="27"/>
      <c r="N2295" s="19"/>
      <c r="O2295" s="21"/>
      <c r="P2295" s="7">
        <v>0.24</v>
      </c>
      <c r="Q2295" s="7">
        <f>Table2[[#This Row],[Elevation
PILE TOP]]-Table2[[#This Row],[LENGTH(m.)
(Actual)]]</f>
        <v>0.24</v>
      </c>
      <c r="R2295" s="2"/>
      <c r="S2295" s="7">
        <f>Table2[[#This Row],[N]]+Table2[[#This Row],[Pile 
Deviation 
N (m)]]</f>
        <v>1511706.0020000001</v>
      </c>
      <c r="T2295" s="7">
        <f>Table2[[#This Row],[E]]+Table2[[#This Row],[Pile 
Deviation 
E (m)]]</f>
        <v>693820.27800000005</v>
      </c>
      <c r="W2295" s="7">
        <v>0.24</v>
      </c>
      <c r="X2295" s="2" t="s">
        <v>68</v>
      </c>
      <c r="AA2295" s="9">
        <v>46212</v>
      </c>
    </row>
    <row r="2296" spans="1:27" ht="13.95" hidden="1" customHeight="1" x14ac:dyDescent="0.65">
      <c r="A2296">
        <v>2289</v>
      </c>
      <c r="B2296" t="s">
        <v>29</v>
      </c>
      <c r="C2296" s="6">
        <v>1511704.8289999999</v>
      </c>
      <c r="D2296" s="6">
        <v>693831.00800000003</v>
      </c>
      <c r="E2296" s="2" t="s">
        <v>66</v>
      </c>
      <c r="F2296" s="1">
        <v>24</v>
      </c>
      <c r="G2296" s="2" t="s">
        <v>50</v>
      </c>
      <c r="J2296"/>
      <c r="K2296" s="19"/>
      <c r="L2296" s="21"/>
      <c r="M2296" s="27"/>
      <c r="N2296" s="19"/>
      <c r="O2296" s="21"/>
      <c r="P2296" s="7">
        <v>0.24</v>
      </c>
      <c r="Q2296" s="7">
        <f>Table2[[#This Row],[Elevation
PILE TOP]]-Table2[[#This Row],[LENGTH(m.)
(Actual)]]</f>
        <v>0.24</v>
      </c>
      <c r="R2296" s="2"/>
      <c r="S2296" s="7">
        <f>Table2[[#This Row],[N]]+Table2[[#This Row],[Pile 
Deviation 
N (m)]]</f>
        <v>1511704.8289999999</v>
      </c>
      <c r="T2296" s="7">
        <f>Table2[[#This Row],[E]]+Table2[[#This Row],[Pile 
Deviation 
E (m)]]</f>
        <v>693831.00800000003</v>
      </c>
      <c r="W2296" s="7">
        <v>0.24</v>
      </c>
      <c r="X2296" s="2" t="s">
        <v>68</v>
      </c>
      <c r="AA2296" s="9">
        <v>46212</v>
      </c>
    </row>
    <row r="2297" spans="1:27" hidden="1" x14ac:dyDescent="0.65">
      <c r="A2297">
        <v>2290</v>
      </c>
      <c r="B2297" t="s">
        <v>29</v>
      </c>
      <c r="C2297" s="6">
        <v>1511704.8259999999</v>
      </c>
      <c r="D2297" s="6">
        <v>693823.57499999995</v>
      </c>
      <c r="E2297" s="2" t="s">
        <v>66</v>
      </c>
      <c r="F2297" s="1">
        <v>24</v>
      </c>
      <c r="G2297" s="2" t="s">
        <v>50</v>
      </c>
      <c r="J2297"/>
      <c r="K2297" s="19"/>
      <c r="L2297" s="21"/>
      <c r="M2297" s="27"/>
      <c r="N2297" s="19"/>
      <c r="O2297" s="21"/>
      <c r="P2297" s="7">
        <v>0.24</v>
      </c>
      <c r="Q2297" s="7">
        <f>Table2[[#This Row],[Elevation
PILE TOP]]-Table2[[#This Row],[LENGTH(m.)
(Actual)]]</f>
        <v>0.24</v>
      </c>
      <c r="R2297" s="2"/>
      <c r="S2297" s="7">
        <f>Table2[[#This Row],[N]]+Table2[[#This Row],[Pile 
Deviation 
N (m)]]</f>
        <v>1511704.8259999999</v>
      </c>
      <c r="T2297" s="7">
        <f>Table2[[#This Row],[E]]+Table2[[#This Row],[Pile 
Deviation 
E (m)]]</f>
        <v>693823.57499999995</v>
      </c>
      <c r="W2297" s="7">
        <v>0.24</v>
      </c>
      <c r="X2297" s="2" t="s">
        <v>68</v>
      </c>
      <c r="AA2297" s="9">
        <v>46212</v>
      </c>
    </row>
    <row r="2298" spans="1:27" ht="13.95" hidden="1" customHeight="1" x14ac:dyDescent="0.65">
      <c r="A2298">
        <v>2291</v>
      </c>
      <c r="B2298" t="s">
        <v>29</v>
      </c>
      <c r="C2298" s="6">
        <v>1511703.6510000001</v>
      </c>
      <c r="D2298" s="6">
        <v>693826.87100000004</v>
      </c>
      <c r="E2298" s="2" t="s">
        <v>66</v>
      </c>
      <c r="F2298" s="1">
        <v>24</v>
      </c>
      <c r="G2298" s="2" t="s">
        <v>50</v>
      </c>
      <c r="J2298"/>
      <c r="K2298" s="19"/>
      <c r="L2298" s="21"/>
      <c r="M2298" s="27"/>
      <c r="N2298" s="19"/>
      <c r="O2298" s="21"/>
      <c r="P2298" s="7">
        <v>0.24</v>
      </c>
      <c r="Q2298" s="7">
        <f>Table2[[#This Row],[Elevation
PILE TOP]]-Table2[[#This Row],[LENGTH(m.)
(Actual)]]</f>
        <v>0.24</v>
      </c>
      <c r="R2298" s="2"/>
      <c r="S2298" s="7">
        <f>Table2[[#This Row],[N]]+Table2[[#This Row],[Pile 
Deviation 
N (m)]]</f>
        <v>1511703.6510000001</v>
      </c>
      <c r="T2298" s="7">
        <f>Table2[[#This Row],[E]]+Table2[[#This Row],[Pile 
Deviation 
E (m)]]</f>
        <v>693826.87100000004</v>
      </c>
      <c r="W2298" s="7">
        <v>0.24</v>
      </c>
      <c r="X2298" s="2" t="s">
        <v>68</v>
      </c>
      <c r="AA2298" s="9">
        <v>46212</v>
      </c>
    </row>
    <row r="2299" spans="1:27" hidden="1" x14ac:dyDescent="0.65">
      <c r="A2299">
        <v>2292</v>
      </c>
      <c r="B2299" t="s">
        <v>29</v>
      </c>
      <c r="C2299" s="6">
        <v>1511702.4779999999</v>
      </c>
      <c r="D2299" s="6">
        <v>693837.60100000002</v>
      </c>
      <c r="E2299" s="2" t="s">
        <v>66</v>
      </c>
      <c r="F2299" s="1">
        <v>24</v>
      </c>
      <c r="G2299" s="2" t="s">
        <v>50</v>
      </c>
      <c r="J2299"/>
      <c r="K2299" s="19"/>
      <c r="L2299" s="21"/>
      <c r="M2299" s="27"/>
      <c r="N2299" s="19"/>
      <c r="O2299" s="21"/>
      <c r="P2299" s="7">
        <v>0.24</v>
      </c>
      <c r="Q2299" s="7">
        <f>Table2[[#This Row],[Elevation
PILE TOP]]-Table2[[#This Row],[LENGTH(m.)
(Actual)]]</f>
        <v>0.24</v>
      </c>
      <c r="R2299" s="2"/>
      <c r="S2299" s="7">
        <f>Table2[[#This Row],[N]]+Table2[[#This Row],[Pile 
Deviation 
N (m)]]</f>
        <v>1511702.4779999999</v>
      </c>
      <c r="T2299" s="7">
        <f>Table2[[#This Row],[E]]+Table2[[#This Row],[Pile 
Deviation 
E (m)]]</f>
        <v>693837.60100000002</v>
      </c>
      <c r="W2299" s="7">
        <v>0.24</v>
      </c>
      <c r="X2299" s="2" t="s">
        <v>68</v>
      </c>
      <c r="AA2299" s="9">
        <v>46211</v>
      </c>
    </row>
    <row r="2300" spans="1:27" ht="13.95" hidden="1" customHeight="1" x14ac:dyDescent="0.65">
      <c r="A2300">
        <v>2293</v>
      </c>
      <c r="B2300" t="s">
        <v>29</v>
      </c>
      <c r="C2300" s="6">
        <v>1511702.4750000001</v>
      </c>
      <c r="D2300" s="6">
        <v>693830.16799999995</v>
      </c>
      <c r="E2300" s="2" t="s">
        <v>66</v>
      </c>
      <c r="F2300" s="1">
        <v>24</v>
      </c>
      <c r="G2300" s="2" t="s">
        <v>50</v>
      </c>
      <c r="J2300"/>
      <c r="K2300" s="19"/>
      <c r="L2300" s="21"/>
      <c r="M2300" s="27"/>
      <c r="N2300" s="19"/>
      <c r="O2300" s="21"/>
      <c r="P2300" s="7">
        <v>0.24</v>
      </c>
      <c r="Q2300" s="7">
        <f>Table2[[#This Row],[Elevation
PILE TOP]]-Table2[[#This Row],[LENGTH(m.)
(Actual)]]</f>
        <v>0.24</v>
      </c>
      <c r="R2300" s="2"/>
      <c r="S2300" s="7">
        <f>Table2[[#This Row],[N]]+Table2[[#This Row],[Pile 
Deviation 
N (m)]]</f>
        <v>1511702.4750000001</v>
      </c>
      <c r="T2300" s="7">
        <f>Table2[[#This Row],[E]]+Table2[[#This Row],[Pile 
Deviation 
E (m)]]</f>
        <v>693830.16799999995</v>
      </c>
      <c r="W2300" s="7">
        <v>0.24</v>
      </c>
      <c r="X2300" s="2" t="s">
        <v>68</v>
      </c>
      <c r="AA2300" s="9">
        <v>46212</v>
      </c>
    </row>
    <row r="2301" spans="1:27" hidden="1" x14ac:dyDescent="0.65">
      <c r="A2301">
        <v>2294</v>
      </c>
      <c r="B2301" t="s">
        <v>29</v>
      </c>
      <c r="C2301" s="6">
        <v>1511701.2990000001</v>
      </c>
      <c r="D2301" s="6">
        <v>693833.46400000004</v>
      </c>
      <c r="E2301" s="2" t="s">
        <v>66</v>
      </c>
      <c r="F2301" s="1">
        <v>24</v>
      </c>
      <c r="G2301" s="2" t="s">
        <v>50</v>
      </c>
      <c r="J2301"/>
      <c r="K2301" s="19"/>
      <c r="L2301" s="21"/>
      <c r="M2301" s="27"/>
      <c r="N2301" s="19"/>
      <c r="O2301" s="21"/>
      <c r="P2301" s="7">
        <v>0.24</v>
      </c>
      <c r="Q2301" s="7">
        <f>Table2[[#This Row],[Elevation
PILE TOP]]-Table2[[#This Row],[LENGTH(m.)
(Actual)]]</f>
        <v>0.24</v>
      </c>
      <c r="R2301" s="2"/>
      <c r="S2301" s="7">
        <f>Table2[[#This Row],[N]]+Table2[[#This Row],[Pile 
Deviation 
N (m)]]</f>
        <v>1511701.2990000001</v>
      </c>
      <c r="T2301" s="7">
        <f>Table2[[#This Row],[E]]+Table2[[#This Row],[Pile 
Deviation 
E (m)]]</f>
        <v>693833.46400000004</v>
      </c>
      <c r="W2301" s="7">
        <v>0.24</v>
      </c>
      <c r="X2301" s="2" t="s">
        <v>68</v>
      </c>
      <c r="AA2301" s="9">
        <v>46212</v>
      </c>
    </row>
    <row r="2302" spans="1:27" ht="13.95" hidden="1" customHeight="1" x14ac:dyDescent="0.65">
      <c r="A2302">
        <v>2295</v>
      </c>
      <c r="B2302" t="s">
        <v>29</v>
      </c>
      <c r="C2302" s="6">
        <v>1511700.1259999999</v>
      </c>
      <c r="D2302" s="6">
        <v>693844.19400000002</v>
      </c>
      <c r="E2302" s="2" t="s">
        <v>66</v>
      </c>
      <c r="F2302" s="1">
        <v>24</v>
      </c>
      <c r="G2302" s="2" t="s">
        <v>50</v>
      </c>
      <c r="J2302"/>
      <c r="K2302" s="19"/>
      <c r="L2302" s="21"/>
      <c r="M2302" s="27"/>
      <c r="N2302" s="19"/>
      <c r="O2302" s="21"/>
      <c r="P2302" s="7">
        <v>0.24</v>
      </c>
      <c r="Q2302" s="7">
        <f>Table2[[#This Row],[Elevation
PILE TOP]]-Table2[[#This Row],[LENGTH(m.)
(Actual)]]</f>
        <v>0.24</v>
      </c>
      <c r="R2302" s="2"/>
      <c r="S2302" s="7">
        <f>Table2[[#This Row],[N]]+Table2[[#This Row],[Pile 
Deviation 
N (m)]]</f>
        <v>1511700.1259999999</v>
      </c>
      <c r="T2302" s="7">
        <f>Table2[[#This Row],[E]]+Table2[[#This Row],[Pile 
Deviation 
E (m)]]</f>
        <v>693844.19400000002</v>
      </c>
      <c r="W2302" s="7">
        <v>0.24</v>
      </c>
      <c r="X2302" s="2" t="s">
        <v>68</v>
      </c>
      <c r="AA2302" s="9">
        <v>46211</v>
      </c>
    </row>
    <row r="2303" spans="1:27" hidden="1" x14ac:dyDescent="0.65">
      <c r="A2303">
        <v>2296</v>
      </c>
      <c r="B2303" t="s">
        <v>29</v>
      </c>
      <c r="C2303" s="6">
        <v>1511700.1229999999</v>
      </c>
      <c r="D2303" s="6">
        <v>693836.76100000006</v>
      </c>
      <c r="E2303" s="2" t="s">
        <v>66</v>
      </c>
      <c r="F2303" s="1">
        <v>24</v>
      </c>
      <c r="G2303" s="2" t="s">
        <v>50</v>
      </c>
      <c r="J2303"/>
      <c r="K2303" s="19"/>
      <c r="L2303" s="21"/>
      <c r="M2303" s="27"/>
      <c r="N2303" s="19"/>
      <c r="O2303" s="21"/>
      <c r="P2303" s="7">
        <v>0.24</v>
      </c>
      <c r="Q2303" s="7">
        <f>Table2[[#This Row],[Elevation
PILE TOP]]-Table2[[#This Row],[LENGTH(m.)
(Actual)]]</f>
        <v>0.24</v>
      </c>
      <c r="R2303" s="2"/>
      <c r="S2303" s="7">
        <f>Table2[[#This Row],[N]]+Table2[[#This Row],[Pile 
Deviation 
N (m)]]</f>
        <v>1511700.1229999999</v>
      </c>
      <c r="T2303" s="7">
        <f>Table2[[#This Row],[E]]+Table2[[#This Row],[Pile 
Deviation 
E (m)]]</f>
        <v>693836.76100000006</v>
      </c>
      <c r="W2303" s="7">
        <v>0.24</v>
      </c>
      <c r="X2303" s="2" t="s">
        <v>68</v>
      </c>
      <c r="AA2303" s="9">
        <v>46211</v>
      </c>
    </row>
    <row r="2304" spans="1:27" ht="13.95" customHeight="1" x14ac:dyDescent="0.65">
      <c r="A2304">
        <v>2297</v>
      </c>
      <c r="B2304" t="s">
        <v>29</v>
      </c>
      <c r="C2304" s="6">
        <v>1511699.9539999999</v>
      </c>
      <c r="D2304" s="6">
        <v>693929.93599999999</v>
      </c>
      <c r="E2304" s="2" t="s">
        <v>66</v>
      </c>
      <c r="F2304" s="1">
        <v>24</v>
      </c>
      <c r="G2304" s="2" t="s">
        <v>50</v>
      </c>
      <c r="J2304"/>
      <c r="K2304" s="19"/>
      <c r="L2304" s="21"/>
      <c r="M2304" s="27"/>
      <c r="N2304" s="19"/>
      <c r="O2304" s="21"/>
      <c r="P2304" s="7">
        <v>0.24</v>
      </c>
      <c r="Q2304" s="7">
        <f>Table2[[#This Row],[Elevation
PILE TOP]]-Table2[[#This Row],[LENGTH(m.)
(Actual)]]</f>
        <v>0.24</v>
      </c>
      <c r="R2304" s="2"/>
      <c r="S2304" s="7">
        <f>Table2[[#This Row],[N]]+Table2[[#This Row],[Pile 
Deviation 
N (m)]]</f>
        <v>1511699.9539999999</v>
      </c>
      <c r="T2304" s="7">
        <f>Table2[[#This Row],[E]]+Table2[[#This Row],[Pile 
Deviation 
E (m)]]</f>
        <v>693929.93599999999</v>
      </c>
      <c r="W2304" s="7">
        <v>0.24</v>
      </c>
      <c r="X2304" s="2" t="s">
        <v>68</v>
      </c>
      <c r="AA2304" s="9">
        <v>46203</v>
      </c>
    </row>
    <row r="2305" spans="1:27" hidden="1" x14ac:dyDescent="0.65">
      <c r="A2305">
        <v>2298</v>
      </c>
      <c r="B2305" t="s">
        <v>29</v>
      </c>
      <c r="C2305" s="6">
        <v>1511697.7919999999</v>
      </c>
      <c r="D2305" s="6">
        <v>693850.78500000003</v>
      </c>
      <c r="E2305" s="2" t="s">
        <v>66</v>
      </c>
      <c r="F2305" s="1">
        <v>24</v>
      </c>
      <c r="G2305" s="2" t="s">
        <v>50</v>
      </c>
      <c r="J2305"/>
      <c r="K2305" s="19"/>
      <c r="L2305" s="21"/>
      <c r="M2305" s="27"/>
      <c r="N2305" s="19"/>
      <c r="O2305" s="21"/>
      <c r="P2305" s="7">
        <v>0.24</v>
      </c>
      <c r="Q2305" s="7">
        <f>Table2[[#This Row],[Elevation
PILE TOP]]-Table2[[#This Row],[LENGTH(m.)
(Actual)]]</f>
        <v>0.24</v>
      </c>
      <c r="R2305" s="2"/>
      <c r="S2305" s="7">
        <f>Table2[[#This Row],[N]]+Table2[[#This Row],[Pile 
Deviation 
N (m)]]</f>
        <v>1511697.7919999999</v>
      </c>
      <c r="T2305" s="7">
        <f>Table2[[#This Row],[E]]+Table2[[#This Row],[Pile 
Deviation 
E (m)]]</f>
        <v>693850.78500000003</v>
      </c>
      <c r="W2305" s="7">
        <v>0.24</v>
      </c>
      <c r="X2305" s="2" t="s">
        <v>68</v>
      </c>
      <c r="AA2305" s="9">
        <v>46211</v>
      </c>
    </row>
    <row r="2306" spans="1:27" ht="13.95" hidden="1" customHeight="1" x14ac:dyDescent="0.65">
      <c r="A2306">
        <v>2299</v>
      </c>
      <c r="B2306" t="s">
        <v>29</v>
      </c>
      <c r="C2306" s="6">
        <v>1511695.4620000001</v>
      </c>
      <c r="D2306" s="6">
        <v>693857.38600000006</v>
      </c>
      <c r="E2306" s="2" t="s">
        <v>66</v>
      </c>
      <c r="F2306" s="1">
        <v>24</v>
      </c>
      <c r="G2306" s="2" t="s">
        <v>50</v>
      </c>
      <c r="J2306"/>
      <c r="K2306" s="19"/>
      <c r="L2306" s="21"/>
      <c r="M2306" s="27"/>
      <c r="N2306" s="19"/>
      <c r="O2306" s="21"/>
      <c r="P2306" s="7">
        <v>0.24</v>
      </c>
      <c r="Q2306" s="7">
        <f>Table2[[#This Row],[Elevation
PILE TOP]]-Table2[[#This Row],[LENGTH(m.)
(Actual)]]</f>
        <v>0.24</v>
      </c>
      <c r="R2306" s="2"/>
      <c r="S2306" s="7">
        <f>Table2[[#This Row],[N]]+Table2[[#This Row],[Pile 
Deviation 
N (m)]]</f>
        <v>1511695.4620000001</v>
      </c>
      <c r="T2306" s="7">
        <f>Table2[[#This Row],[E]]+Table2[[#This Row],[Pile 
Deviation 
E (m)]]</f>
        <v>693857.38600000006</v>
      </c>
      <c r="W2306" s="7">
        <v>0.24</v>
      </c>
      <c r="X2306" s="2" t="s">
        <v>68</v>
      </c>
      <c r="AA2306" s="9">
        <v>46210</v>
      </c>
    </row>
    <row r="2307" spans="1:27" hidden="1" x14ac:dyDescent="0.65">
      <c r="A2307">
        <v>2300</v>
      </c>
      <c r="B2307" t="s">
        <v>29</v>
      </c>
      <c r="C2307" s="6">
        <v>1511693.1839999999</v>
      </c>
      <c r="D2307" s="6">
        <v>693928.15700000001</v>
      </c>
      <c r="E2307" s="2" t="s">
        <v>66</v>
      </c>
      <c r="F2307" s="1">
        <v>24</v>
      </c>
      <c r="G2307" s="2" t="s">
        <v>50</v>
      </c>
      <c r="J2307"/>
      <c r="K2307" s="19"/>
      <c r="L2307" s="21"/>
      <c r="M2307" s="27"/>
      <c r="N2307" s="19"/>
      <c r="O2307" s="21"/>
      <c r="P2307" s="7">
        <v>0.24</v>
      </c>
      <c r="Q2307" s="7">
        <f>Table2[[#This Row],[Elevation
PILE TOP]]-Table2[[#This Row],[LENGTH(m.)
(Actual)]]</f>
        <v>0.24</v>
      </c>
      <c r="R2307" s="2"/>
      <c r="S2307" s="7">
        <f>Table2[[#This Row],[N]]+Table2[[#This Row],[Pile 
Deviation 
N (m)]]</f>
        <v>1511693.1839999999</v>
      </c>
      <c r="T2307" s="7">
        <f>Table2[[#This Row],[E]]+Table2[[#This Row],[Pile 
Deviation 
E (m)]]</f>
        <v>693928.15700000001</v>
      </c>
      <c r="W2307" s="7">
        <v>0.24</v>
      </c>
      <c r="X2307" s="2" t="s">
        <v>68</v>
      </c>
      <c r="AA2307" s="9">
        <v>46204</v>
      </c>
    </row>
    <row r="2308" spans="1:27" ht="13.95" hidden="1" customHeight="1" x14ac:dyDescent="0.65">
      <c r="A2308">
        <v>2301</v>
      </c>
      <c r="B2308" t="s">
        <v>29</v>
      </c>
      <c r="C2308" s="6">
        <v>1511693.132</v>
      </c>
      <c r="D2308" s="6">
        <v>693863.98600000003</v>
      </c>
      <c r="E2308" s="2" t="s">
        <v>66</v>
      </c>
      <c r="F2308" s="1">
        <v>24</v>
      </c>
      <c r="G2308" s="2" t="s">
        <v>50</v>
      </c>
      <c r="J2308"/>
      <c r="K2308" s="19"/>
      <c r="L2308" s="21"/>
      <c r="M2308" s="27"/>
      <c r="N2308" s="19"/>
      <c r="O2308" s="21"/>
      <c r="P2308" s="7">
        <v>0.24</v>
      </c>
      <c r="Q2308" s="7">
        <f>Table2[[#This Row],[Elevation
PILE TOP]]-Table2[[#This Row],[LENGTH(m.)
(Actual)]]</f>
        <v>0.24</v>
      </c>
      <c r="R2308" s="2"/>
      <c r="S2308" s="7">
        <f>Table2[[#This Row],[N]]+Table2[[#This Row],[Pile 
Deviation 
N (m)]]</f>
        <v>1511693.132</v>
      </c>
      <c r="T2308" s="7">
        <f>Table2[[#This Row],[E]]+Table2[[#This Row],[Pile 
Deviation 
E (m)]]</f>
        <v>693863.98600000003</v>
      </c>
      <c r="W2308" s="7">
        <v>0.24</v>
      </c>
      <c r="X2308" s="2" t="s">
        <v>68</v>
      </c>
      <c r="AA2308" s="9">
        <v>46210</v>
      </c>
    </row>
    <row r="2309" spans="1:27" hidden="1" x14ac:dyDescent="0.65">
      <c r="A2309">
        <v>2302</v>
      </c>
      <c r="B2309" t="s">
        <v>29</v>
      </c>
      <c r="C2309" s="6">
        <v>1511690.8019999999</v>
      </c>
      <c r="D2309" s="6">
        <v>693870.58700000006</v>
      </c>
      <c r="E2309" s="2" t="s">
        <v>66</v>
      </c>
      <c r="F2309" s="1">
        <v>24</v>
      </c>
      <c r="G2309" s="2" t="s">
        <v>50</v>
      </c>
      <c r="J2309"/>
      <c r="K2309" s="19"/>
      <c r="L2309" s="21"/>
      <c r="M2309" s="27"/>
      <c r="N2309" s="19"/>
      <c r="O2309" s="21"/>
      <c r="P2309" s="7">
        <v>0.24</v>
      </c>
      <c r="Q2309" s="7">
        <f>Table2[[#This Row],[Elevation
PILE TOP]]-Table2[[#This Row],[LENGTH(m.)
(Actual)]]</f>
        <v>0.24</v>
      </c>
      <c r="R2309" s="2"/>
      <c r="S2309" s="7">
        <f>Table2[[#This Row],[N]]+Table2[[#This Row],[Pile 
Deviation 
N (m)]]</f>
        <v>1511690.8019999999</v>
      </c>
      <c r="T2309" s="7">
        <f>Table2[[#This Row],[E]]+Table2[[#This Row],[Pile 
Deviation 
E (m)]]</f>
        <v>693870.58700000006</v>
      </c>
      <c r="W2309" s="7">
        <v>0.24</v>
      </c>
      <c r="X2309" s="2" t="s">
        <v>68</v>
      </c>
      <c r="AA2309" s="9">
        <v>46209</v>
      </c>
    </row>
    <row r="2310" spans="1:27" ht="13.95" hidden="1" customHeight="1" x14ac:dyDescent="0.65">
      <c r="A2310">
        <v>2303</v>
      </c>
      <c r="B2310" t="s">
        <v>29</v>
      </c>
      <c r="C2310" s="6">
        <v>1511688.4720000001</v>
      </c>
      <c r="D2310" s="6">
        <v>693877.18799999997</v>
      </c>
      <c r="E2310" s="2" t="s">
        <v>66</v>
      </c>
      <c r="F2310" s="1">
        <v>24</v>
      </c>
      <c r="G2310" s="2" t="s">
        <v>50</v>
      </c>
      <c r="J2310"/>
      <c r="K2310" s="19"/>
      <c r="L2310" s="21"/>
      <c r="M2310" s="27"/>
      <c r="N2310" s="19"/>
      <c r="O2310" s="21"/>
      <c r="P2310" s="7">
        <v>0.24</v>
      </c>
      <c r="Q2310" s="7">
        <f>Table2[[#This Row],[Elevation
PILE TOP]]-Table2[[#This Row],[LENGTH(m.)
(Actual)]]</f>
        <v>0.24</v>
      </c>
      <c r="R2310" s="2"/>
      <c r="S2310" s="7">
        <f>Table2[[#This Row],[N]]+Table2[[#This Row],[Pile 
Deviation 
N (m)]]</f>
        <v>1511688.4720000001</v>
      </c>
      <c r="T2310" s="7">
        <f>Table2[[#This Row],[E]]+Table2[[#This Row],[Pile 
Deviation 
E (m)]]</f>
        <v>693877.18799999997</v>
      </c>
      <c r="W2310" s="7">
        <v>0.24</v>
      </c>
      <c r="X2310" s="2" t="s">
        <v>68</v>
      </c>
      <c r="AA2310" s="9">
        <v>46209</v>
      </c>
    </row>
    <row r="2311" spans="1:27" hidden="1" x14ac:dyDescent="0.65">
      <c r="A2311">
        <v>2304</v>
      </c>
      <c r="B2311" t="s">
        <v>29</v>
      </c>
      <c r="C2311" s="6">
        <v>1511686.4140000001</v>
      </c>
      <c r="D2311" s="6">
        <v>693926.37899999996</v>
      </c>
      <c r="E2311" s="2" t="s">
        <v>66</v>
      </c>
      <c r="F2311" s="1">
        <v>24</v>
      </c>
      <c r="G2311" s="2" t="s">
        <v>50</v>
      </c>
      <c r="J2311"/>
      <c r="K2311" s="19"/>
      <c r="L2311" s="21"/>
      <c r="M2311" s="27"/>
      <c r="N2311" s="19"/>
      <c r="O2311" s="21"/>
      <c r="P2311" s="7">
        <v>0.24</v>
      </c>
      <c r="Q2311" s="7">
        <f>Table2[[#This Row],[Elevation
PILE TOP]]-Table2[[#This Row],[LENGTH(m.)
(Actual)]]</f>
        <v>0.24</v>
      </c>
      <c r="R2311" s="2"/>
      <c r="S2311" s="7">
        <f>Table2[[#This Row],[N]]+Table2[[#This Row],[Pile 
Deviation 
N (m)]]</f>
        <v>1511686.4140000001</v>
      </c>
      <c r="T2311" s="7">
        <f>Table2[[#This Row],[E]]+Table2[[#This Row],[Pile 
Deviation 
E (m)]]</f>
        <v>693926.37899999996</v>
      </c>
      <c r="W2311" s="7">
        <v>0.24</v>
      </c>
      <c r="X2311" s="2" t="s">
        <v>68</v>
      </c>
      <c r="AA2311" s="9">
        <v>46204</v>
      </c>
    </row>
    <row r="2312" spans="1:27" ht="13.95" hidden="1" customHeight="1" x14ac:dyDescent="0.65">
      <c r="A2312">
        <v>2305</v>
      </c>
      <c r="B2312" t="s">
        <v>29</v>
      </c>
      <c r="C2312" s="6">
        <v>1511686.142</v>
      </c>
      <c r="D2312" s="6">
        <v>693883.78899999999</v>
      </c>
      <c r="E2312" s="2" t="s">
        <v>66</v>
      </c>
      <c r="F2312" s="1">
        <v>24</v>
      </c>
      <c r="G2312" s="2" t="s">
        <v>50</v>
      </c>
      <c r="J2312"/>
      <c r="K2312" s="19"/>
      <c r="L2312" s="21"/>
      <c r="M2312" s="27"/>
      <c r="N2312" s="19"/>
      <c r="O2312" s="21"/>
      <c r="P2312" s="7">
        <v>0.24</v>
      </c>
      <c r="Q2312" s="7">
        <f>Table2[[#This Row],[Elevation
PILE TOP]]-Table2[[#This Row],[LENGTH(m.)
(Actual)]]</f>
        <v>0.24</v>
      </c>
      <c r="R2312" s="2"/>
      <c r="S2312" s="7">
        <f>Table2[[#This Row],[N]]+Table2[[#This Row],[Pile 
Deviation 
N (m)]]</f>
        <v>1511686.142</v>
      </c>
      <c r="T2312" s="7">
        <f>Table2[[#This Row],[E]]+Table2[[#This Row],[Pile 
Deviation 
E (m)]]</f>
        <v>693883.78899999999</v>
      </c>
      <c r="W2312" s="7">
        <v>0.24</v>
      </c>
      <c r="X2312" s="2" t="s">
        <v>68</v>
      </c>
      <c r="AA2312" s="9">
        <v>46209</v>
      </c>
    </row>
    <row r="2313" spans="1:27" hidden="1" x14ac:dyDescent="0.65">
      <c r="A2313">
        <v>2306</v>
      </c>
      <c r="B2313" t="s">
        <v>29</v>
      </c>
      <c r="C2313" s="6">
        <v>1511683.791</v>
      </c>
      <c r="D2313" s="6">
        <v>693890.39800000004</v>
      </c>
      <c r="E2313" s="2" t="s">
        <v>66</v>
      </c>
      <c r="F2313" s="1">
        <v>24</v>
      </c>
      <c r="G2313" s="2" t="s">
        <v>50</v>
      </c>
      <c r="J2313"/>
      <c r="K2313" s="19"/>
      <c r="L2313" s="21"/>
      <c r="M2313" s="27"/>
      <c r="N2313" s="19"/>
      <c r="O2313" s="21"/>
      <c r="P2313" s="7">
        <v>0.24</v>
      </c>
      <c r="Q2313" s="7">
        <f>Table2[[#This Row],[Elevation
PILE TOP]]-Table2[[#This Row],[LENGTH(m.)
(Actual)]]</f>
        <v>0.24</v>
      </c>
      <c r="R2313" s="2"/>
      <c r="S2313" s="7">
        <f>Table2[[#This Row],[N]]+Table2[[#This Row],[Pile 
Deviation 
N (m)]]</f>
        <v>1511683.791</v>
      </c>
      <c r="T2313" s="7">
        <f>Table2[[#This Row],[E]]+Table2[[#This Row],[Pile 
Deviation 
E (m)]]</f>
        <v>693890.39800000004</v>
      </c>
      <c r="W2313" s="7">
        <v>0.24</v>
      </c>
      <c r="X2313" s="2" t="s">
        <v>68</v>
      </c>
      <c r="AA2313" s="9">
        <v>46207</v>
      </c>
    </row>
    <row r="2314" spans="1:27" ht="13.95" hidden="1" customHeight="1" x14ac:dyDescent="0.65">
      <c r="A2314">
        <v>2307</v>
      </c>
      <c r="B2314" t="s">
        <v>29</v>
      </c>
      <c r="C2314" s="6">
        <v>1511681.4210000001</v>
      </c>
      <c r="D2314" s="6">
        <v>693896.98499999999</v>
      </c>
      <c r="E2314" s="2" t="s">
        <v>66</v>
      </c>
      <c r="F2314" s="1">
        <v>24</v>
      </c>
      <c r="G2314" s="2" t="s">
        <v>50</v>
      </c>
      <c r="J2314"/>
      <c r="K2314" s="19"/>
      <c r="L2314" s="21"/>
      <c r="M2314" s="27"/>
      <c r="N2314" s="19"/>
      <c r="O2314" s="21"/>
      <c r="P2314" s="7">
        <v>0.24</v>
      </c>
      <c r="Q2314" s="7">
        <f>Table2[[#This Row],[Elevation
PILE TOP]]-Table2[[#This Row],[LENGTH(m.)
(Actual)]]</f>
        <v>0.24</v>
      </c>
      <c r="R2314" s="2"/>
      <c r="S2314" s="7">
        <f>Table2[[#This Row],[N]]+Table2[[#This Row],[Pile 
Deviation 
N (m)]]</f>
        <v>1511681.4210000001</v>
      </c>
      <c r="T2314" s="7">
        <f>Table2[[#This Row],[E]]+Table2[[#This Row],[Pile 
Deviation 
E (m)]]</f>
        <v>693896.98499999999</v>
      </c>
      <c r="W2314" s="7">
        <v>0.24</v>
      </c>
      <c r="X2314" s="2" t="s">
        <v>68</v>
      </c>
      <c r="AA2314" s="9">
        <v>46207</v>
      </c>
    </row>
    <row r="2315" spans="1:27" hidden="1" x14ac:dyDescent="0.65">
      <c r="A2315">
        <v>2308</v>
      </c>
      <c r="B2315" t="s">
        <v>29</v>
      </c>
      <c r="C2315" s="6">
        <v>1511679.6429999999</v>
      </c>
      <c r="D2315" s="6">
        <v>693924.60100000002</v>
      </c>
      <c r="E2315" s="2" t="s">
        <v>66</v>
      </c>
      <c r="F2315" s="1">
        <v>24</v>
      </c>
      <c r="G2315" s="2" t="s">
        <v>50</v>
      </c>
      <c r="J2315"/>
      <c r="K2315" s="19"/>
      <c r="L2315" s="21"/>
      <c r="M2315" s="27"/>
      <c r="N2315" s="19"/>
      <c r="O2315" s="21"/>
      <c r="P2315" s="7">
        <v>0.24</v>
      </c>
      <c r="Q2315" s="7">
        <f>Table2[[#This Row],[Elevation
PILE TOP]]-Table2[[#This Row],[LENGTH(m.)
(Actual)]]</f>
        <v>0.24</v>
      </c>
      <c r="R2315" s="2"/>
      <c r="S2315" s="7">
        <f>Table2[[#This Row],[N]]+Table2[[#This Row],[Pile 
Deviation 
N (m)]]</f>
        <v>1511679.6429999999</v>
      </c>
      <c r="T2315" s="7">
        <f>Table2[[#This Row],[E]]+Table2[[#This Row],[Pile 
Deviation 
E (m)]]</f>
        <v>693924.60100000002</v>
      </c>
      <c r="W2315" s="7">
        <v>0.24</v>
      </c>
      <c r="X2315" s="2" t="s">
        <v>68</v>
      </c>
      <c r="AA2315" s="9">
        <v>46205</v>
      </c>
    </row>
    <row r="2316" spans="1:27" ht="13.95" hidden="1" customHeight="1" x14ac:dyDescent="0.65">
      <c r="A2316">
        <v>2309</v>
      </c>
      <c r="B2316" t="s">
        <v>29</v>
      </c>
      <c r="C2316" s="6">
        <v>1511679.05</v>
      </c>
      <c r="D2316" s="6">
        <v>693903.571</v>
      </c>
      <c r="E2316" s="2" t="s">
        <v>66</v>
      </c>
      <c r="F2316" s="1">
        <v>24</v>
      </c>
      <c r="G2316" s="2" t="s">
        <v>50</v>
      </c>
      <c r="J2316"/>
      <c r="K2316" s="19"/>
      <c r="L2316" s="21"/>
      <c r="M2316" s="27"/>
      <c r="N2316" s="19"/>
      <c r="O2316" s="21"/>
      <c r="P2316" s="7">
        <v>0.24</v>
      </c>
      <c r="Q2316" s="7">
        <f>Table2[[#This Row],[Elevation
PILE TOP]]-Table2[[#This Row],[LENGTH(m.)
(Actual)]]</f>
        <v>0.24</v>
      </c>
      <c r="R2316" s="2"/>
      <c r="S2316" s="7">
        <f>Table2[[#This Row],[N]]+Table2[[#This Row],[Pile 
Deviation 
N (m)]]</f>
        <v>1511679.05</v>
      </c>
      <c r="T2316" s="7">
        <f>Table2[[#This Row],[E]]+Table2[[#This Row],[Pile 
Deviation 
E (m)]]</f>
        <v>693903.571</v>
      </c>
      <c r="W2316" s="7">
        <v>0.24</v>
      </c>
      <c r="X2316" s="2" t="s">
        <v>68</v>
      </c>
      <c r="AA2316" s="9">
        <v>46206</v>
      </c>
    </row>
    <row r="2317" spans="1:27" hidden="1" x14ac:dyDescent="0.65">
      <c r="A2317">
        <v>2310</v>
      </c>
      <c r="B2317" t="s">
        <v>29</v>
      </c>
      <c r="C2317" s="6">
        <v>1511676.68</v>
      </c>
      <c r="D2317" s="6">
        <v>693910.15800000005</v>
      </c>
      <c r="E2317" s="2" t="s">
        <v>66</v>
      </c>
      <c r="F2317" s="1">
        <v>24</v>
      </c>
      <c r="G2317" s="2" t="s">
        <v>50</v>
      </c>
      <c r="J2317"/>
      <c r="K2317" s="19"/>
      <c r="L2317" s="21"/>
      <c r="M2317" s="27"/>
      <c r="N2317" s="19"/>
      <c r="O2317" s="21"/>
      <c r="P2317" s="7">
        <v>0.24</v>
      </c>
      <c r="Q2317" s="7">
        <f>Table2[[#This Row],[Elevation
PILE TOP]]-Table2[[#This Row],[LENGTH(m.)
(Actual)]]</f>
        <v>0.24</v>
      </c>
      <c r="R2317" s="2"/>
      <c r="S2317" s="7">
        <f>Table2[[#This Row],[N]]+Table2[[#This Row],[Pile 
Deviation 
N (m)]]</f>
        <v>1511676.68</v>
      </c>
      <c r="T2317" s="7">
        <f>Table2[[#This Row],[E]]+Table2[[#This Row],[Pile 
Deviation 
E (m)]]</f>
        <v>693910.15800000005</v>
      </c>
      <c r="W2317" s="7">
        <v>0.24</v>
      </c>
      <c r="X2317" s="2" t="s">
        <v>68</v>
      </c>
      <c r="AA2317" s="9">
        <v>46206</v>
      </c>
    </row>
    <row r="2318" spans="1:27" ht="13.95" hidden="1" customHeight="1" x14ac:dyDescent="0.65">
      <c r="A2318">
        <v>2311</v>
      </c>
      <c r="B2318" t="s">
        <v>29</v>
      </c>
      <c r="C2318" s="6">
        <v>1511674.31</v>
      </c>
      <c r="D2318" s="6">
        <v>693916.74399999995</v>
      </c>
      <c r="E2318" s="2" t="s">
        <v>66</v>
      </c>
      <c r="F2318" s="1">
        <v>24</v>
      </c>
      <c r="G2318" s="2" t="s">
        <v>50</v>
      </c>
      <c r="J2318"/>
      <c r="K2318" s="19"/>
      <c r="L2318" s="21"/>
      <c r="M2318" s="27"/>
      <c r="N2318" s="19"/>
      <c r="O2318" s="21"/>
      <c r="P2318" s="7">
        <v>0.24</v>
      </c>
      <c r="Q2318" s="7">
        <f>Table2[[#This Row],[Elevation
PILE TOP]]-Table2[[#This Row],[LENGTH(m.)
(Actual)]]</f>
        <v>0.24</v>
      </c>
      <c r="R2318" s="2"/>
      <c r="S2318" s="7">
        <f>Table2[[#This Row],[N]]+Table2[[#This Row],[Pile 
Deviation 
N (m)]]</f>
        <v>1511674.31</v>
      </c>
      <c r="T2318" s="7">
        <f>Table2[[#This Row],[E]]+Table2[[#This Row],[Pile 
Deviation 
E (m)]]</f>
        <v>693916.74399999995</v>
      </c>
      <c r="W2318" s="7">
        <v>0.24</v>
      </c>
      <c r="X2318" s="2" t="s">
        <v>68</v>
      </c>
      <c r="AA2318" s="9">
        <v>46206</v>
      </c>
    </row>
    <row r="2319" spans="1:27" hidden="1" x14ac:dyDescent="0.65">
      <c r="A2319">
        <v>2312</v>
      </c>
      <c r="B2319" t="s">
        <v>29</v>
      </c>
      <c r="C2319" s="6">
        <v>1511672.8729999999</v>
      </c>
      <c r="D2319" s="6">
        <v>693922.82200000004</v>
      </c>
      <c r="E2319" s="2" t="s">
        <v>66</v>
      </c>
      <c r="F2319" s="1">
        <v>24</v>
      </c>
      <c r="G2319" s="2" t="s">
        <v>50</v>
      </c>
      <c r="J2319"/>
      <c r="K2319" s="19"/>
      <c r="L2319" s="21"/>
      <c r="M2319" s="27"/>
      <c r="N2319" s="19"/>
      <c r="O2319" s="21"/>
      <c r="P2319" s="7">
        <v>0.24</v>
      </c>
      <c r="Q2319" s="7">
        <f>Table2[[#This Row],[Elevation
PILE TOP]]-Table2[[#This Row],[LENGTH(m.)
(Actual)]]</f>
        <v>0.24</v>
      </c>
      <c r="R2319" s="2"/>
      <c r="S2319" s="7">
        <f>Table2[[#This Row],[N]]+Table2[[#This Row],[Pile 
Deviation 
N (m)]]</f>
        <v>1511672.8729999999</v>
      </c>
      <c r="T2319" s="7">
        <f>Table2[[#This Row],[E]]+Table2[[#This Row],[Pile 
Deviation 
E (m)]]</f>
        <v>693922.82200000004</v>
      </c>
      <c r="W2319" s="7">
        <v>0.24</v>
      </c>
      <c r="X2319" s="2" t="s">
        <v>68</v>
      </c>
      <c r="AA2319" s="9">
        <v>46205</v>
      </c>
    </row>
    <row r="2320" spans="1:27" hidden="1" x14ac:dyDescent="0.65">
      <c r="A2320">
        <v>2313</v>
      </c>
      <c r="B2320" t="s">
        <v>29</v>
      </c>
      <c r="C2320">
        <v>1511687.409</v>
      </c>
      <c r="D2320">
        <v>693990.45799999998</v>
      </c>
      <c r="E2320" s="2" t="s">
        <v>66</v>
      </c>
      <c r="F2320" s="1">
        <v>24</v>
      </c>
      <c r="G2320" s="2" t="s">
        <v>50</v>
      </c>
      <c r="J2320"/>
      <c r="K2320" s="19"/>
      <c r="L2320" s="21"/>
      <c r="M2320" s="27"/>
      <c r="N2320" s="19"/>
      <c r="O2320" s="21"/>
      <c r="P2320" s="7">
        <v>0.24</v>
      </c>
      <c r="Q2320" s="7">
        <f>Table2[[#This Row],[Elevation
PILE TOP]]-Table2[[#This Row],[LENGTH(m.)
(Actual)]]</f>
        <v>0.24</v>
      </c>
      <c r="R2320" s="2"/>
      <c r="S2320" s="7">
        <f>Table2[[#This Row],[N]]+Table2[[#This Row],[Pile 
Deviation 
N (m)]]</f>
        <v>1511687.409</v>
      </c>
      <c r="T2320" s="7">
        <f>Table2[[#This Row],[E]]+Table2[[#This Row],[Pile 
Deviation 
E (m)]]</f>
        <v>693990.45799999998</v>
      </c>
      <c r="W2320" s="7">
        <v>0.24</v>
      </c>
      <c r="X2320" s="2" t="s">
        <v>68</v>
      </c>
    </row>
    <row r="2321" spans="1:29" hidden="1" x14ac:dyDescent="0.65">
      <c r="A2321">
        <v>2314</v>
      </c>
      <c r="B2321" t="s">
        <v>29</v>
      </c>
      <c r="C2321">
        <v>1511684.9550000001</v>
      </c>
      <c r="D2321">
        <v>693997.01300000004</v>
      </c>
      <c r="E2321" s="2" t="s">
        <v>66</v>
      </c>
      <c r="F2321" s="1">
        <v>24</v>
      </c>
      <c r="G2321" s="2" t="s">
        <v>50</v>
      </c>
      <c r="J2321"/>
      <c r="K2321" s="19"/>
      <c r="L2321" s="21"/>
      <c r="M2321" s="27"/>
      <c r="N2321" s="19"/>
      <c r="O2321" s="21"/>
      <c r="P2321" s="7">
        <v>0.24</v>
      </c>
      <c r="Q2321" s="7">
        <f>Table2[[#This Row],[Elevation
PILE TOP]]-Table2[[#This Row],[LENGTH(m.)
(Actual)]]</f>
        <v>0.24</v>
      </c>
      <c r="R2321" s="2"/>
      <c r="S2321" s="7">
        <f>Table2[[#This Row],[N]]+Table2[[#This Row],[Pile 
Deviation 
N (m)]]</f>
        <v>1511684.9550000001</v>
      </c>
      <c r="T2321" s="7">
        <f>Table2[[#This Row],[E]]+Table2[[#This Row],[Pile 
Deviation 
E (m)]]</f>
        <v>693997.01300000004</v>
      </c>
      <c r="W2321" s="7">
        <v>0.24</v>
      </c>
      <c r="X2321" s="2" t="s">
        <v>68</v>
      </c>
    </row>
    <row r="2322" spans="1:29" hidden="1" x14ac:dyDescent="0.65">
      <c r="A2322">
        <v>2315</v>
      </c>
      <c r="B2322" t="s">
        <v>29</v>
      </c>
      <c r="C2322">
        <v>1511682.5009999999</v>
      </c>
      <c r="D2322">
        <v>694003.56900000002</v>
      </c>
      <c r="E2322" s="2" t="s">
        <v>66</v>
      </c>
      <c r="F2322" s="1">
        <v>24</v>
      </c>
      <c r="G2322" s="2" t="s">
        <v>50</v>
      </c>
      <c r="J2322"/>
      <c r="K2322" s="19"/>
      <c r="L2322" s="21"/>
      <c r="M2322" s="27"/>
      <c r="N2322" s="19"/>
      <c r="O2322" s="21"/>
      <c r="P2322" s="7">
        <v>0.24</v>
      </c>
      <c r="Q2322" s="7">
        <f>Table2[[#This Row],[Elevation
PILE TOP]]-Table2[[#This Row],[LENGTH(m.)
(Actual)]]</f>
        <v>0.24</v>
      </c>
      <c r="R2322" s="2"/>
      <c r="S2322" s="7">
        <f>Table2[[#This Row],[N]]+Table2[[#This Row],[Pile 
Deviation 
N (m)]]</f>
        <v>1511682.5009999999</v>
      </c>
      <c r="T2322" s="7">
        <f>Table2[[#This Row],[E]]+Table2[[#This Row],[Pile 
Deviation 
E (m)]]</f>
        <v>694003.56900000002</v>
      </c>
      <c r="W2322" s="7">
        <v>0.24</v>
      </c>
      <c r="X2322" s="2" t="s">
        <v>68</v>
      </c>
    </row>
    <row r="2323" spans="1:29" hidden="1" x14ac:dyDescent="0.65">
      <c r="A2323">
        <v>2316</v>
      </c>
      <c r="B2323" t="s">
        <v>29</v>
      </c>
      <c r="C2323">
        <v>1511680.047</v>
      </c>
      <c r="D2323">
        <v>694010.125</v>
      </c>
      <c r="E2323" s="2" t="s">
        <v>66</v>
      </c>
      <c r="F2323" s="1">
        <v>24</v>
      </c>
      <c r="G2323" s="2" t="s">
        <v>50</v>
      </c>
      <c r="J2323"/>
      <c r="K2323" s="19"/>
      <c r="L2323" s="21"/>
      <c r="M2323" s="27"/>
      <c r="N2323" s="19"/>
      <c r="O2323" s="21"/>
      <c r="P2323" s="7">
        <v>0.24</v>
      </c>
      <c r="Q2323" s="7">
        <f>Table2[[#This Row],[Elevation
PILE TOP]]-Table2[[#This Row],[LENGTH(m.)
(Actual)]]</f>
        <v>0.24</v>
      </c>
      <c r="R2323" s="2"/>
      <c r="S2323" s="7">
        <f>Table2[[#This Row],[N]]+Table2[[#This Row],[Pile 
Deviation 
N (m)]]</f>
        <v>1511680.047</v>
      </c>
      <c r="T2323" s="7">
        <f>Table2[[#This Row],[E]]+Table2[[#This Row],[Pile 
Deviation 
E (m)]]</f>
        <v>694010.125</v>
      </c>
      <c r="W2323" s="7">
        <v>0.24</v>
      </c>
      <c r="X2323" s="2" t="s">
        <v>68</v>
      </c>
    </row>
    <row r="2324" spans="1:29" hidden="1" x14ac:dyDescent="0.65">
      <c r="A2324">
        <v>2317</v>
      </c>
      <c r="B2324" t="s">
        <v>29</v>
      </c>
      <c r="C2324">
        <v>1511677.5930000001</v>
      </c>
      <c r="D2324">
        <v>694016.68099999998</v>
      </c>
      <c r="E2324" s="2" t="s">
        <v>66</v>
      </c>
      <c r="F2324" s="1">
        <v>24</v>
      </c>
      <c r="G2324" s="2" t="s">
        <v>50</v>
      </c>
      <c r="J2324"/>
      <c r="K2324" s="19"/>
      <c r="L2324" s="21"/>
      <c r="M2324" s="27"/>
      <c r="N2324" s="19"/>
      <c r="O2324" s="21"/>
      <c r="P2324" s="7">
        <v>0.24</v>
      </c>
      <c r="Q2324" s="7">
        <f>Table2[[#This Row],[Elevation
PILE TOP]]-Table2[[#This Row],[LENGTH(m.)
(Actual)]]</f>
        <v>0.24</v>
      </c>
      <c r="R2324" s="2"/>
      <c r="S2324" s="7">
        <f>Table2[[#This Row],[N]]+Table2[[#This Row],[Pile 
Deviation 
N (m)]]</f>
        <v>1511677.5930000001</v>
      </c>
      <c r="T2324" s="7">
        <f>Table2[[#This Row],[E]]+Table2[[#This Row],[Pile 
Deviation 
E (m)]]</f>
        <v>694016.68099999998</v>
      </c>
      <c r="W2324" s="7">
        <v>0.24</v>
      </c>
      <c r="X2324" s="2" t="s">
        <v>68</v>
      </c>
    </row>
    <row r="2325" spans="1:29" x14ac:dyDescent="0.65">
      <c r="C2325"/>
      <c r="D2325"/>
      <c r="J2325"/>
      <c r="K2325" s="19"/>
      <c r="L2325" s="21"/>
      <c r="M2325" s="27"/>
      <c r="N2325" s="19"/>
      <c r="O2325" s="21"/>
      <c r="Q2325" s="33"/>
      <c r="R2325" s="2"/>
      <c r="S2325" s="33"/>
      <c r="T2325" s="33"/>
      <c r="U2325" s="33"/>
      <c r="V2325" s="33"/>
      <c r="W2325" s="33"/>
      <c r="X2325" s="34"/>
      <c r="Y2325" s="32"/>
      <c r="Z2325" s="32"/>
      <c r="AA2325" s="32"/>
      <c r="AB2325" s="32"/>
      <c r="AC2325" s="32"/>
    </row>
    <row r="2327" spans="1:29" x14ac:dyDescent="0.65">
      <c r="C2327" s="6" t="s">
        <v>69</v>
      </c>
    </row>
  </sheetData>
  <mergeCells count="1">
    <mergeCell ref="C1:D1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1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RSP_Pile_Summary</vt:lpstr>
      <vt:lpstr>RSP_Pile_Summary!Print_Area</vt:lpstr>
      <vt:lpstr>RSP_Pile_Summary!Print_Titles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Panupong Puangngam</cp:lastModifiedBy>
  <cp:revision/>
  <dcterms:created xsi:type="dcterms:W3CDTF">2026-06-13T17:26:57Z</dcterms:created>
  <dcterms:modified xsi:type="dcterms:W3CDTF">2026-06-23T15:23:44Z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2026-06-23T14:57:11Z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a7f8bf52-60f5-45ef-b816-6bf499006a15</vt:lpwstr>
  </property>
  <property fmtid="{D5CDD505-2E9C-101B-9397-08002B2CF9AE}" pid="8" name="MSIP_Label_282ec11f-0307-4ba2-9c7f-1e910abb2b8a_ContentBits">
    <vt:lpwstr>0</vt:lpwstr>
  </property>
</Properties>
</file>